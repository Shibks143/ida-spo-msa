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d.docs.live.net/3a07647642d852d6/forUBCOComp/H/UniformRiskMap/Results/"/>
    </mc:Choice>
  </mc:AlternateContent>
  <xr:revisionPtr revIDLastSave="0" documentId="13_ncr:1_{F8699D65-1DD6-4DC2-B66D-F4FE3E8AFD10}" xr6:coauthVersionLast="47" xr6:coauthVersionMax="47" xr10:uidLastSave="{00000000-0000-0000-0000-000000000000}"/>
  <bookViews>
    <workbookView xWindow="28680" yWindow="-120" windowWidth="29040" windowHeight="15720" tabRatio="925" xr2:uid="{00000000-000D-0000-FFFF-FFFF00000000}"/>
  </bookViews>
  <sheets>
    <sheet name="TabFigList" sheetId="28" r:id="rId1"/>
    <sheet name="T1" sheetId="5" r:id="rId2"/>
    <sheet name="T2" sheetId="10" r:id="rId3"/>
    <sheet name="DS1_DamLim" sheetId="41" r:id="rId4"/>
    <sheet name="TX" sheetId="12" r:id="rId5"/>
    <sheet name="T3" sheetId="29" r:id="rId6"/>
    <sheet name="DS2SigDam_DS3ExtDam" sheetId="43" r:id="rId7"/>
    <sheet name="Frag_DS1-4" sheetId="44" r:id="rId8"/>
    <sheet name="T4(IM_β)" sheetId="34" r:id="rId9"/>
    <sheet name="ConsqModel" sheetId="45" r:id="rId10"/>
    <sheet name="T5_6 (lb,ub)" sheetId="30" r:id="rId11"/>
    <sheet name="im_lb recomm" sheetId="39" r:id="rId12"/>
    <sheet name="T7" sheetId="31" r:id="rId13"/>
    <sheet name="T8" sheetId="33" r:id="rId14"/>
    <sheet name="T9(IM_λ)" sheetId="35" r:id="rId15"/>
    <sheet name="T10-12(RTGM)" sheetId="37" r:id="rId16"/>
    <sheet name="T13(ARTMF reco)" sheetId="40" r:id="rId17"/>
  </sheets>
  <definedNames>
    <definedName name="solver_adj" localSheetId="9" hidden="1">ConsqModel!$I$68</definedName>
    <definedName name="solver_cvg" localSheetId="9" hidden="1">0.0001</definedName>
    <definedName name="solver_drv" localSheetId="9" hidden="1">1</definedName>
    <definedName name="solver_eng" localSheetId="9" hidden="1">1</definedName>
    <definedName name="solver_est" localSheetId="9" hidden="1">1</definedName>
    <definedName name="solver_itr" localSheetId="9" hidden="1">2147483647</definedName>
    <definedName name="solver_lhs1" localSheetId="9" hidden="1">ConsqModel!$I$68</definedName>
    <definedName name="solver_lhs2" localSheetId="9" hidden="1">ConsqModel!$I$68</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1</definedName>
    <definedName name="solver_nod" localSheetId="9" hidden="1">2147483647</definedName>
    <definedName name="solver_num" localSheetId="9" hidden="1">2</definedName>
    <definedName name="solver_nwt" localSheetId="9" hidden="1">1</definedName>
    <definedName name="solver_opt" localSheetId="9" hidden="1">ConsqModel!$T$68</definedName>
    <definedName name="solver_pre" localSheetId="9" hidden="1">0.000001</definedName>
    <definedName name="solver_rbv" localSheetId="9" hidden="1">1</definedName>
    <definedName name="solver_rel1" localSheetId="9" hidden="1">1</definedName>
    <definedName name="solver_rel2" localSheetId="9" hidden="1">3</definedName>
    <definedName name="solver_rhs1" localSheetId="9" hidden="1">0.8</definedName>
    <definedName name="solver_rhs2" localSheetId="9" hidden="1">0.01</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9" hidden="1">2</definedName>
    <definedName name="solver_val" localSheetId="9" hidden="1">0</definedName>
    <definedName name="solver_ver" localSheetId="9" hidden="1">3</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35" l="1"/>
  <c r="X19" i="35"/>
  <c r="X20" i="35"/>
  <c r="X21" i="35"/>
  <c r="X22" i="35"/>
  <c r="X23" i="35"/>
  <c r="X24" i="35"/>
  <c r="W19" i="35"/>
  <c r="W20" i="35"/>
  <c r="W21" i="35"/>
  <c r="W22" i="35"/>
  <c r="W23" i="35"/>
  <c r="W24" i="35"/>
  <c r="G13" i="33" l="1"/>
  <c r="G12" i="33"/>
  <c r="G11" i="33"/>
  <c r="G10" i="33"/>
  <c r="G9" i="33"/>
  <c r="G8" i="33"/>
  <c r="D8" i="33"/>
  <c r="D9" i="33"/>
  <c r="D10" i="33"/>
  <c r="D11" i="33"/>
  <c r="D12" i="33"/>
  <c r="D13" i="33"/>
  <c r="K17" i="30"/>
  <c r="K16" i="30"/>
  <c r="F18" i="30"/>
  <c r="I32" i="30" l="1"/>
  <c r="H32" i="30"/>
  <c r="G32" i="30"/>
  <c r="F32" i="30"/>
  <c r="I31" i="30"/>
  <c r="H31" i="30"/>
  <c r="G31" i="30"/>
  <c r="F31" i="30"/>
  <c r="I30" i="30"/>
  <c r="H30" i="30"/>
  <c r="G30" i="30"/>
  <c r="F30" i="30"/>
  <c r="I18" i="30"/>
  <c r="H18" i="30"/>
  <c r="G18" i="30"/>
  <c r="E18" i="30"/>
  <c r="D18" i="30"/>
  <c r="B18" i="30"/>
  <c r="I17" i="30"/>
  <c r="H17" i="30"/>
  <c r="G17" i="30"/>
  <c r="F17" i="30"/>
  <c r="E17" i="30"/>
  <c r="D17" i="30"/>
  <c r="B17" i="30"/>
  <c r="I16" i="30"/>
  <c r="H16" i="30"/>
  <c r="G16" i="30"/>
  <c r="F16" i="30"/>
  <c r="E16" i="30"/>
  <c r="D16" i="30"/>
  <c r="B16" i="30"/>
  <c r="C18" i="30"/>
  <c r="C17" i="30"/>
  <c r="C16" i="30"/>
  <c r="B49" i="29"/>
  <c r="B48" i="29"/>
  <c r="N8" i="34"/>
  <c r="N7" i="34"/>
  <c r="B46" i="29"/>
  <c r="C46" i="29"/>
  <c r="D46" i="29"/>
  <c r="E46" i="29"/>
  <c r="F46" i="29"/>
  <c r="G46" i="29"/>
  <c r="H46" i="29"/>
  <c r="I46" i="29"/>
  <c r="H8" i="40" l="1"/>
  <c r="G8" i="40"/>
  <c r="F8" i="40"/>
  <c r="AL9" i="37"/>
  <c r="AM9" i="37"/>
  <c r="AN9" i="37"/>
  <c r="AL10" i="37"/>
  <c r="AM10" i="37"/>
  <c r="AN10" i="37"/>
  <c r="AL11" i="37"/>
  <c r="AM11" i="37"/>
  <c r="AN11" i="37"/>
  <c r="AL12" i="37"/>
  <c r="AM12" i="37"/>
  <c r="AN12" i="37"/>
  <c r="AL13" i="37"/>
  <c r="AM13" i="37"/>
  <c r="AN13" i="37"/>
  <c r="AL14" i="37"/>
  <c r="AM14" i="37"/>
  <c r="AN14" i="37"/>
  <c r="X9" i="37"/>
  <c r="Y9" i="37"/>
  <c r="Z9" i="37"/>
  <c r="X10" i="37"/>
  <c r="Y10" i="37"/>
  <c r="Z10" i="37"/>
  <c r="X11" i="37"/>
  <c r="Y11" i="37"/>
  <c r="Z11" i="37"/>
  <c r="X12" i="37"/>
  <c r="Y12" i="37"/>
  <c r="Z12" i="37"/>
  <c r="X13" i="37"/>
  <c r="Y13" i="37"/>
  <c r="Z13" i="37"/>
  <c r="X14" i="37"/>
  <c r="Y14" i="37"/>
  <c r="Z14" i="37"/>
  <c r="J9" i="37"/>
  <c r="K9" i="37"/>
  <c r="L9" i="37"/>
  <c r="J10" i="37"/>
  <c r="K10" i="37"/>
  <c r="L10" i="37"/>
  <c r="J11" i="37"/>
  <c r="K11" i="37"/>
  <c r="L11" i="37"/>
  <c r="J12" i="37"/>
  <c r="K12" i="37"/>
  <c r="L12" i="37"/>
  <c r="J13" i="37"/>
  <c r="K13" i="37"/>
  <c r="L13" i="37"/>
  <c r="J14" i="37"/>
  <c r="K14" i="37"/>
  <c r="L14" i="37"/>
  <c r="H42" i="35" l="1"/>
  <c r="I42" i="35" s="1"/>
  <c r="K42" i="35"/>
  <c r="L42" i="35" s="1"/>
  <c r="K30" i="35"/>
  <c r="E31" i="35"/>
  <c r="H31" i="35"/>
  <c r="K31" i="35"/>
  <c r="F31" i="35"/>
  <c r="I31" i="35"/>
  <c r="L31" i="35"/>
  <c r="G31" i="35"/>
  <c r="J31" i="35"/>
  <c r="M31" i="35"/>
  <c r="E30" i="35"/>
  <c r="M30" i="35"/>
  <c r="L30" i="35"/>
  <c r="J30" i="35"/>
  <c r="I30" i="35"/>
  <c r="H30" i="35"/>
  <c r="G30" i="35"/>
  <c r="F30" i="35"/>
  <c r="Q19" i="35"/>
  <c r="R19" i="35"/>
  <c r="S19" i="35"/>
  <c r="Q20" i="35"/>
  <c r="R20" i="35"/>
  <c r="S20" i="35"/>
  <c r="Q21" i="35"/>
  <c r="R21" i="35"/>
  <c r="S21" i="35"/>
  <c r="Q22" i="35"/>
  <c r="R22" i="35"/>
  <c r="S22" i="35"/>
  <c r="Q23" i="35"/>
  <c r="R23" i="35"/>
  <c r="S23" i="35"/>
  <c r="Q24" i="35"/>
  <c r="R24" i="35"/>
  <c r="S24" i="35"/>
  <c r="P24" i="35"/>
  <c r="O24" i="35"/>
  <c r="P23" i="35"/>
  <c r="O23" i="35"/>
  <c r="P22" i="35"/>
  <c r="O22" i="35"/>
  <c r="P21" i="35"/>
  <c r="O21" i="35"/>
  <c r="P20" i="35"/>
  <c r="O20" i="35"/>
  <c r="P19" i="35"/>
  <c r="O19" i="35"/>
  <c r="N19" i="35"/>
  <c r="N20" i="35"/>
  <c r="N21" i="35"/>
  <c r="N22" i="35"/>
  <c r="N23" i="35"/>
  <c r="N24" i="35"/>
  <c r="W33" i="31" l="1"/>
  <c r="V33" i="31"/>
  <c r="R33" i="31"/>
  <c r="Q33" i="31"/>
  <c r="W32" i="31"/>
  <c r="V32" i="31"/>
  <c r="R32" i="31"/>
  <c r="Q32" i="31"/>
  <c r="W31" i="31"/>
  <c r="V31" i="31"/>
  <c r="R31" i="31"/>
  <c r="Q31" i="31"/>
  <c r="W30" i="31"/>
  <c r="V30" i="31"/>
  <c r="R30" i="31"/>
  <c r="Q30" i="31"/>
  <c r="W29" i="31"/>
  <c r="V29" i="31"/>
  <c r="V22" i="31" s="1"/>
  <c r="R29" i="31"/>
  <c r="Q29" i="31"/>
  <c r="W28" i="31"/>
  <c r="V28" i="31"/>
  <c r="R28" i="31"/>
  <c r="Q28" i="31"/>
  <c r="Q22" i="31" l="1"/>
  <c r="R23" i="31"/>
  <c r="R22" i="31"/>
  <c r="V23" i="31"/>
  <c r="W22" i="31"/>
  <c r="W23" i="31"/>
  <c r="Q23" i="31"/>
  <c r="L33" i="31"/>
  <c r="K33" i="31"/>
  <c r="L32" i="31"/>
  <c r="K32" i="31"/>
  <c r="L31" i="31"/>
  <c r="K31" i="31"/>
  <c r="L30" i="31"/>
  <c r="K30" i="31"/>
  <c r="L29" i="31"/>
  <c r="K29" i="31"/>
  <c r="L28" i="31"/>
  <c r="K28" i="31"/>
  <c r="L14" i="31"/>
  <c r="K14" i="31"/>
  <c r="L13" i="31"/>
  <c r="K13" i="31"/>
  <c r="L12" i="31"/>
  <c r="K12" i="31"/>
  <c r="L11" i="31"/>
  <c r="K11" i="31"/>
  <c r="L10" i="31"/>
  <c r="K10" i="31"/>
  <c r="L9" i="31"/>
  <c r="K9" i="31"/>
  <c r="K3" i="31" l="1"/>
  <c r="L3" i="31"/>
  <c r="L22" i="31"/>
  <c r="L1" i="31"/>
  <c r="L23" i="31"/>
  <c r="K23" i="31"/>
  <c r="K22" i="31"/>
  <c r="L2" i="31"/>
  <c r="K1" i="31"/>
  <c r="K2" i="31"/>
  <c r="AK28" i="30" l="1"/>
  <c r="AJ28" i="30"/>
  <c r="AI28" i="30"/>
  <c r="AH28" i="30"/>
  <c r="AK27" i="30"/>
  <c r="AJ27" i="30"/>
  <c r="AI27" i="30"/>
  <c r="AH27" i="30"/>
  <c r="AK26" i="30"/>
  <c r="AJ26" i="30"/>
  <c r="AI26" i="30"/>
  <c r="AH26" i="30"/>
  <c r="AK25" i="30"/>
  <c r="AJ25" i="30"/>
  <c r="AI25" i="30"/>
  <c r="AH25" i="30"/>
  <c r="AK24" i="30"/>
  <c r="AJ24" i="30"/>
  <c r="AI24" i="30"/>
  <c r="AH24" i="30"/>
  <c r="AK23" i="30"/>
  <c r="AK32" i="30" s="1"/>
  <c r="AJ23" i="30"/>
  <c r="AJ32" i="30" s="1"/>
  <c r="AI23" i="30"/>
  <c r="AI30" i="30" s="1"/>
  <c r="AH23" i="30"/>
  <c r="AH32" i="30" s="1"/>
  <c r="AH31" i="30" l="1"/>
  <c r="AJ31" i="30"/>
  <c r="AI31" i="30"/>
  <c r="AK31" i="30"/>
  <c r="AH30" i="30"/>
  <c r="AI32" i="30"/>
  <c r="AJ30" i="30"/>
  <c r="AK30" i="30"/>
  <c r="L28" i="30"/>
  <c r="L27" i="30"/>
  <c r="L26" i="30"/>
  <c r="L25" i="30"/>
  <c r="L24" i="30"/>
  <c r="L23" i="30"/>
  <c r="Y28" i="30"/>
  <c r="Y27" i="30"/>
  <c r="Y26" i="30"/>
  <c r="Y25" i="30"/>
  <c r="Y24" i="30"/>
  <c r="Y23" i="30"/>
  <c r="Y31" i="30" l="1"/>
  <c r="Y32" i="30"/>
  <c r="L31" i="30"/>
  <c r="L32" i="30"/>
  <c r="L30" i="30"/>
  <c r="Y30" i="30"/>
  <c r="I28" i="34"/>
  <c r="I38" i="34"/>
  <c r="L7" i="34"/>
  <c r="L8" i="34"/>
  <c r="L9" i="34"/>
  <c r="L10" i="34"/>
  <c r="L11" i="34"/>
  <c r="L12" i="34"/>
  <c r="I13" i="34"/>
  <c r="M23" i="29" l="1"/>
  <c r="M24" i="29"/>
  <c r="M25" i="29"/>
  <c r="M26" i="29"/>
  <c r="M27" i="29"/>
  <c r="M28" i="29"/>
  <c r="L23" i="29"/>
  <c r="L24" i="29"/>
  <c r="L25" i="29"/>
  <c r="L26" i="29"/>
  <c r="L27" i="29"/>
  <c r="L28" i="29"/>
  <c r="J28" i="29"/>
  <c r="I28" i="29"/>
  <c r="J27" i="29"/>
  <c r="I27" i="29"/>
  <c r="J26" i="29"/>
  <c r="I26" i="29"/>
  <c r="J25" i="29"/>
  <c r="I25" i="29"/>
  <c r="J24" i="29"/>
  <c r="I24" i="29"/>
  <c r="J23" i="29"/>
  <c r="I23" i="29"/>
  <c r="G23" i="29"/>
  <c r="G24" i="29"/>
  <c r="G25" i="29"/>
  <c r="G26" i="29"/>
  <c r="G27" i="29"/>
  <c r="G28" i="29"/>
  <c r="F23" i="29"/>
  <c r="F24" i="29"/>
  <c r="F25" i="29"/>
  <c r="F26" i="29"/>
  <c r="F27" i="29"/>
  <c r="F28" i="29"/>
  <c r="D23" i="29"/>
  <c r="D24" i="29"/>
  <c r="D25" i="29"/>
  <c r="D26" i="29"/>
  <c r="D27" i="29"/>
  <c r="D28" i="29"/>
  <c r="C23" i="29"/>
  <c r="C24" i="29"/>
  <c r="C25" i="29"/>
  <c r="C26" i="29"/>
  <c r="C27" i="29"/>
  <c r="C28" i="29"/>
  <c r="W52" i="44"/>
  <c r="X52" i="44"/>
  <c r="Y52" i="44"/>
  <c r="Z52" i="44"/>
  <c r="AB52" i="44"/>
  <c r="AC52" i="44"/>
  <c r="AD52" i="44"/>
  <c r="AE52" i="44"/>
  <c r="W53" i="44"/>
  <c r="X53" i="44"/>
  <c r="Y53" i="44"/>
  <c r="Z53" i="44"/>
  <c r="AB53" i="44"/>
  <c r="AC53" i="44"/>
  <c r="AD53" i="44"/>
  <c r="AE53" i="44"/>
  <c r="W54" i="44"/>
  <c r="X54" i="44"/>
  <c r="Y54" i="44"/>
  <c r="Z54" i="44"/>
  <c r="AB54" i="44"/>
  <c r="AC54" i="44"/>
  <c r="AD54" i="44"/>
  <c r="AE54" i="44"/>
  <c r="W55" i="44"/>
  <c r="X55" i="44"/>
  <c r="Y55" i="44"/>
  <c r="Z55" i="44"/>
  <c r="AB55" i="44"/>
  <c r="AC55" i="44"/>
  <c r="AD55" i="44"/>
  <c r="AE55" i="44"/>
  <c r="W56" i="44"/>
  <c r="X56" i="44"/>
  <c r="Y56" i="44"/>
  <c r="Z56" i="44"/>
  <c r="AB56" i="44"/>
  <c r="AC56" i="44"/>
  <c r="AD56" i="44"/>
  <c r="AE56" i="44"/>
  <c r="W57" i="44"/>
  <c r="X57" i="44"/>
  <c r="Y57" i="44"/>
  <c r="Z57" i="44"/>
  <c r="AB57" i="44"/>
  <c r="AC57" i="44"/>
  <c r="AD57" i="44"/>
  <c r="AE57" i="44"/>
  <c r="W66" i="44"/>
  <c r="X66" i="44"/>
  <c r="Y66" i="44"/>
  <c r="Z66" i="44"/>
  <c r="AB66" i="44"/>
  <c r="AC66" i="44"/>
  <c r="AD66" i="44"/>
  <c r="AE66" i="44"/>
  <c r="W67" i="44"/>
  <c r="X67" i="44"/>
  <c r="Y67" i="44"/>
  <c r="Z67" i="44"/>
  <c r="AB67" i="44"/>
  <c r="AC67" i="44"/>
  <c r="AD67" i="44"/>
  <c r="AE67" i="44"/>
  <c r="W68" i="44"/>
  <c r="X68" i="44"/>
  <c r="Y68" i="44"/>
  <c r="Z68" i="44"/>
  <c r="AB68" i="44"/>
  <c r="AC68" i="44"/>
  <c r="AD68" i="44"/>
  <c r="AE68" i="44"/>
  <c r="W76" i="44"/>
  <c r="X76" i="44"/>
  <c r="Y76" i="44"/>
  <c r="Z76" i="44"/>
  <c r="AB76" i="44"/>
  <c r="AC76" i="44"/>
  <c r="AD76" i="44"/>
  <c r="AE76" i="44"/>
  <c r="W77" i="44"/>
  <c r="X77" i="44"/>
  <c r="Y77" i="44"/>
  <c r="Z77" i="44"/>
  <c r="AB77" i="44"/>
  <c r="AC77" i="44"/>
  <c r="AD77" i="44"/>
  <c r="AE77" i="44"/>
  <c r="W78" i="44"/>
  <c r="X78" i="44"/>
  <c r="Y78" i="44"/>
  <c r="Z78" i="44"/>
  <c r="AB78" i="44"/>
  <c r="AC78" i="44"/>
  <c r="AD78" i="44"/>
  <c r="AE78" i="44"/>
  <c r="E81" i="44"/>
  <c r="G81" i="44"/>
  <c r="I81" i="44"/>
  <c r="K81" i="44"/>
  <c r="N81" i="44"/>
  <c r="P81" i="44"/>
  <c r="R81" i="44"/>
  <c r="T81" i="44"/>
  <c r="E82" i="44"/>
  <c r="G82" i="44"/>
  <c r="I82" i="44"/>
  <c r="K82" i="44"/>
  <c r="N82" i="44"/>
  <c r="P82" i="44"/>
  <c r="R82" i="44"/>
  <c r="T82" i="44"/>
  <c r="E83" i="44"/>
  <c r="G83" i="44"/>
  <c r="I83" i="44"/>
  <c r="K83" i="44"/>
  <c r="N83" i="44"/>
  <c r="P83" i="44"/>
  <c r="R83" i="44"/>
  <c r="T83" i="44"/>
  <c r="E84" i="44"/>
  <c r="G84" i="44"/>
  <c r="I84" i="44"/>
  <c r="K84" i="44"/>
  <c r="N84" i="44"/>
  <c r="P84" i="44"/>
  <c r="R84" i="44"/>
  <c r="T84" i="44"/>
  <c r="E85" i="44"/>
  <c r="G85" i="44"/>
  <c r="I85" i="44"/>
  <c r="K85" i="44"/>
  <c r="N85" i="44"/>
  <c r="P85" i="44"/>
  <c r="R85" i="44"/>
  <c r="T85" i="44"/>
  <c r="E86" i="44"/>
  <c r="G86" i="44"/>
  <c r="I86" i="44"/>
  <c r="K86" i="44"/>
  <c r="N86" i="44"/>
  <c r="P86" i="44"/>
  <c r="R86" i="44"/>
  <c r="T86" i="44"/>
  <c r="Q42" i="45" l="1"/>
  <c r="R42" i="45"/>
  <c r="Q41" i="45"/>
  <c r="R41" i="45"/>
  <c r="Q40" i="45"/>
  <c r="R40" i="45"/>
  <c r="Q39" i="45"/>
  <c r="R39" i="45"/>
  <c r="Q38" i="45"/>
  <c r="R38" i="45"/>
  <c r="Q37" i="45"/>
  <c r="R37" i="45"/>
  <c r="P37" i="45"/>
  <c r="P38" i="45"/>
  <c r="P39" i="45"/>
  <c r="P40" i="45"/>
  <c r="P41" i="45"/>
  <c r="P42" i="45"/>
  <c r="R70" i="45" l="1"/>
  <c r="P70" i="45"/>
  <c r="O70" i="45"/>
  <c r="M70" i="45"/>
  <c r="L70" i="45"/>
  <c r="J70" i="45"/>
  <c r="L75" i="45"/>
  <c r="J64" i="45"/>
  <c r="D73" i="45"/>
  <c r="J72" i="45" l="1"/>
  <c r="Q72" i="45"/>
  <c r="N72" i="45"/>
  <c r="K72" i="45"/>
  <c r="K68" i="45"/>
  <c r="Q68" i="45"/>
  <c r="N68" i="45"/>
  <c r="R68" i="45"/>
  <c r="P68" i="45"/>
  <c r="O68" i="45"/>
  <c r="M68" i="45"/>
  <c r="L68" i="45"/>
  <c r="J68" i="45"/>
  <c r="R72" i="45"/>
  <c r="P72" i="45"/>
  <c r="O72" i="45"/>
  <c r="M72" i="45"/>
  <c r="L72" i="45"/>
  <c r="R66" i="45"/>
  <c r="P66" i="45"/>
  <c r="O66" i="45"/>
  <c r="M66" i="45"/>
  <c r="L66" i="45"/>
  <c r="J66" i="45"/>
  <c r="R64" i="45"/>
  <c r="Q64" i="45"/>
  <c r="P64" i="45"/>
  <c r="O64" i="45"/>
  <c r="N64" i="45"/>
  <c r="M64" i="45"/>
  <c r="L64" i="45"/>
  <c r="K64" i="45"/>
  <c r="T72" i="45" l="1" a="1"/>
  <c r="T72" i="45" s="1"/>
  <c r="T68" i="45" a="1"/>
  <c r="T68" i="45" s="1"/>
  <c r="F12" i="45" l="1"/>
  <c r="F14" i="45" l="1"/>
  <c r="F13" i="45"/>
  <c r="F11" i="45"/>
  <c r="AA13" i="44" l="1"/>
  <c r="Y13" i="44"/>
  <c r="W13" i="44"/>
  <c r="AA12" i="44"/>
  <c r="Y12" i="44"/>
  <c r="W12" i="44"/>
  <c r="AA11" i="44"/>
  <c r="Y11" i="44"/>
  <c r="W11" i="44"/>
  <c r="AA10" i="44"/>
  <c r="Y10" i="44"/>
  <c r="W10" i="44"/>
  <c r="AA9" i="44"/>
  <c r="Y9" i="44"/>
  <c r="W9" i="44"/>
  <c r="AA8" i="44"/>
  <c r="Y8" i="44"/>
  <c r="W8" i="44"/>
  <c r="U8" i="44"/>
  <c r="U9" i="44"/>
  <c r="U10" i="44"/>
  <c r="U11" i="44"/>
  <c r="U12" i="44"/>
  <c r="U13" i="44"/>
  <c r="S7" i="43" l="1"/>
  <c r="S8" i="43"/>
  <c r="S9" i="43"/>
  <c r="S10" i="43"/>
  <c r="R7" i="43"/>
  <c r="R8" i="43"/>
  <c r="R9" i="43"/>
  <c r="R10" i="43"/>
  <c r="C7" i="43"/>
  <c r="U4" i="43"/>
  <c r="W4" i="43" s="1"/>
  <c r="W9" i="43" s="1"/>
  <c r="T4" i="43"/>
  <c r="T10" i="43" s="1"/>
  <c r="E4" i="43"/>
  <c r="G4" i="43" s="1"/>
  <c r="F4" i="43"/>
  <c r="F7" i="43" s="1"/>
  <c r="D7" i="43"/>
  <c r="C8" i="43"/>
  <c r="D8" i="43"/>
  <c r="C9" i="43"/>
  <c r="D9" i="43"/>
  <c r="C10" i="43"/>
  <c r="D10" i="43"/>
  <c r="U8" i="43" l="1"/>
  <c r="T7" i="43"/>
  <c r="U7" i="43"/>
  <c r="W7" i="43"/>
  <c r="T8" i="43"/>
  <c r="T9" i="43"/>
  <c r="W10" i="43"/>
  <c r="W8" i="43"/>
  <c r="U9" i="43"/>
  <c r="U10" i="43"/>
  <c r="Y4" i="43"/>
  <c r="V4" i="43"/>
  <c r="F10" i="43"/>
  <c r="F9" i="43"/>
  <c r="E8" i="43"/>
  <c r="E10" i="43"/>
  <c r="E7" i="43"/>
  <c r="E9" i="43"/>
  <c r="G7" i="43"/>
  <c r="G10" i="43"/>
  <c r="G9" i="43"/>
  <c r="I4" i="43"/>
  <c r="K4" i="43" s="1"/>
  <c r="G8" i="43"/>
  <c r="F8" i="43"/>
  <c r="H4" i="43"/>
  <c r="H7" i="43" s="1"/>
  <c r="Y8" i="43" l="1"/>
  <c r="Y9" i="43"/>
  <c r="Y7" i="43"/>
  <c r="Y10" i="43"/>
  <c r="V9" i="43"/>
  <c r="V8" i="43"/>
  <c r="V7" i="43"/>
  <c r="V10" i="43"/>
  <c r="AA4" i="43"/>
  <c r="X4" i="43"/>
  <c r="I9" i="43"/>
  <c r="I8" i="43"/>
  <c r="H8" i="43"/>
  <c r="J4" i="43"/>
  <c r="H10" i="43"/>
  <c r="H9" i="43"/>
  <c r="I7" i="43"/>
  <c r="I10" i="43"/>
  <c r="M4" i="43"/>
  <c r="K7" i="43"/>
  <c r="K9" i="43"/>
  <c r="K8" i="43"/>
  <c r="K10" i="43"/>
  <c r="X7" i="43" l="1"/>
  <c r="X8" i="43"/>
  <c r="X10" i="43"/>
  <c r="X9" i="43"/>
  <c r="AA7" i="43"/>
  <c r="AA10" i="43"/>
  <c r="AA8" i="43"/>
  <c r="AA9" i="43"/>
  <c r="Z4" i="43"/>
  <c r="AC4" i="43"/>
  <c r="J9" i="43"/>
  <c r="J8" i="43"/>
  <c r="J10" i="43"/>
  <c r="L4" i="43"/>
  <c r="J7" i="43"/>
  <c r="M8" i="43"/>
  <c r="M10" i="43"/>
  <c r="M7" i="43"/>
  <c r="M9" i="43"/>
  <c r="AC10" i="43" l="1"/>
  <c r="AC7" i="43"/>
  <c r="AC9" i="43"/>
  <c r="AC8" i="43"/>
  <c r="Z9" i="43"/>
  <c r="Z7" i="43"/>
  <c r="Z10" i="43"/>
  <c r="Z8" i="43"/>
  <c r="AB4" i="43"/>
  <c r="N4" i="43"/>
  <c r="L7" i="43"/>
  <c r="L8" i="43"/>
  <c r="L10" i="43"/>
  <c r="L9" i="43"/>
  <c r="AB9" i="43" l="1"/>
  <c r="AB7" i="43"/>
  <c r="AB10" i="43"/>
  <c r="AB8" i="43"/>
  <c r="N10" i="43"/>
  <c r="N9" i="43"/>
  <c r="N8" i="43"/>
  <c r="N7" i="43"/>
  <c r="N22" i="5" l="1"/>
  <c r="R22" i="5" s="1"/>
  <c r="O22" i="5"/>
  <c r="S22" i="5" s="1"/>
  <c r="P22" i="5"/>
  <c r="T22" i="5" s="1"/>
  <c r="Q22" i="5"/>
  <c r="U22" i="5" s="1"/>
  <c r="O31" i="12" l="1"/>
  <c r="N31" i="12"/>
  <c r="M31" i="12"/>
  <c r="L31" i="12"/>
  <c r="K31" i="12"/>
  <c r="J31" i="12"/>
  <c r="I31" i="12"/>
  <c r="D11" i="10" l="1"/>
  <c r="D8" i="10"/>
  <c r="AN18" i="37" l="1"/>
  <c r="AM18" i="37"/>
  <c r="AL18" i="37"/>
  <c r="Z18" i="37"/>
  <c r="Y18" i="37"/>
  <c r="X18" i="37"/>
  <c r="J18" i="37"/>
  <c r="K18" i="37"/>
  <c r="L18" i="37"/>
  <c r="AN22" i="37"/>
  <c r="AM22" i="37"/>
  <c r="AL22" i="37"/>
  <c r="AJ22" i="37"/>
  <c r="AI22" i="37"/>
  <c r="AH22" i="37"/>
  <c r="AG22" i="37"/>
  <c r="AN21" i="37"/>
  <c r="AM21" i="37"/>
  <c r="AL21" i="37"/>
  <c r="AJ21" i="37"/>
  <c r="AI21" i="37"/>
  <c r="AH21" i="37"/>
  <c r="AG21" i="37"/>
  <c r="AN20" i="37"/>
  <c r="AM20" i="37"/>
  <c r="AL20" i="37"/>
  <c r="AJ20" i="37"/>
  <c r="AI20" i="37"/>
  <c r="AH20" i="37"/>
  <c r="AG20" i="37"/>
  <c r="AN19" i="37"/>
  <c r="AM19" i="37"/>
  <c r="AL19" i="37"/>
  <c r="AJ19" i="37"/>
  <c r="AI19" i="37"/>
  <c r="AH19" i="37"/>
  <c r="AG19" i="37"/>
  <c r="AJ18" i="37"/>
  <c r="AI18" i="37"/>
  <c r="AH18" i="37"/>
  <c r="AG18" i="37"/>
  <c r="Z22" i="37"/>
  <c r="Y22" i="37"/>
  <c r="X22" i="37"/>
  <c r="V22" i="37"/>
  <c r="U22" i="37"/>
  <c r="T22" i="37"/>
  <c r="S22" i="37"/>
  <c r="Z21" i="37"/>
  <c r="Y21" i="37"/>
  <c r="X21" i="37"/>
  <c r="V21" i="37"/>
  <c r="U21" i="37"/>
  <c r="T21" i="37"/>
  <c r="S21" i="37"/>
  <c r="Z20" i="37"/>
  <c r="Y20" i="37"/>
  <c r="X20" i="37"/>
  <c r="V20" i="37"/>
  <c r="U20" i="37"/>
  <c r="T20" i="37"/>
  <c r="S20" i="37"/>
  <c r="Z19" i="37"/>
  <c r="Y19" i="37"/>
  <c r="X19" i="37"/>
  <c r="V19" i="37"/>
  <c r="U19" i="37"/>
  <c r="T19" i="37"/>
  <c r="S19" i="37"/>
  <c r="V18" i="37"/>
  <c r="U18" i="37"/>
  <c r="T18" i="37"/>
  <c r="S18" i="37"/>
  <c r="L22" i="37"/>
  <c r="K22" i="37"/>
  <c r="J22" i="37"/>
  <c r="H22" i="37"/>
  <c r="G22" i="37"/>
  <c r="F22" i="37"/>
  <c r="L21" i="37"/>
  <c r="K21" i="37"/>
  <c r="J21" i="37"/>
  <c r="H21" i="37"/>
  <c r="G21" i="37"/>
  <c r="F21" i="37"/>
  <c r="E22" i="37"/>
  <c r="E21" i="37"/>
  <c r="L20" i="37"/>
  <c r="K20" i="37"/>
  <c r="J20" i="37"/>
  <c r="H20" i="37"/>
  <c r="G20" i="37"/>
  <c r="F20" i="37"/>
  <c r="E20" i="37"/>
  <c r="L19" i="37"/>
  <c r="K19" i="37"/>
  <c r="J19" i="37"/>
  <c r="H19" i="37"/>
  <c r="G19" i="37"/>
  <c r="F19" i="37"/>
  <c r="E19" i="37"/>
  <c r="H18" i="37"/>
  <c r="G18" i="37"/>
  <c r="F18" i="37"/>
  <c r="E18" i="37"/>
  <c r="E13" i="35"/>
  <c r="F13" i="35"/>
  <c r="G13" i="35"/>
  <c r="G14" i="35"/>
  <c r="F14" i="35"/>
  <c r="G12" i="35"/>
  <c r="F12" i="35"/>
  <c r="E14" i="35"/>
  <c r="E12" i="35"/>
  <c r="M13" i="33"/>
  <c r="M12" i="33"/>
  <c r="M11" i="33"/>
  <c r="M10" i="33"/>
  <c r="M9" i="33"/>
  <c r="M8" i="33"/>
  <c r="L8" i="33"/>
  <c r="N8" i="33"/>
  <c r="L9" i="33"/>
  <c r="N9" i="33"/>
  <c r="L10" i="33"/>
  <c r="N10" i="33"/>
  <c r="L11" i="33"/>
  <c r="N11" i="33"/>
  <c r="L12" i="33"/>
  <c r="N12" i="33"/>
  <c r="L13" i="33"/>
  <c r="N13" i="33"/>
  <c r="N5" i="33" l="1"/>
  <c r="M4" i="33"/>
  <c r="L4" i="33"/>
  <c r="M5" i="33"/>
  <c r="L5" i="33"/>
  <c r="N4" i="33"/>
  <c r="N46" i="39"/>
  <c r="M46" i="39"/>
  <c r="L46" i="39"/>
  <c r="K46" i="39"/>
  <c r="N45" i="39"/>
  <c r="M45" i="39"/>
  <c r="L45" i="39"/>
  <c r="K45" i="39"/>
  <c r="N44" i="39"/>
  <c r="M44" i="39"/>
  <c r="L44" i="39"/>
  <c r="K44" i="39"/>
  <c r="N43" i="39"/>
  <c r="M43" i="39"/>
  <c r="L43" i="39"/>
  <c r="K43" i="39"/>
  <c r="N42" i="39"/>
  <c r="M42" i="39"/>
  <c r="L42" i="39"/>
  <c r="K42" i="39"/>
  <c r="N41" i="39"/>
  <c r="M41" i="39"/>
  <c r="L41" i="39"/>
  <c r="K41" i="39"/>
  <c r="W39" i="39"/>
  <c r="V39" i="39"/>
  <c r="U39" i="39"/>
  <c r="T39" i="39"/>
  <c r="S39" i="39"/>
  <c r="R39" i="39"/>
  <c r="N39" i="39"/>
  <c r="M39" i="39"/>
  <c r="L39" i="39"/>
  <c r="K39" i="39"/>
  <c r="W38" i="39"/>
  <c r="V38" i="39"/>
  <c r="U38" i="39"/>
  <c r="T38" i="39"/>
  <c r="S38" i="39"/>
  <c r="R38" i="39"/>
  <c r="N38" i="39"/>
  <c r="M38" i="39"/>
  <c r="L38" i="39"/>
  <c r="K38" i="39"/>
  <c r="W37" i="39"/>
  <c r="V37" i="39"/>
  <c r="U37" i="39"/>
  <c r="T37" i="39"/>
  <c r="S37" i="39"/>
  <c r="R37" i="39"/>
  <c r="N37" i="39"/>
  <c r="M37" i="39"/>
  <c r="L37" i="39"/>
  <c r="K37" i="39"/>
  <c r="W36" i="39"/>
  <c r="V36" i="39"/>
  <c r="U36" i="39"/>
  <c r="T36" i="39"/>
  <c r="S36" i="39"/>
  <c r="R36" i="39"/>
  <c r="N36" i="39"/>
  <c r="M36" i="39"/>
  <c r="L36" i="39"/>
  <c r="K36" i="39"/>
  <c r="W35" i="39"/>
  <c r="V35" i="39"/>
  <c r="U35" i="39"/>
  <c r="T35" i="39"/>
  <c r="S35" i="39"/>
  <c r="R35" i="39"/>
  <c r="N35" i="39"/>
  <c r="M35" i="39"/>
  <c r="L35" i="39"/>
  <c r="K35" i="39"/>
  <c r="W34" i="39"/>
  <c r="V34" i="39"/>
  <c r="U34" i="39"/>
  <c r="T34" i="39"/>
  <c r="S34" i="39"/>
  <c r="R34" i="39"/>
  <c r="N34" i="39"/>
  <c r="M34" i="39"/>
  <c r="L34" i="39"/>
  <c r="K34" i="39"/>
  <c r="N32" i="39"/>
  <c r="M32" i="39"/>
  <c r="L32" i="39"/>
  <c r="K32" i="39"/>
  <c r="N31" i="39"/>
  <c r="M31" i="39"/>
  <c r="L31" i="39"/>
  <c r="K31" i="39"/>
  <c r="N30" i="39"/>
  <c r="M30" i="39"/>
  <c r="L30" i="39"/>
  <c r="K30" i="39"/>
  <c r="N29" i="39"/>
  <c r="M29" i="39"/>
  <c r="L29" i="39"/>
  <c r="K29" i="39"/>
  <c r="N28" i="39"/>
  <c r="M28" i="39"/>
  <c r="L28" i="39"/>
  <c r="K28" i="39"/>
  <c r="N27" i="39"/>
  <c r="M27" i="39"/>
  <c r="L27" i="39"/>
  <c r="K27" i="39"/>
  <c r="N24" i="39"/>
  <c r="M24" i="39"/>
  <c r="L24" i="39"/>
  <c r="K24" i="39"/>
  <c r="N23" i="39"/>
  <c r="M23" i="39"/>
  <c r="L23" i="39"/>
  <c r="K23" i="39"/>
  <c r="N22" i="39"/>
  <c r="M22" i="39"/>
  <c r="L22" i="39"/>
  <c r="K22" i="39"/>
  <c r="N21" i="39"/>
  <c r="M21" i="39"/>
  <c r="L21" i="39"/>
  <c r="K21" i="39"/>
  <c r="N20" i="39"/>
  <c r="M20" i="39"/>
  <c r="L20" i="39"/>
  <c r="K20" i="39"/>
  <c r="N19" i="39"/>
  <c r="M19" i="39"/>
  <c r="L19" i="39"/>
  <c r="K19" i="39"/>
  <c r="N17" i="39"/>
  <c r="M17" i="39"/>
  <c r="L17" i="39"/>
  <c r="K17" i="39"/>
  <c r="N16" i="39"/>
  <c r="M16" i="39"/>
  <c r="L16" i="39"/>
  <c r="K16" i="39"/>
  <c r="N15" i="39"/>
  <c r="M15" i="39"/>
  <c r="L15" i="39"/>
  <c r="K15" i="39"/>
  <c r="N14" i="39"/>
  <c r="M14" i="39"/>
  <c r="L14" i="39"/>
  <c r="K14" i="39"/>
  <c r="N13" i="39"/>
  <c r="M13" i="39"/>
  <c r="L13" i="39"/>
  <c r="K13" i="39"/>
  <c r="N12" i="39"/>
  <c r="M12" i="39"/>
  <c r="L12" i="39"/>
  <c r="K12" i="39"/>
  <c r="N10" i="39"/>
  <c r="M10" i="39"/>
  <c r="L10" i="39"/>
  <c r="K10" i="39"/>
  <c r="N9" i="39"/>
  <c r="M9" i="39"/>
  <c r="L9" i="39"/>
  <c r="K9" i="39"/>
  <c r="N8" i="39"/>
  <c r="M8" i="39"/>
  <c r="L8" i="39"/>
  <c r="K8" i="39"/>
  <c r="N7" i="39"/>
  <c r="M7" i="39"/>
  <c r="L7" i="39"/>
  <c r="K7" i="39"/>
  <c r="N6" i="39"/>
  <c r="M6" i="39"/>
  <c r="L6" i="39"/>
  <c r="K6" i="39"/>
  <c r="N5" i="39"/>
  <c r="M5" i="39"/>
  <c r="L5" i="39"/>
  <c r="K5" i="39"/>
  <c r="N4" i="39"/>
  <c r="M4" i="39"/>
  <c r="L4" i="39"/>
  <c r="N25" i="39" l="1"/>
  <c r="M25" i="39"/>
  <c r="L25" i="39"/>
  <c r="N47" i="39"/>
  <c r="M47" i="39"/>
  <c r="L47" i="39"/>
  <c r="K25" i="39"/>
  <c r="K47" i="39"/>
  <c r="M28" i="30"/>
  <c r="K28" i="30"/>
  <c r="J28" i="30"/>
  <c r="M27" i="30"/>
  <c r="K27" i="30"/>
  <c r="J27" i="30"/>
  <c r="M26" i="30"/>
  <c r="K26" i="30"/>
  <c r="J26" i="30"/>
  <c r="M25" i="30"/>
  <c r="K25" i="30"/>
  <c r="J25" i="30"/>
  <c r="M24" i="30"/>
  <c r="K24" i="30"/>
  <c r="J24" i="30"/>
  <c r="M23" i="30"/>
  <c r="K23" i="30"/>
  <c r="J23" i="30"/>
  <c r="X28" i="30"/>
  <c r="W28" i="30"/>
  <c r="V28" i="30"/>
  <c r="X27" i="30"/>
  <c r="W27" i="30"/>
  <c r="V27" i="30"/>
  <c r="X26" i="30"/>
  <c r="W26" i="30"/>
  <c r="V26" i="30"/>
  <c r="X25" i="30"/>
  <c r="W25" i="30"/>
  <c r="V25" i="30"/>
  <c r="X24" i="30"/>
  <c r="W24" i="30"/>
  <c r="V24" i="30"/>
  <c r="X23" i="30"/>
  <c r="W23" i="30"/>
  <c r="V23" i="30"/>
  <c r="K38" i="34"/>
  <c r="G38" i="34"/>
  <c r="E38" i="34"/>
  <c r="O20" i="29"/>
  <c r="O18" i="29"/>
  <c r="O17" i="29"/>
  <c r="M20" i="29"/>
  <c r="M18" i="29"/>
  <c r="M17" i="29"/>
  <c r="K20" i="29"/>
  <c r="K18" i="29"/>
  <c r="K17" i="29"/>
  <c r="G20" i="29"/>
  <c r="G18" i="29"/>
  <c r="G17" i="29"/>
  <c r="E20" i="29"/>
  <c r="E18" i="29"/>
  <c r="E17" i="29"/>
  <c r="C20" i="29"/>
  <c r="C18" i="29"/>
  <c r="C17" i="29"/>
  <c r="W31" i="30" l="1"/>
  <c r="X32" i="30"/>
  <c r="K30" i="30"/>
  <c r="M32" i="30"/>
  <c r="W30" i="30"/>
  <c r="J32" i="30"/>
  <c r="K31" i="30"/>
  <c r="J31" i="30"/>
  <c r="M30" i="30"/>
  <c r="W32" i="30"/>
  <c r="V31" i="30"/>
  <c r="X30" i="30"/>
  <c r="M31" i="30"/>
  <c r="X31" i="30"/>
  <c r="K32" i="30"/>
  <c r="V30" i="30"/>
  <c r="J30" i="30"/>
  <c r="V32" i="30"/>
  <c r="G19" i="29"/>
  <c r="M19" i="29"/>
  <c r="C19" i="29"/>
  <c r="O19" i="29"/>
  <c r="K19" i="29"/>
  <c r="E19" i="29"/>
  <c r="K28" i="34"/>
  <c r="G28" i="34"/>
  <c r="E28" i="34"/>
  <c r="K35" i="35" l="1"/>
  <c r="L35" i="35" l="1"/>
  <c r="I35" i="35"/>
  <c r="K13" i="34" l="1"/>
  <c r="G13" i="34"/>
  <c r="E13" i="34"/>
  <c r="F28" i="31" l="1"/>
  <c r="F29" i="31"/>
  <c r="G29" i="31"/>
  <c r="F30" i="31"/>
  <c r="G30" i="31"/>
  <c r="G31" i="31"/>
  <c r="F32" i="31"/>
  <c r="F33" i="31"/>
  <c r="G33" i="31"/>
  <c r="F9" i="31"/>
  <c r="F10" i="31"/>
  <c r="G10" i="31"/>
  <c r="F11" i="31"/>
  <c r="G11" i="31"/>
  <c r="G12" i="31"/>
  <c r="F13" i="31"/>
  <c r="F14" i="31"/>
  <c r="G14" i="31"/>
  <c r="G13" i="31" l="1"/>
  <c r="F31" i="31"/>
  <c r="G23" i="31" s="1"/>
  <c r="G28" i="31"/>
  <c r="F12" i="31"/>
  <c r="F1" i="31" s="1"/>
  <c r="G9" i="31"/>
  <c r="G32" i="31"/>
  <c r="G3" i="31" l="1"/>
  <c r="F3" i="31"/>
  <c r="G22" i="31"/>
  <c r="F22" i="31"/>
  <c r="F23" i="31"/>
  <c r="G1" i="31"/>
  <c r="F2" i="31"/>
  <c r="G2" i="31"/>
  <c r="C10" i="5"/>
  <c r="C9" i="5"/>
  <c r="C8" i="5"/>
  <c r="F7" i="5"/>
  <c r="K7" i="5" s="1"/>
  <c r="D7" i="5"/>
  <c r="J7" i="5" s="1"/>
  <c r="D8" i="5" l="1"/>
  <c r="J8" i="5" s="1"/>
  <c r="D10" i="5"/>
  <c r="J10" i="5" s="1"/>
  <c r="F9" i="5"/>
  <c r="K9" i="5" s="1"/>
  <c r="E1" i="5"/>
  <c r="F8" i="5"/>
  <c r="K8" i="5" s="1"/>
  <c r="F10" i="5"/>
  <c r="K10" i="5" s="1"/>
  <c r="D9" i="5"/>
  <c r="J9" i="5" s="1"/>
  <c r="V10" i="12"/>
  <c r="Z9" i="12"/>
  <c r="V12" i="12"/>
  <c r="V11" i="12"/>
  <c r="W8" i="12"/>
  <c r="V13" i="12"/>
  <c r="W9" i="12"/>
  <c r="V17" i="12"/>
  <c r="X18" i="12"/>
  <c r="X9" i="12"/>
  <c r="W10" i="12"/>
  <c r="X8" i="12"/>
  <c r="U11" i="12"/>
  <c r="U16" i="12"/>
  <c r="X11" i="12"/>
  <c r="W7" i="12"/>
  <c r="V18" i="12"/>
  <c r="W16" i="12"/>
  <c r="U12" i="12"/>
  <c r="W14" i="12"/>
  <c r="Z11" i="12"/>
  <c r="X17" i="12"/>
  <c r="U8" i="12"/>
  <c r="X14" i="12"/>
  <c r="W12" i="12"/>
  <c r="W11" i="12"/>
  <c r="V8" i="12"/>
  <c r="U10" i="12"/>
  <c r="V14" i="12"/>
  <c r="X12" i="12"/>
  <c r="U13" i="12"/>
  <c r="V9" i="12"/>
  <c r="X16" i="12"/>
  <c r="Z7" i="12"/>
  <c r="Z15" i="12"/>
  <c r="V15" i="12"/>
  <c r="U9" i="12"/>
  <c r="U18" i="12"/>
  <c r="U7" i="12"/>
  <c r="V7" i="12"/>
  <c r="U17" i="12"/>
  <c r="X7" i="12"/>
  <c r="U14" i="12"/>
  <c r="Z13" i="12"/>
  <c r="X10" i="12"/>
  <c r="U15" i="12"/>
  <c r="V16" i="12"/>
  <c r="W15" i="12"/>
  <c r="X13" i="12"/>
  <c r="W13" i="12"/>
  <c r="X15" i="12"/>
  <c r="W17" i="12"/>
  <c r="W18" i="12"/>
  <c r="AA17" i="12" l="1"/>
  <c r="AA18" i="12" s="1"/>
  <c r="AA15" i="12"/>
  <c r="AA16" i="12" s="1"/>
  <c r="AA13" i="12"/>
  <c r="AA14" i="12" s="1"/>
  <c r="AA11" i="12"/>
  <c r="AA12" i="12" s="1"/>
  <c r="AA9" i="12"/>
  <c r="AA10" i="12" s="1"/>
  <c r="AA7" i="12"/>
  <c r="AA8" i="12" s="1"/>
  <c r="AD14" i="12"/>
  <c r="AE12" i="12"/>
  <c r="AE16" i="12"/>
  <c r="AD16" i="12"/>
  <c r="AD12" i="12"/>
  <c r="AC11" i="12"/>
  <c r="AD10" i="12"/>
  <c r="AD8" i="12"/>
  <c r="AD15" i="12"/>
  <c r="AE10" i="12"/>
  <c r="AC12" i="12"/>
  <c r="AC14" i="12"/>
  <c r="AE15" i="12"/>
  <c r="AC18" i="12"/>
  <c r="AD11" i="12"/>
  <c r="AC15" i="12"/>
  <c r="AE11" i="12"/>
  <c r="K27" i="12" l="1"/>
  <c r="K28" i="12"/>
  <c r="J28" i="12"/>
  <c r="J27" i="12"/>
  <c r="AF15" i="12"/>
  <c r="AG15" i="12" s="1"/>
  <c r="AF9" i="12"/>
  <c r="AG9" i="12" s="1"/>
  <c r="AF16" i="12"/>
  <c r="AG16" i="12" s="1"/>
  <c r="AF10" i="12"/>
  <c r="AG10" i="12" s="1"/>
  <c r="AF7" i="12"/>
  <c r="AG7" i="12" s="1"/>
  <c r="AF18" i="12"/>
  <c r="AG18" i="12" s="1"/>
  <c r="AF12" i="12"/>
  <c r="AG12" i="12" s="1"/>
  <c r="AF13" i="12"/>
  <c r="AG13" i="12" s="1"/>
  <c r="AF14" i="12"/>
  <c r="AG14" i="12" s="1"/>
  <c r="AF17" i="12"/>
  <c r="AF8" i="12"/>
  <c r="AG8" i="12" s="1"/>
  <c r="AF11" i="12"/>
  <c r="AG11" i="12" s="1"/>
  <c r="AC10" i="12"/>
  <c r="AD18" i="12"/>
  <c r="AE8" i="12"/>
  <c r="AC8" i="12"/>
  <c r="AD13" i="12"/>
  <c r="AE13" i="12"/>
  <c r="AC9" i="12"/>
  <c r="AE14" i="12"/>
  <c r="AE18" i="12"/>
  <c r="AC16" i="12"/>
  <c r="AE17" i="12"/>
  <c r="AE9" i="12"/>
  <c r="AE7" i="12"/>
  <c r="AC7" i="12"/>
  <c r="AC13" i="12"/>
  <c r="AD17" i="12"/>
  <c r="AD7" i="12"/>
  <c r="AC17" i="12"/>
  <c r="AD9" i="12"/>
  <c r="N27" i="12" l="1"/>
  <c r="N28" i="12"/>
  <c r="O28" i="12"/>
  <c r="O27" i="12"/>
  <c r="M27" i="12"/>
  <c r="M28" i="12"/>
  <c r="Z17" i="12"/>
  <c r="L28" i="12" l="1"/>
  <c r="L27" i="12"/>
  <c r="AG17" i="12"/>
</calcChain>
</file>

<file path=xl/sharedStrings.xml><?xml version="1.0" encoding="utf-8"?>
<sst xmlns="http://schemas.openxmlformats.org/spreadsheetml/2006/main" count="1440" uniqueCount="656">
  <si>
    <t>S. No.</t>
  </si>
  <si>
    <t>IV</t>
  </si>
  <si>
    <t>V</t>
  </si>
  <si>
    <t>IO</t>
  </si>
  <si>
    <t>LS</t>
  </si>
  <si>
    <t>CP</t>
  </si>
  <si>
    <t>Member</t>
  </si>
  <si>
    <t>Axial load ratio</t>
  </si>
  <si>
    <t>Mc/My</t>
  </si>
  <si>
    <t>Column</t>
  </si>
  <si>
    <t>Beam</t>
  </si>
  <si>
    <t>sheetName</t>
  </si>
  <si>
    <t>fileName</t>
  </si>
  <si>
    <t>Member sizes</t>
  </si>
  <si>
    <t>long r/f</t>
  </si>
  <si>
    <t>axial load rat</t>
  </si>
  <si>
    <t>GeneralInput</t>
  </si>
  <si>
    <t>Use these formulae to extract values (requires the relevant spreadsheets to remain opened). Hence, after obtaining these values once, I have copy pasted the cell values to the left.</t>
  </si>
  <si>
    <t>RowNum</t>
  </si>
  <si>
    <t>numBays</t>
  </si>
  <si>
    <t>ModelFile</t>
  </si>
  <si>
    <t>Values here are pasted from the extracted table on the right</t>
  </si>
  <si>
    <t>600×600</t>
  </si>
  <si>
    <t>350×750</t>
  </si>
  <si>
    <t>450×450</t>
  </si>
  <si>
    <t>500×500</t>
  </si>
  <si>
    <t>400×750</t>
  </si>
  <si>
    <t>550×550</t>
  </si>
  <si>
    <t>Long. reinf.</t>
  </si>
  <si>
    <t>GF ht (mm)</t>
  </si>
  <si>
    <t>bayWidth</t>
  </si>
  <si>
    <t>ShearSpan ratio</t>
  </si>
  <si>
    <t>Min(0.8, .Max(0.35, -0.02 + 0.98 * axialLoadRat + 0.09 * shearSpan))</t>
  </si>
  <si>
    <t>Open the relevant .xlsm files and the formulas below will get populated with the values</t>
  </si>
  <si>
    <t>DesignFile</t>
  </si>
  <si>
    <t>MAX</t>
  </si>
  <si>
    <t>MIN</t>
  </si>
  <si>
    <r>
      <t>Trans. reinf. ρ</t>
    </r>
    <r>
      <rPr>
        <b/>
        <vertAlign val="subscript"/>
        <sz val="13.8"/>
        <rFont val="Times New Roman"/>
        <family val="1"/>
      </rPr>
      <t>sh</t>
    </r>
  </si>
  <si>
    <r>
      <t>θ</t>
    </r>
    <r>
      <rPr>
        <b/>
        <vertAlign val="subscript"/>
        <sz val="12"/>
        <rFont val="Times New Roman"/>
        <family val="1"/>
      </rPr>
      <t>cap</t>
    </r>
  </si>
  <si>
    <r>
      <t>θ</t>
    </r>
    <r>
      <rPr>
        <b/>
        <vertAlign val="subscript"/>
        <sz val="12"/>
        <rFont val="Times New Roman"/>
        <family val="1"/>
      </rPr>
      <t>pc</t>
    </r>
  </si>
  <si>
    <r>
      <t>EI</t>
    </r>
    <r>
      <rPr>
        <b/>
        <vertAlign val="subscript"/>
        <sz val="11"/>
        <color theme="1"/>
        <rFont val="Times New Roman"/>
        <family val="1"/>
      </rPr>
      <t>stf40</t>
    </r>
    <r>
      <rPr>
        <b/>
        <sz val="11"/>
        <color theme="1"/>
        <rFont val="Times New Roman"/>
        <family val="1"/>
      </rPr>
      <t>/EI</t>
    </r>
    <r>
      <rPr>
        <b/>
        <vertAlign val="subscript"/>
        <sz val="11"/>
        <color theme="1"/>
        <rFont val="Times New Roman"/>
        <family val="1"/>
      </rPr>
      <t>g</t>
    </r>
  </si>
  <si>
    <t>PASTED VALUE</t>
  </si>
  <si>
    <t>FORMULAE</t>
  </si>
  <si>
    <r>
      <t>Section
(mm</t>
    </r>
    <r>
      <rPr>
        <vertAlign val="superscript"/>
        <sz val="12"/>
        <rFont val="Times New Roman"/>
        <family val="1"/>
      </rPr>
      <t>2</t>
    </r>
    <r>
      <rPr>
        <sz val="12"/>
        <rFont val="Times New Roman"/>
        <family val="1"/>
      </rPr>
      <t>)</t>
    </r>
  </si>
  <si>
    <t>T1</t>
  </si>
  <si>
    <t>Formula to copy</t>
  </si>
  <si>
    <r>
      <rPr>
        <i/>
        <sz val="12"/>
        <rFont val="Times New Roman"/>
        <family val="1"/>
      </rPr>
      <t>f</t>
    </r>
    <r>
      <rPr>
        <i/>
        <vertAlign val="subscript"/>
        <sz val="12"/>
        <rFont val="Times New Roman"/>
        <family val="1"/>
      </rPr>
      <t>ck</t>
    </r>
    <r>
      <rPr>
        <vertAlign val="subscript"/>
        <sz val="12"/>
        <rFont val="Times New Roman"/>
        <family val="1"/>
      </rPr>
      <t xml:space="preserve">
</t>
    </r>
    <r>
      <rPr>
        <sz val="12"/>
        <rFont val="Times New Roman"/>
        <family val="1"/>
      </rPr>
      <t>(MPa)</t>
    </r>
  </si>
  <si>
    <r>
      <t xml:space="preserve">Trans. reinf. </t>
    </r>
    <r>
      <rPr>
        <i/>
        <sz val="12"/>
        <rFont val="Times New Roman"/>
        <family val="1"/>
      </rPr>
      <t>ρ</t>
    </r>
    <r>
      <rPr>
        <i/>
        <vertAlign val="subscript"/>
        <sz val="12"/>
        <rFont val="Times New Roman"/>
        <family val="1"/>
      </rPr>
      <t>sh</t>
    </r>
  </si>
  <si>
    <r>
      <t>θ</t>
    </r>
    <r>
      <rPr>
        <i/>
        <vertAlign val="subscript"/>
        <sz val="12"/>
        <rFont val="Times New Roman"/>
        <family val="1"/>
      </rPr>
      <t>cap</t>
    </r>
    <r>
      <rPr>
        <i/>
        <sz val="12"/>
        <rFont val="Times New Roman"/>
        <family val="1"/>
      </rPr>
      <t>=
θ</t>
    </r>
    <r>
      <rPr>
        <i/>
        <vertAlign val="subscript"/>
        <sz val="12"/>
        <rFont val="Times New Roman"/>
        <family val="1"/>
      </rPr>
      <t>p</t>
    </r>
    <r>
      <rPr>
        <i/>
        <sz val="12"/>
        <rFont val="Times New Roman"/>
        <family val="1"/>
      </rPr>
      <t>+θ</t>
    </r>
    <r>
      <rPr>
        <i/>
        <vertAlign val="subscript"/>
        <sz val="12"/>
        <rFont val="Times New Roman"/>
        <family val="1"/>
      </rPr>
      <t>y</t>
    </r>
  </si>
  <si>
    <r>
      <rPr>
        <i/>
        <sz val="12"/>
        <rFont val="Times New Roman"/>
        <family val="1"/>
      </rPr>
      <t>θ</t>
    </r>
    <r>
      <rPr>
        <i/>
        <vertAlign val="subscript"/>
        <sz val="12"/>
        <rFont val="Times New Roman"/>
        <family val="1"/>
      </rPr>
      <t>pc</t>
    </r>
    <r>
      <rPr>
        <sz val="12"/>
        <rFont val="Times New Roman"/>
        <family val="1"/>
      </rPr>
      <t xml:space="preserve">
(rad)</t>
    </r>
  </si>
  <si>
    <r>
      <t>Ω</t>
    </r>
    <r>
      <rPr>
        <i/>
        <vertAlign val="subscript"/>
        <sz val="12"/>
        <rFont val="Times New Roman"/>
        <family val="1"/>
      </rPr>
      <t>0</t>
    </r>
  </si>
  <si>
    <t>2223v03</t>
  </si>
  <si>
    <t>2221v06</t>
  </si>
  <si>
    <t>2215v03</t>
  </si>
  <si>
    <t>2213v04</t>
  </si>
  <si>
    <t>2457v01_20190429General Excel Sheet-v21 (allInclusive).xlsm</t>
  </si>
  <si>
    <t>2459v01_20190429General Excel Sheet-v21 (allInclusive).xlsm</t>
  </si>
  <si>
    <t>2461v01_20190429General Excel Sheet-v21 (allInclusive).xlsm</t>
  </si>
  <si>
    <t>2463v01_20190425General Excel Sheet-v21 (allInclusive).xlsm</t>
  </si>
  <si>
    <t>2207v09_20190508General Excel Sheet-v21 (allInclusive).xlsm</t>
  </si>
  <si>
    <t>2209v05_20190508General Excel Sheet-v21 (allInclusive).xlsm</t>
  </si>
  <si>
    <t>2211v03_20190509General Excel Sheet-v21 (allInclusive).xlsm</t>
  </si>
  <si>
    <t>2213v04_20190509General Excel Sheet-v21 (allInclusive).xlsm</t>
  </si>
  <si>
    <t>2451v02_20190509General Excel Sheet-v21 (allInclusive).xlsm</t>
  </si>
  <si>
    <t>2453v02_20190509General Excel Sheet-v21 (allInclusive).xlsm</t>
  </si>
  <si>
    <t>2215v03_20190510General Excel Sheet-v21 (allInclusive).xlsm</t>
  </si>
  <si>
    <t>2217v03_20190510General Excel Sheet-v21 (allInclusive).xlsm</t>
  </si>
  <si>
    <t>2219v03_20190510General Excel Sheet-v21 (allInclusive).xlsm</t>
  </si>
  <si>
    <t>2221v06_20190510General Excel Sheet-v21 (allInclusive).xlsm</t>
  </si>
  <si>
    <t>2433v02_20190510General Excel Sheet-v21 (allInclusive).xlsm</t>
  </si>
  <si>
    <t>2435v02_20190511General Excel Sheet-v21 (allInclusive).xlsm</t>
  </si>
  <si>
    <t>2223v03_20190511General Excel Sheet-v21 (allInclusive).xlsm</t>
  </si>
  <si>
    <t>2225v03_20190511General Excel Sheet-v21 (allInclusive).xlsm</t>
  </si>
  <si>
    <t>2227v05_20190511General Excel Sheet-v21 (allInclusive).xlsm</t>
  </si>
  <si>
    <t>2437v02_20190511General Excel Sheet-v21 (allInclusive).xlsm</t>
  </si>
  <si>
    <t>2439v02_20190512General Excel Sheet-v21 (allInclusive).xlsm</t>
  </si>
  <si>
    <t>2229v03_20190512General Excel Sheet-v21 (allInclusive).xlsm</t>
  </si>
  <si>
    <t>2231v04_20190512General Excel Sheet-v21 (allInclusive).xlsm</t>
  </si>
  <si>
    <t>2441v02_20190512General Excel Sheet-v21 (allInclusive).xlsm</t>
  </si>
  <si>
    <t>2443v02_20190512General Excel Sheet-v21 (allInclusive).xlsm</t>
  </si>
  <si>
    <t>2233v03_20190512General Excel Sheet-v21 (allInclusive).xlsm</t>
  </si>
  <si>
    <t>2235v04_20190512General Excel Sheet-v21 (allInclusive).xlsm</t>
  </si>
  <si>
    <t>2445v02_20190512General Excel Sheet-v21 (allInclusive).xlsm</t>
  </si>
  <si>
    <t>2447v02a_20190521General Excel Sheet-v21 (allInclusive).xlsm</t>
  </si>
  <si>
    <t>2237v03a_20190521General Excel Sheet-v21 (allInclusive).xlsm</t>
  </si>
  <si>
    <r>
      <t>N</t>
    </r>
    <r>
      <rPr>
        <i/>
        <vertAlign val="subscript"/>
        <sz val="12"/>
        <color theme="1"/>
        <rFont val="Times New Roman"/>
        <family val="1"/>
      </rPr>
      <t>st</t>
    </r>
  </si>
  <si>
    <r>
      <rPr>
        <i/>
        <sz val="12"/>
        <color theme="1"/>
        <rFont val="Times New Roman"/>
        <family val="1"/>
      </rPr>
      <t>T</t>
    </r>
    <r>
      <rPr>
        <i/>
        <vertAlign val="subscript"/>
        <sz val="12"/>
        <color theme="1"/>
        <rFont val="Times New Roman"/>
        <family val="1"/>
      </rPr>
      <t>a</t>
    </r>
    <r>
      <rPr>
        <sz val="12"/>
        <color theme="1"/>
        <rFont val="Times New Roman"/>
        <family val="1"/>
      </rPr>
      <t xml:space="preserve">
(sec)</t>
    </r>
  </si>
  <si>
    <r>
      <rPr>
        <i/>
        <sz val="12"/>
        <color theme="1"/>
        <rFont val="Times New Roman"/>
        <family val="1"/>
      </rPr>
      <t>N</t>
    </r>
    <r>
      <rPr>
        <i/>
        <vertAlign val="subscript"/>
        <sz val="12"/>
        <color theme="1"/>
        <rFont val="Times New Roman"/>
        <family val="1"/>
      </rPr>
      <t>st</t>
    </r>
    <r>
      <rPr>
        <sz val="12"/>
        <color theme="1"/>
        <rFont val="Times New Roman"/>
        <family val="1"/>
      </rPr>
      <t>: number of stories</t>
    </r>
  </si>
  <si>
    <r>
      <rPr>
        <i/>
        <sz val="12"/>
        <color theme="1"/>
        <rFont val="Times New Roman"/>
        <family val="1"/>
      </rPr>
      <t>T</t>
    </r>
    <r>
      <rPr>
        <i/>
        <vertAlign val="subscript"/>
        <sz val="12"/>
        <color theme="1"/>
        <rFont val="Times New Roman"/>
        <family val="1"/>
      </rPr>
      <t>1</t>
    </r>
    <r>
      <rPr>
        <sz val="12"/>
        <color theme="1"/>
        <rFont val="Times New Roman"/>
        <family val="1"/>
      </rPr>
      <t>: analytical vibration period corresponding to first mode</t>
    </r>
  </si>
  <si>
    <r>
      <rPr>
        <i/>
        <sz val="12"/>
        <color theme="1"/>
        <rFont val="Times New Roman"/>
        <family val="1"/>
      </rPr>
      <t>C</t>
    </r>
    <r>
      <rPr>
        <i/>
        <vertAlign val="subscript"/>
        <sz val="12"/>
        <color theme="1"/>
        <rFont val="Times New Roman"/>
        <family val="1"/>
      </rPr>
      <t>s</t>
    </r>
    <r>
      <rPr>
        <sz val="12"/>
        <color theme="1"/>
        <rFont val="Times New Roman"/>
        <family val="1"/>
      </rPr>
      <t>: design-level seismic response coefficient</t>
    </r>
  </si>
  <si>
    <r>
      <rPr>
        <i/>
        <sz val="12"/>
        <color theme="1"/>
        <rFont val="Times New Roman"/>
        <family val="1"/>
      </rPr>
      <t>C</t>
    </r>
    <r>
      <rPr>
        <i/>
        <vertAlign val="subscript"/>
        <sz val="12"/>
        <color theme="1"/>
        <rFont val="Times New Roman"/>
        <family val="1"/>
      </rPr>
      <t>s,max</t>
    </r>
    <r>
      <rPr>
        <sz val="12"/>
        <color theme="1"/>
        <rFont val="Times New Roman"/>
        <family val="1"/>
      </rPr>
      <t>: maximum base shear coefficient</t>
    </r>
  </si>
  <si>
    <t>*- k_PGA,475,d is equal to 2.38 for all buildings and all seismic zones.</t>
  </si>
  <si>
    <t>'Delhi'</t>
  </si>
  <si>
    <t>'Guwahati'</t>
  </si>
  <si>
    <t>TR (y)</t>
  </si>
  <si>
    <t>T1 (sec)</t>
  </si>
  <si>
    <t>-</t>
  </si>
  <si>
    <r>
      <t xml:space="preserve">Comparison of spectral acceleration prescribed by design standard </t>
    </r>
    <r>
      <rPr>
        <b/>
        <sz val="12"/>
        <color rgb="FFFF0000"/>
        <rFont val="Times New Roman"/>
        <family val="1"/>
      </rPr>
      <t>(IS 1893)</t>
    </r>
    <r>
      <rPr>
        <sz val="12"/>
        <color theme="1"/>
        <rFont val="Times New Roman"/>
        <family val="1"/>
      </rPr>
      <t xml:space="preserve"> and reported by PSHA </t>
    </r>
    <r>
      <rPr>
        <sz val="12"/>
        <color rgb="FFFF0000"/>
        <rFont val="Times New Roman"/>
        <family val="1"/>
      </rPr>
      <t>(Raghukanth)</t>
    </r>
    <r>
      <rPr>
        <sz val="12"/>
        <color theme="1"/>
        <rFont val="Times New Roman"/>
        <family val="1"/>
      </rPr>
      <t xml:space="preserve"> for selected locations</t>
    </r>
  </si>
  <si>
    <t>Delhi (Zone-IV)</t>
  </si>
  <si>
    <t>Guwahati (Zone-V)</t>
  </si>
  <si>
    <t>2205v03_20200103General Excel Sheet-v21 (allInclusive).xlsm</t>
  </si>
  <si>
    <r>
      <t>N</t>
    </r>
    <r>
      <rPr>
        <i/>
        <vertAlign val="subscript"/>
        <sz val="12"/>
        <rFont val="Times New Roman"/>
        <family val="1"/>
      </rPr>
      <t>st</t>
    </r>
  </si>
  <si>
    <t>Zone</t>
  </si>
  <si>
    <r>
      <rPr>
        <i/>
        <sz val="12"/>
        <color theme="1"/>
        <rFont val="Times New Roman"/>
        <family val="1"/>
      </rPr>
      <t>T</t>
    </r>
    <r>
      <rPr>
        <i/>
        <vertAlign val="subscript"/>
        <sz val="12"/>
        <color theme="1"/>
        <rFont val="Times New Roman"/>
        <family val="1"/>
      </rPr>
      <t>1</t>
    </r>
    <r>
      <rPr>
        <sz val="12"/>
        <color theme="1"/>
        <rFont val="Times New Roman"/>
        <family val="1"/>
      </rPr>
      <t xml:space="preserve">
(sec)</t>
    </r>
  </si>
  <si>
    <r>
      <rPr>
        <i/>
        <sz val="12"/>
        <rFont val="Times New Roman"/>
        <family val="1"/>
      </rPr>
      <t>C</t>
    </r>
    <r>
      <rPr>
        <i/>
        <vertAlign val="subscript"/>
        <sz val="12"/>
        <rFont val="Times New Roman"/>
        <family val="1"/>
      </rPr>
      <t xml:space="preserve">s,max
</t>
    </r>
    <r>
      <rPr>
        <sz val="12"/>
        <rFont val="Times New Roman"/>
        <family val="1"/>
      </rPr>
      <t>(%)</t>
    </r>
  </si>
  <si>
    <r>
      <t xml:space="preserve">General design details of the buildings under consideration and Overstrength factor </t>
    </r>
    <r>
      <rPr>
        <i/>
        <sz val="11"/>
        <color theme="1"/>
        <rFont val="Times New Roman"/>
        <family val="2"/>
      </rPr>
      <t>Ω</t>
    </r>
    <r>
      <rPr>
        <i/>
        <vertAlign val="subscript"/>
        <sz val="11"/>
        <color theme="1"/>
        <rFont val="Times New Roman"/>
        <family val="2"/>
      </rPr>
      <t>0</t>
    </r>
    <r>
      <rPr>
        <sz val="11"/>
        <color theme="1"/>
        <rFont val="Times New Roman"/>
        <family val="2"/>
      </rPr>
      <t xml:space="preserve"> based on nonlinear static analysis.</t>
    </r>
  </si>
  <si>
    <r>
      <rPr>
        <i/>
        <sz val="11"/>
        <color theme="1"/>
        <rFont val="Times New Roman"/>
        <family val="1"/>
      </rPr>
      <t>N</t>
    </r>
    <r>
      <rPr>
        <i/>
        <vertAlign val="subscript"/>
        <sz val="11"/>
        <color theme="1"/>
        <rFont val="Times New Roman"/>
        <family val="1"/>
      </rPr>
      <t>st</t>
    </r>
    <r>
      <rPr>
        <sz val="11"/>
        <color theme="1"/>
        <rFont val="Times New Roman"/>
        <family val="1"/>
      </rPr>
      <t>: number of stories</t>
    </r>
  </si>
  <si>
    <r>
      <rPr>
        <i/>
        <sz val="11"/>
        <color theme="1"/>
        <rFont val="Times New Roman"/>
        <family val="1"/>
      </rPr>
      <t>T</t>
    </r>
    <r>
      <rPr>
        <i/>
        <vertAlign val="subscript"/>
        <sz val="11"/>
        <color theme="1"/>
        <rFont val="Times New Roman"/>
        <family val="1"/>
      </rPr>
      <t>a</t>
    </r>
    <r>
      <rPr>
        <sz val="11"/>
        <color theme="1"/>
        <rFont val="Times New Roman"/>
        <family val="1"/>
      </rPr>
      <t>: approximate natural period as per IS 1893 (part 1) (2016); for Ta =  0, Sa(Ta) corresponds to PGA</t>
    </r>
  </si>
  <si>
    <r>
      <rPr>
        <i/>
        <sz val="11"/>
        <color theme="1"/>
        <rFont val="Times New Roman"/>
        <family val="1"/>
      </rPr>
      <t>T</t>
    </r>
    <r>
      <rPr>
        <i/>
        <vertAlign val="subscript"/>
        <sz val="11"/>
        <color theme="1"/>
        <rFont val="Times New Roman"/>
        <family val="1"/>
      </rPr>
      <t>1</t>
    </r>
    <r>
      <rPr>
        <sz val="11"/>
        <color theme="1"/>
        <rFont val="Times New Roman"/>
        <family val="1"/>
      </rPr>
      <t>: analytical vibration period corresponding to first mode</t>
    </r>
  </si>
  <si>
    <r>
      <rPr>
        <i/>
        <sz val="11"/>
        <color theme="1"/>
        <rFont val="Times New Roman"/>
        <family val="1"/>
      </rPr>
      <t>C</t>
    </r>
    <r>
      <rPr>
        <i/>
        <vertAlign val="subscript"/>
        <sz val="11"/>
        <color theme="1"/>
        <rFont val="Times New Roman"/>
        <family val="1"/>
      </rPr>
      <t>s,max</t>
    </r>
    <r>
      <rPr>
        <sz val="11"/>
        <color theme="1"/>
        <rFont val="Times New Roman"/>
        <family val="1"/>
      </rPr>
      <t>: maximum base shear coefficient</t>
    </r>
  </si>
  <si>
    <r>
      <t>Ω</t>
    </r>
    <r>
      <rPr>
        <i/>
        <vertAlign val="subscript"/>
        <sz val="11"/>
        <rFont val="Times New Roman"/>
        <family val="1"/>
      </rPr>
      <t>0</t>
    </r>
    <r>
      <rPr>
        <sz val="11"/>
        <rFont val="Times New Roman"/>
        <family val="1"/>
      </rPr>
      <t>: Overstrength factor based on static pushover analysis</t>
    </r>
  </si>
  <si>
    <t>Building ID</t>
  </si>
  <si>
    <t>Spectral acceleration at Ta, Sa(Ta)</t>
  </si>
  <si>
    <t>Peak ground acceleration, ag</t>
  </si>
  <si>
    <r>
      <t xml:space="preserve">Fragility parameters of buildings under consideration corresponding to different damage states and two intensity measures, </t>
    </r>
    <r>
      <rPr>
        <i/>
        <sz val="12"/>
        <color theme="1"/>
        <rFont val="Times New Roman"/>
        <family val="1"/>
      </rPr>
      <t xml:space="preserve">viz., ag, </t>
    </r>
    <r>
      <rPr>
        <sz val="12"/>
        <color theme="1"/>
        <rFont val="Times New Roman"/>
        <family val="1"/>
      </rPr>
      <t>peak ground acceleration, and Sa(Ta), spectral acceleration at Ta.</t>
    </r>
  </si>
  <si>
    <r>
      <rPr>
        <i/>
        <sz val="12"/>
        <color theme="1"/>
        <rFont val="Times New Roman"/>
        <family val="1"/>
      </rPr>
      <t>μ</t>
    </r>
    <r>
      <rPr>
        <i/>
        <vertAlign val="subscript"/>
        <sz val="12"/>
        <color theme="1"/>
        <rFont val="Times New Roman"/>
        <family val="1"/>
      </rPr>
      <t>ds,IM</t>
    </r>
    <r>
      <rPr>
        <sz val="12"/>
        <color theme="1"/>
        <rFont val="Times New Roman"/>
        <family val="1"/>
      </rPr>
      <t xml:space="preserve">: median fragility parameter for damage state </t>
    </r>
    <r>
      <rPr>
        <i/>
        <sz val="12"/>
        <color theme="1"/>
        <rFont val="Times New Roman"/>
        <family val="1"/>
      </rPr>
      <t xml:space="preserve">ds, </t>
    </r>
    <r>
      <rPr>
        <sz val="12"/>
        <color theme="1"/>
        <rFont val="Times New Roman"/>
        <family val="1"/>
      </rPr>
      <t>corresponding to intensity measure, IM</t>
    </r>
  </si>
  <si>
    <r>
      <t>μ</t>
    </r>
    <r>
      <rPr>
        <i/>
        <vertAlign val="subscript"/>
        <sz val="12"/>
        <color theme="1"/>
        <rFont val="Times New Roman"/>
        <family val="1"/>
      </rPr>
      <t>IO,ag</t>
    </r>
  </si>
  <si>
    <r>
      <t>μ</t>
    </r>
    <r>
      <rPr>
        <i/>
        <vertAlign val="subscript"/>
        <sz val="12"/>
        <color theme="1"/>
        <rFont val="Times New Roman"/>
        <family val="1"/>
      </rPr>
      <t>LS,ag</t>
    </r>
  </si>
  <si>
    <r>
      <t>μ</t>
    </r>
    <r>
      <rPr>
        <i/>
        <vertAlign val="subscript"/>
        <sz val="12"/>
        <color theme="1"/>
        <rFont val="Times New Roman"/>
        <family val="1"/>
      </rPr>
      <t>CP,ag</t>
    </r>
  </si>
  <si>
    <r>
      <t>μ</t>
    </r>
    <r>
      <rPr>
        <i/>
        <vertAlign val="subscript"/>
        <sz val="12"/>
        <color theme="1"/>
        <rFont val="Times New Roman"/>
        <family val="1"/>
      </rPr>
      <t>IO,SaTa</t>
    </r>
  </si>
  <si>
    <r>
      <t>μ</t>
    </r>
    <r>
      <rPr>
        <i/>
        <vertAlign val="subscript"/>
        <sz val="12"/>
        <color theme="1"/>
        <rFont val="Times New Roman"/>
        <family val="1"/>
      </rPr>
      <t>LS,SaTa</t>
    </r>
  </si>
  <si>
    <r>
      <t>μ</t>
    </r>
    <r>
      <rPr>
        <i/>
        <vertAlign val="subscript"/>
        <sz val="12"/>
        <color theme="1"/>
        <rFont val="Times New Roman"/>
        <family val="1"/>
      </rPr>
      <t>CP,SaTa</t>
    </r>
  </si>
  <si>
    <t>Seismic Zone</t>
  </si>
  <si>
    <t>Section, reinforcement, and modeling details of central column and central beam at the ground floor of considered buildings</t>
  </si>
  <si>
    <t xml:space="preserve"> </t>
  </si>
  <si>
    <t>Delhi</t>
  </si>
  <si>
    <t>Guwahati</t>
  </si>
  <si>
    <t>ag</t>
  </si>
  <si>
    <t>ag_ub</t>
  </si>
  <si>
    <t>N_st = 4
Ta = 0.61</t>
  </si>
  <si>
    <t>N_st = 7
Ta = 0.91</t>
  </si>
  <si>
    <r>
      <t>(×10</t>
    </r>
    <r>
      <rPr>
        <vertAlign val="superscript"/>
        <sz val="12"/>
        <color theme="1"/>
        <rFont val="Times New Roman"/>
        <family val="1"/>
      </rPr>
      <t>-4</t>
    </r>
    <r>
      <rPr>
        <sz val="12"/>
        <color theme="1"/>
        <rFont val="Times New Roman"/>
        <family val="1"/>
      </rPr>
      <t>)</t>
    </r>
  </si>
  <si>
    <t>Effect of hazard shape on seismic risk corresponding to CP damage state, using code-based idealized shape and actual curve from PSHA.</t>
  </si>
  <si>
    <t>PSHA shape</t>
  </si>
  <si>
    <t>Code shape</t>
  </si>
  <si>
    <t>BldgID</t>
  </si>
  <si>
    <t>AVRG</t>
  </si>
  <si>
    <t>Geo-mean</t>
  </si>
  <si>
    <r>
      <t>β</t>
    </r>
    <r>
      <rPr>
        <i/>
        <vertAlign val="subscript"/>
        <sz val="12"/>
        <rFont val="Times New Roman"/>
        <family val="1"/>
      </rPr>
      <t>RTR,ds,SaTo</t>
    </r>
  </si>
  <si>
    <t>City</t>
  </si>
  <si>
    <r>
      <t>λ</t>
    </r>
    <r>
      <rPr>
        <i/>
        <vertAlign val="subscript"/>
        <sz val="12"/>
        <color theme="1"/>
        <rFont val="Times New Roman"/>
        <family val="1"/>
      </rPr>
      <t xml:space="preserve">IO,IM </t>
    </r>
    <r>
      <rPr>
        <sz val="12"/>
        <color theme="1"/>
        <rFont val="Times New Roman"/>
        <family val="1"/>
      </rPr>
      <t>(×10</t>
    </r>
    <r>
      <rPr>
        <vertAlign val="superscript"/>
        <sz val="12"/>
        <color theme="1"/>
        <rFont val="Times New Roman"/>
        <family val="1"/>
      </rPr>
      <t>-4</t>
    </r>
    <r>
      <rPr>
        <sz val="12"/>
        <color theme="1"/>
        <rFont val="Times New Roman"/>
        <family val="1"/>
      </rPr>
      <t>)</t>
    </r>
  </si>
  <si>
    <r>
      <t>T</t>
    </r>
    <r>
      <rPr>
        <i/>
        <vertAlign val="subscript"/>
        <sz val="12"/>
        <rFont val="Times New Roman"/>
        <family val="1"/>
      </rPr>
      <t xml:space="preserve">o,ds
</t>
    </r>
    <r>
      <rPr>
        <sz val="12"/>
        <rFont val="Times New Roman"/>
        <family val="1"/>
      </rPr>
      <t>(s)</t>
    </r>
  </si>
  <si>
    <r>
      <rPr>
        <i/>
        <sz val="12"/>
        <color theme="1"/>
        <rFont val="Times New Roman"/>
        <family val="1"/>
      </rPr>
      <t>T</t>
    </r>
    <r>
      <rPr>
        <i/>
        <vertAlign val="subscript"/>
        <sz val="12"/>
        <color theme="1"/>
        <rFont val="Times New Roman"/>
        <family val="1"/>
      </rPr>
      <t>o,ds</t>
    </r>
    <r>
      <rPr>
        <sz val="12"/>
        <color theme="1"/>
        <rFont val="Times New Roman"/>
        <family val="1"/>
      </rPr>
      <t xml:space="preserve">: Optimal period of vibration restricted up to 2.0 sec, such that </t>
    </r>
    <r>
      <rPr>
        <i/>
        <sz val="12"/>
        <color theme="1"/>
        <rFont val="Times New Roman"/>
        <family val="1"/>
      </rPr>
      <t>β</t>
    </r>
    <r>
      <rPr>
        <i/>
        <vertAlign val="subscript"/>
        <sz val="12"/>
        <color theme="1"/>
        <rFont val="Times New Roman"/>
        <family val="1"/>
      </rPr>
      <t>RTR</t>
    </r>
    <r>
      <rPr>
        <sz val="12"/>
        <color theme="1"/>
        <rFont val="Times New Roman"/>
        <family val="1"/>
      </rPr>
      <t xml:space="preserve"> is smallest for the damage state, </t>
    </r>
    <r>
      <rPr>
        <i/>
        <sz val="12"/>
        <color theme="1"/>
        <rFont val="Times New Roman"/>
        <family val="1"/>
      </rPr>
      <t>ds</t>
    </r>
  </si>
  <si>
    <r>
      <rPr>
        <i/>
        <sz val="12"/>
        <color theme="1"/>
        <rFont val="Times New Roman"/>
        <family val="1"/>
      </rPr>
      <t>λ</t>
    </r>
    <r>
      <rPr>
        <i/>
        <vertAlign val="subscript"/>
        <sz val="12"/>
        <color theme="1"/>
        <rFont val="Times New Roman"/>
        <family val="1"/>
      </rPr>
      <t>ds,IM</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considered intensity measure IM</t>
    </r>
  </si>
  <si>
    <r>
      <rPr>
        <i/>
        <sz val="12"/>
        <color theme="1"/>
        <rFont val="Times New Roman"/>
        <family val="1"/>
      </rPr>
      <t>T</t>
    </r>
    <r>
      <rPr>
        <i/>
        <vertAlign val="subscript"/>
        <sz val="12"/>
        <color theme="1"/>
        <rFont val="Times New Roman"/>
        <family val="1"/>
      </rPr>
      <t>ogm</t>
    </r>
    <r>
      <rPr>
        <sz val="12"/>
        <color theme="1"/>
        <rFont val="Times New Roman"/>
        <family val="1"/>
      </rPr>
      <t xml:space="preserve">: Geometric mean of periods of vibration </t>
    </r>
    <r>
      <rPr>
        <i/>
        <sz val="12"/>
        <color theme="1"/>
        <rFont val="Times New Roman"/>
        <family val="1"/>
      </rPr>
      <t>T</t>
    </r>
    <r>
      <rPr>
        <i/>
        <vertAlign val="subscript"/>
        <sz val="12"/>
        <color theme="1"/>
        <rFont val="Times New Roman"/>
        <family val="1"/>
      </rPr>
      <t>o,ds</t>
    </r>
    <r>
      <rPr>
        <sz val="12"/>
        <color theme="1"/>
        <rFont val="Times New Roman"/>
        <family val="1"/>
      </rPr>
      <t>, corresponding to three damage states under consideration, viz., IO, LS, and CP</t>
    </r>
  </si>
  <si>
    <t>Effect of intensity measure selection on record-to-record variability in the fragility. Optimal period of vibration along with the record-to-record dispersion corresponding to different buildings for different damage states.</t>
  </si>
  <si>
    <r>
      <t xml:space="preserve">Peak ground acceleration, </t>
    </r>
    <r>
      <rPr>
        <i/>
        <sz val="12"/>
        <color theme="1"/>
        <rFont val="Times New Roman"/>
        <family val="1"/>
      </rPr>
      <t>ag</t>
    </r>
  </si>
  <si>
    <r>
      <t>T</t>
    </r>
    <r>
      <rPr>
        <i/>
        <vertAlign val="subscript"/>
        <sz val="12"/>
        <color theme="1"/>
        <rFont val="Times New Roman"/>
        <family val="1"/>
      </rPr>
      <t xml:space="preserve">ogm
</t>
    </r>
    <r>
      <rPr>
        <sz val="12"/>
        <color theme="1"/>
        <rFont val="Times New Roman"/>
        <family val="1"/>
      </rPr>
      <t>(s)</t>
    </r>
  </si>
  <si>
    <t>Deficit in Hazard</t>
  </si>
  <si>
    <t>Deficit in Capacity</t>
  </si>
  <si>
    <r>
      <t xml:space="preserve">μ + 1.0 </t>
    </r>
    <r>
      <rPr>
        <sz val="12"/>
        <color theme="1"/>
        <rFont val="Calibri"/>
        <family val="2"/>
      </rPr>
      <t>σ</t>
    </r>
  </si>
  <si>
    <t>Risk-based deficit in design force</t>
  </si>
  <si>
    <r>
      <t>T</t>
    </r>
    <r>
      <rPr>
        <i/>
        <vertAlign val="subscript"/>
        <sz val="12"/>
        <color theme="1"/>
        <rFont val="Times New Roman"/>
        <family val="1"/>
      </rPr>
      <t>ogm</t>
    </r>
    <r>
      <rPr>
        <i/>
        <sz val="12"/>
        <color theme="1"/>
        <rFont val="Times New Roman"/>
        <family val="1"/>
      </rPr>
      <t xml:space="preserve">
</t>
    </r>
    <r>
      <rPr>
        <sz val="12"/>
        <color theme="1"/>
        <rFont val="Times New Roman"/>
        <family val="1"/>
      </rPr>
      <t>(s)</t>
    </r>
  </si>
  <si>
    <r>
      <t xml:space="preserve">General design details of the buildings under consideration and Overstrength factor </t>
    </r>
    <r>
      <rPr>
        <i/>
        <sz val="12"/>
        <color theme="1"/>
        <rFont val="Times New Roman"/>
        <family val="1"/>
      </rPr>
      <t>Ω</t>
    </r>
    <r>
      <rPr>
        <i/>
        <vertAlign val="subscript"/>
        <sz val="12"/>
        <color theme="1"/>
        <rFont val="Times New Roman"/>
        <family val="1"/>
      </rPr>
      <t>0</t>
    </r>
    <r>
      <rPr>
        <sz val="12"/>
        <color theme="1"/>
        <rFont val="Times New Roman"/>
        <family val="1"/>
      </rPr>
      <t xml:space="preserve"> based on nonlinear static analysis.</t>
    </r>
  </si>
  <si>
    <t>Uniform hazard spectrum corresponding to the return period of 475 year from PSHA and as per the design standard (IS-1893) for the cities under study.</t>
  </si>
  <si>
    <t>Schematic diagram of a sub-assemblage of the nonlinear analytical model used for fragility analysis of special moment resisting RC frame.</t>
  </si>
  <si>
    <t>(a) Common plan of buildings under the study; Elevation and section details with required longitudinal reinforcement for (b) 4-story building (ID-2221), (c) 7-story building (ID-2223), and (d) 12-story building (ID-2225), in seismic zone-V. All beams in all three buildings are 400×750 mm in size.</t>
  </si>
  <si>
    <r>
      <rPr>
        <i/>
        <sz val="11"/>
        <color theme="1"/>
        <rFont val="Times New Roman"/>
        <family val="1"/>
      </rPr>
      <t>f</t>
    </r>
    <r>
      <rPr>
        <i/>
        <vertAlign val="subscript"/>
        <sz val="11"/>
        <color theme="1"/>
        <rFont val="Times New Roman"/>
        <family val="1"/>
      </rPr>
      <t>ck</t>
    </r>
    <r>
      <rPr>
        <sz val="11"/>
        <color theme="1"/>
        <rFont val="Times New Roman"/>
        <family val="1"/>
      </rPr>
      <t>: characteristic strength of the concrete cube after 28 days (≈ 0.8×</t>
    </r>
    <r>
      <rPr>
        <i/>
        <sz val="11"/>
        <color theme="1"/>
        <rFont val="Times New Roman"/>
        <family val="1"/>
      </rPr>
      <t>f</t>
    </r>
    <r>
      <rPr>
        <i/>
        <vertAlign val="subscript"/>
        <sz val="11"/>
        <color theme="1"/>
        <rFont val="Times New Roman"/>
        <family val="1"/>
      </rPr>
      <t>c</t>
    </r>
    <r>
      <rPr>
        <i/>
        <sz val="11"/>
        <color theme="1"/>
        <rFont val="Times New Roman"/>
        <family val="1"/>
      </rPr>
      <t>'</t>
    </r>
    <r>
      <rPr>
        <sz val="11"/>
        <color theme="1"/>
        <rFont val="Times New Roman"/>
        <family val="1"/>
      </rPr>
      <t>)</t>
    </r>
  </si>
  <si>
    <r>
      <rPr>
        <i/>
        <sz val="11"/>
        <color theme="1"/>
        <rFont val="Times New Roman"/>
        <family val="1"/>
      </rPr>
      <t>M</t>
    </r>
    <r>
      <rPr>
        <i/>
        <vertAlign val="subscript"/>
        <sz val="11"/>
        <color theme="1"/>
        <rFont val="Times New Roman"/>
        <family val="1"/>
      </rPr>
      <t>c</t>
    </r>
    <r>
      <rPr>
        <i/>
        <sz val="11"/>
        <color theme="1"/>
        <rFont val="Times New Roman"/>
        <family val="1"/>
      </rPr>
      <t>/M</t>
    </r>
    <r>
      <rPr>
        <i/>
        <vertAlign val="subscript"/>
        <sz val="11"/>
        <color theme="1"/>
        <rFont val="Times New Roman"/>
        <family val="1"/>
      </rPr>
      <t>y:</t>
    </r>
    <r>
      <rPr>
        <sz val="11"/>
        <color theme="1"/>
        <rFont val="Times New Roman"/>
        <family val="1"/>
      </rPr>
      <t>: Ratio of capping-to-yield moment capacity of the backbone curve of the member</t>
    </r>
  </si>
  <si>
    <r>
      <rPr>
        <i/>
        <sz val="11"/>
        <color theme="1"/>
        <rFont val="Times New Roman"/>
        <family val="1"/>
      </rPr>
      <t>θ</t>
    </r>
    <r>
      <rPr>
        <i/>
        <vertAlign val="subscript"/>
        <sz val="11"/>
        <color theme="1"/>
        <rFont val="Times New Roman"/>
        <family val="1"/>
      </rPr>
      <t>pc</t>
    </r>
    <r>
      <rPr>
        <sz val="11"/>
        <color theme="1"/>
        <rFont val="Times New Roman"/>
        <family val="1"/>
      </rPr>
      <t>: post-capping rotation</t>
    </r>
  </si>
  <si>
    <r>
      <rPr>
        <i/>
        <sz val="11"/>
        <color theme="1"/>
        <rFont val="Times New Roman"/>
        <family val="1"/>
      </rPr>
      <t>θ</t>
    </r>
    <r>
      <rPr>
        <i/>
        <vertAlign val="subscript"/>
        <sz val="11"/>
        <color theme="1"/>
        <rFont val="Times New Roman"/>
        <family val="1"/>
      </rPr>
      <t>cap</t>
    </r>
    <r>
      <rPr>
        <sz val="11"/>
        <color theme="1"/>
        <rFont val="Times New Roman"/>
        <family val="1"/>
      </rPr>
      <t xml:space="preserve">: member rotation at capping moment, </t>
    </r>
    <r>
      <rPr>
        <i/>
        <sz val="11"/>
        <color theme="1"/>
        <rFont val="Times New Roman"/>
        <family val="1"/>
      </rPr>
      <t>M</t>
    </r>
    <r>
      <rPr>
        <i/>
        <vertAlign val="subscript"/>
        <sz val="11"/>
        <color theme="1"/>
        <rFont val="Times New Roman"/>
        <family val="1"/>
      </rPr>
      <t>c</t>
    </r>
    <r>
      <rPr>
        <i/>
        <sz val="11"/>
        <color theme="1"/>
        <rFont val="Times New Roman"/>
        <family val="1"/>
      </rPr>
      <t>;</t>
    </r>
    <r>
      <rPr>
        <sz val="11"/>
        <color theme="1"/>
        <rFont val="Times New Roman"/>
        <family val="1"/>
      </rPr>
      <t xml:space="preserve"> equals the sum of plastic rotation, </t>
    </r>
    <r>
      <rPr>
        <i/>
        <sz val="11"/>
        <color theme="1"/>
        <rFont val="Times New Roman"/>
        <family val="1"/>
      </rPr>
      <t>θ</t>
    </r>
    <r>
      <rPr>
        <i/>
        <vertAlign val="subscript"/>
        <sz val="11"/>
        <color theme="1"/>
        <rFont val="Times New Roman"/>
        <family val="1"/>
      </rPr>
      <t>p</t>
    </r>
    <r>
      <rPr>
        <sz val="11"/>
        <color theme="1"/>
        <rFont val="Times New Roman"/>
        <family val="1"/>
      </rPr>
      <t xml:space="preserve"> and yield rotation, </t>
    </r>
    <r>
      <rPr>
        <i/>
        <sz val="11"/>
        <color theme="1"/>
        <rFont val="Times New Roman"/>
        <family val="1"/>
      </rPr>
      <t>θ</t>
    </r>
    <r>
      <rPr>
        <i/>
        <vertAlign val="subscript"/>
        <sz val="11"/>
        <color theme="1"/>
        <rFont val="Times New Roman"/>
        <family val="1"/>
      </rPr>
      <t>y</t>
    </r>
  </si>
  <si>
    <t>Response spectra of 22×2 suite of FEMA P695 far-field ground motion. Site-specific uniform hazard spectra (Tr = 475 year) for Delhi and Guwahati are individually scaled to match with the median spectral acceleration at (a) 0.61 sec, (b) 0.91 sec, and (c) 1.35 sec, which are empirical time period of the 4-story, 7-story, and 12-story buildings, respectively.</t>
  </si>
  <si>
    <t>Max</t>
  </si>
  <si>
    <t>Min</t>
  </si>
  <si>
    <t>μ</t>
  </si>
  <si>
    <r>
      <t>20×10</t>
    </r>
    <r>
      <rPr>
        <vertAlign val="superscript"/>
        <sz val="14"/>
        <color rgb="FF0000FF"/>
        <rFont val="Calibri"/>
        <family val="2"/>
        <scheme val="minor"/>
      </rPr>
      <t>-4</t>
    </r>
  </si>
  <si>
    <r>
      <t>λ</t>
    </r>
    <r>
      <rPr>
        <vertAlign val="subscript"/>
        <sz val="14"/>
        <color rgb="FF0000FF"/>
        <rFont val="Calibri"/>
        <family val="2"/>
        <scheme val="minor"/>
      </rPr>
      <t>IO,1893</t>
    </r>
  </si>
  <si>
    <t>Design Life</t>
  </si>
  <si>
    <r>
      <t>Sa(Ta)_475,</t>
    </r>
    <r>
      <rPr>
        <i/>
        <sz val="12"/>
        <color theme="1"/>
        <rFont val="Times New Roman"/>
        <family val="1"/>
      </rPr>
      <t>H</t>
    </r>
  </si>
  <si>
    <r>
      <t>Sa(Ta)_475,</t>
    </r>
    <r>
      <rPr>
        <i/>
        <sz val="12"/>
        <color theme="1"/>
        <rFont val="Times New Roman"/>
        <family val="1"/>
      </rPr>
      <t>D</t>
    </r>
  </si>
  <si>
    <r>
      <rPr>
        <i/>
        <sz val="12"/>
        <rFont val="Times New Roman"/>
        <family val="1"/>
      </rPr>
      <t>C</t>
    </r>
    <r>
      <rPr>
        <i/>
        <vertAlign val="subscript"/>
        <sz val="12"/>
        <rFont val="Times New Roman"/>
        <family val="1"/>
      </rPr>
      <t xml:space="preserve">s,D
</t>
    </r>
    <r>
      <rPr>
        <sz val="12"/>
        <rFont val="Times New Roman"/>
        <family val="1"/>
      </rPr>
      <t>(%)</t>
    </r>
  </si>
  <si>
    <r>
      <rPr>
        <i/>
        <sz val="11"/>
        <color theme="1"/>
        <rFont val="Times New Roman"/>
        <family val="1"/>
      </rPr>
      <t>C</t>
    </r>
    <r>
      <rPr>
        <i/>
        <vertAlign val="subscript"/>
        <sz val="11"/>
        <color theme="1"/>
        <rFont val="Times New Roman"/>
        <family val="1"/>
      </rPr>
      <t>s,D</t>
    </r>
    <r>
      <rPr>
        <sz val="11"/>
        <color theme="1"/>
        <rFont val="Times New Roman"/>
        <family val="1"/>
      </rPr>
      <t>: design-level seismic response coefficient</t>
    </r>
  </si>
  <si>
    <r>
      <rPr>
        <i/>
        <sz val="12"/>
        <color theme="1"/>
        <rFont val="Times New Roman"/>
        <family val="1"/>
      </rPr>
      <t>λ</t>
    </r>
    <r>
      <rPr>
        <i/>
        <vertAlign val="subscript"/>
        <sz val="12"/>
        <color theme="1"/>
        <rFont val="Times New Roman"/>
        <family val="1"/>
      </rPr>
      <t>ds,IM,unb</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no bound on the considered intensity measure IM</t>
    </r>
  </si>
  <si>
    <r>
      <rPr>
        <i/>
        <sz val="12"/>
        <color theme="1"/>
        <rFont val="Times New Roman"/>
        <family val="1"/>
      </rPr>
      <t>λ</t>
    </r>
    <r>
      <rPr>
        <i/>
        <vertAlign val="subscript"/>
        <sz val="12"/>
        <color theme="1"/>
        <rFont val="Times New Roman"/>
        <family val="1"/>
      </rPr>
      <t>ds,IM,lb</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xml:space="preserve">, with lower bound </t>
    </r>
    <r>
      <rPr>
        <i/>
        <sz val="12"/>
        <color theme="1"/>
        <rFont val="Times New Roman"/>
        <family val="1"/>
      </rPr>
      <t>im_ds,lb</t>
    </r>
    <r>
      <rPr>
        <sz val="12"/>
        <color theme="1"/>
        <rFont val="Times New Roman"/>
        <family val="1"/>
      </rPr>
      <t xml:space="preserve"> on the considered intensity measure IM</t>
    </r>
  </si>
  <si>
    <r>
      <rPr>
        <i/>
        <sz val="12"/>
        <color theme="1"/>
        <rFont val="Times New Roman"/>
        <family val="1"/>
      </rPr>
      <t>λ</t>
    </r>
    <r>
      <rPr>
        <i/>
        <vertAlign val="subscript"/>
        <sz val="12"/>
        <color theme="1"/>
        <rFont val="Times New Roman"/>
        <family val="1"/>
      </rPr>
      <t>ds,IM,lub</t>
    </r>
    <r>
      <rPr>
        <sz val="12"/>
        <color theme="1"/>
        <rFont val="Times New Roman"/>
        <family val="1"/>
      </rPr>
      <t xml:space="preserve">: Seismic risk corresponding to damage state ds, with lower bound </t>
    </r>
    <r>
      <rPr>
        <i/>
        <sz val="12"/>
        <color theme="1"/>
        <rFont val="Times New Roman"/>
        <family val="1"/>
      </rPr>
      <t>im_ds,lb</t>
    </r>
    <r>
      <rPr>
        <sz val="12"/>
        <color theme="1"/>
        <rFont val="Times New Roman"/>
        <family val="1"/>
      </rPr>
      <t xml:space="preserve"> and upper bound lower bound </t>
    </r>
    <r>
      <rPr>
        <i/>
        <sz val="12"/>
        <color theme="1"/>
        <rFont val="Times New Roman"/>
        <family val="1"/>
      </rPr>
      <t>im_ds,ub</t>
    </r>
    <r>
      <rPr>
        <sz val="12"/>
        <color theme="1"/>
        <rFont val="Times New Roman"/>
        <family val="1"/>
      </rPr>
      <t xml:space="preserve"> on the considered intensity measure IM</t>
    </r>
  </si>
  <si>
    <r>
      <rPr>
        <i/>
        <sz val="12"/>
        <color theme="1"/>
        <rFont val="Times New Roman"/>
        <family val="1"/>
      </rPr>
      <t>Δλ</t>
    </r>
    <r>
      <rPr>
        <i/>
        <vertAlign val="subscript"/>
        <sz val="12"/>
        <color theme="1"/>
        <rFont val="Times New Roman"/>
        <family val="1"/>
      </rPr>
      <t>ds,IM,lb</t>
    </r>
    <r>
      <rPr>
        <sz val="12"/>
        <color theme="1"/>
        <rFont val="Times New Roman"/>
        <family val="1"/>
      </rPr>
      <t>: Marginal effect of lower bound of intensity measure IM, on seismic risk corresponding to damage state ds</t>
    </r>
  </si>
  <si>
    <r>
      <rPr>
        <i/>
        <sz val="12"/>
        <color theme="1"/>
        <rFont val="Times New Roman"/>
        <family val="1"/>
      </rPr>
      <t>Δλ</t>
    </r>
    <r>
      <rPr>
        <i/>
        <vertAlign val="subscript"/>
        <sz val="12"/>
        <color theme="1"/>
        <rFont val="Times New Roman"/>
        <family val="1"/>
      </rPr>
      <t>ds,IM,ub</t>
    </r>
    <r>
      <rPr>
        <sz val="12"/>
        <color theme="1"/>
        <rFont val="Times New Roman"/>
        <family val="1"/>
      </rPr>
      <t>: Marginal effect of upper bound of intensity measure IM, on seismic risk corresponding to damage state ds</t>
    </r>
  </si>
  <si>
    <t>Togm
(s)</t>
  </si>
  <si>
    <t>Spectral acceleration at Togm, Sa(Togm)</t>
  </si>
  <si>
    <t>SaTa_ub (g)</t>
  </si>
  <si>
    <t>N_st = 4</t>
  </si>
  <si>
    <t>N_st = 7</t>
  </si>
  <si>
    <t>Minimum building capacity, im_ds,lb (in terms of g), for different damage states corresponding to peak ground acceleration, ag, and spectral acceleration, Sa(Togm).</t>
  </si>
  <si>
    <t>Variation in β_RTR, record-to-record uncertainty in the fragility, with different intensity measure Sa(Tj), for example buidlings---(a) ID-2213 (zone-IV, 4-story), (b) ID-2215 (zone-IV, 7-story), (c) ID-2217 (zone-IV, 12-story) (d) ID-2221 (zone-V, 4-story), (e) ID-2223 (zone-V, 7-story), and (f) ID-2225 (zone-V, 12-story). On abscissa is the period Tj corresponding to spectral acceleration.</t>
  </si>
  <si>
    <r>
      <rPr>
        <i/>
        <sz val="12"/>
        <color theme="1"/>
        <rFont val="Times New Roman"/>
        <family val="1"/>
      </rPr>
      <t>β</t>
    </r>
    <r>
      <rPr>
        <i/>
        <vertAlign val="subscript"/>
        <sz val="12"/>
        <color theme="1"/>
        <rFont val="Times New Roman"/>
        <family val="1"/>
      </rPr>
      <t>RTR,ds,IM</t>
    </r>
    <r>
      <rPr>
        <sz val="12"/>
        <color theme="1"/>
        <rFont val="Times New Roman"/>
        <family val="1"/>
      </rPr>
      <t xml:space="preserve">: total logarithmic standard deviation in fragility for damage state </t>
    </r>
    <r>
      <rPr>
        <i/>
        <sz val="12"/>
        <color theme="1"/>
        <rFont val="Times New Roman"/>
        <family val="1"/>
      </rPr>
      <t>ds,</t>
    </r>
    <r>
      <rPr>
        <sz val="12"/>
        <color theme="1"/>
        <rFont val="Times New Roman"/>
        <family val="1"/>
      </rPr>
      <t>corresponding to intensity measure, IM</t>
    </r>
  </si>
  <si>
    <r>
      <t>β</t>
    </r>
    <r>
      <rPr>
        <i/>
        <vertAlign val="subscript"/>
        <sz val="12"/>
        <color theme="1"/>
        <rFont val="Times New Roman"/>
        <family val="1"/>
      </rPr>
      <t>RTR,CP,ag</t>
    </r>
  </si>
  <si>
    <r>
      <t>β</t>
    </r>
    <r>
      <rPr>
        <i/>
        <vertAlign val="subscript"/>
        <sz val="12"/>
        <color theme="1"/>
        <rFont val="Times New Roman"/>
        <family val="1"/>
      </rPr>
      <t>RTR,LS,ag</t>
    </r>
  </si>
  <si>
    <r>
      <t>β</t>
    </r>
    <r>
      <rPr>
        <i/>
        <vertAlign val="subscript"/>
        <sz val="12"/>
        <color theme="1"/>
        <rFont val="Times New Roman"/>
        <family val="1"/>
      </rPr>
      <t>RTR,IO,ag</t>
    </r>
  </si>
  <si>
    <r>
      <t>β</t>
    </r>
    <r>
      <rPr>
        <i/>
        <vertAlign val="subscript"/>
        <sz val="12"/>
        <color theme="1"/>
        <rFont val="Times New Roman"/>
        <family val="1"/>
      </rPr>
      <t>RTR,CP,SaTa</t>
    </r>
  </si>
  <si>
    <r>
      <t>β</t>
    </r>
    <r>
      <rPr>
        <i/>
        <vertAlign val="subscript"/>
        <sz val="12"/>
        <color theme="1"/>
        <rFont val="Times New Roman"/>
        <family val="1"/>
      </rPr>
      <t>RTR,LS,SaTa</t>
    </r>
  </si>
  <si>
    <r>
      <t>β</t>
    </r>
    <r>
      <rPr>
        <i/>
        <vertAlign val="subscript"/>
        <sz val="12"/>
        <color theme="1"/>
        <rFont val="Times New Roman"/>
        <family val="1"/>
      </rPr>
      <t>RTR,IO,SaTa</t>
    </r>
  </si>
  <si>
    <t>Data for plotting in MATLAB</t>
  </si>
  <si>
    <t>min</t>
  </si>
  <si>
    <t>max</t>
  </si>
  <si>
    <t>max-min</t>
  </si>
  <si>
    <t>average</t>
  </si>
  <si>
    <r>
      <t>β</t>
    </r>
    <r>
      <rPr>
        <i/>
        <vertAlign val="subscript"/>
        <sz val="12"/>
        <rFont val="Times New Roman"/>
        <family val="1"/>
      </rPr>
      <t>RTR,ds,SaTogm</t>
    </r>
  </si>
  <si>
    <t>GeoM</t>
  </si>
  <si>
    <r>
      <rPr>
        <i/>
        <sz val="12"/>
        <color theme="1"/>
        <rFont val="Times New Roman"/>
        <family val="1"/>
      </rPr>
      <t>T</t>
    </r>
    <r>
      <rPr>
        <i/>
        <vertAlign val="subscript"/>
        <sz val="12"/>
        <color theme="1"/>
        <rFont val="Times New Roman"/>
        <family val="1"/>
      </rPr>
      <t>ogm</t>
    </r>
    <r>
      <rPr>
        <sz val="12"/>
        <color theme="1"/>
        <rFont val="Times New Roman"/>
        <family val="1"/>
      </rPr>
      <t>: Geometric mean of optimal periods of vibration corresponding to CP, LS, and IO.</t>
    </r>
  </si>
  <si>
    <r>
      <t>β</t>
    </r>
    <r>
      <rPr>
        <i/>
        <vertAlign val="subscript"/>
        <sz val="12"/>
        <rFont val="Times New Roman"/>
        <family val="1"/>
      </rPr>
      <t>RTR,ds,SaTj</t>
    </r>
    <r>
      <rPr>
        <sz val="12"/>
        <rFont val="Times New Roman"/>
        <family val="1"/>
      </rPr>
      <t>: Record-to-record logarithmic standard deviation in fragility for damage state, ds, considereing intensity measure Sa(Tj)</t>
    </r>
  </si>
  <si>
    <t>geoM of  cut-off optimal</t>
  </si>
  <si>
    <t>Global individual optimal</t>
  </si>
  <si>
    <t>1. Above table gives beta for "cut-off individual optimal periods," i.e., optimized individually with restriction on period upto cut-off
2. Right below, Togm, what we have adopted, gives uncertainty for "geometric mean of cut-off invidual optimal,"
3. Further below, we have "Global inividual optimal," basically, the best that can be done.</t>
  </si>
  <si>
    <t>SaTogm_ub (g)</t>
  </si>
  <si>
    <r>
      <t>Δ</t>
    </r>
    <r>
      <rPr>
        <i/>
        <sz val="12"/>
        <color theme="1"/>
        <rFont val="Times New Roman"/>
        <family val="1"/>
      </rPr>
      <t>im</t>
    </r>
    <r>
      <rPr>
        <i/>
        <vertAlign val="subscript"/>
        <sz val="12"/>
        <color theme="1"/>
        <rFont val="Times New Roman"/>
        <family val="1"/>
      </rPr>
      <t>ds,lb</t>
    </r>
    <r>
      <rPr>
        <sz val="12"/>
        <color theme="1"/>
        <rFont val="Times New Roman"/>
        <family val="1"/>
      </rPr>
      <t xml:space="preserve">: lower bound normalized by median fragility, </t>
    </r>
    <r>
      <rPr>
        <i/>
        <sz val="12"/>
        <color theme="1"/>
        <rFont val="Times New Roman"/>
        <family val="1"/>
      </rPr>
      <t>μ_ds,IM</t>
    </r>
  </si>
  <si>
    <t>EXTRA DATA</t>
  </si>
  <si>
    <t>EXTRA DATA (mentioned in the manuscript without tables)</t>
  </si>
  <si>
    <t>COMPLETE DATA for Table T5</t>
  </si>
  <si>
    <t>Togm (s)</t>
  </si>
  <si>
    <r>
      <rPr>
        <i/>
        <sz val="12"/>
        <color theme="1"/>
        <rFont val="Times New Roman"/>
        <family val="1"/>
      </rPr>
      <t>im</t>
    </r>
    <r>
      <rPr>
        <i/>
        <vertAlign val="subscript"/>
        <sz val="12"/>
        <color theme="1"/>
        <rFont val="Times New Roman"/>
        <family val="1"/>
      </rPr>
      <t>ds,lb</t>
    </r>
    <r>
      <rPr>
        <sz val="12"/>
        <color theme="1"/>
        <rFont val="Times New Roman"/>
        <family val="1"/>
      </rPr>
      <t>: lower bound of building capacity for damage ds, considering intensity measure IM</t>
    </r>
  </si>
  <si>
    <r>
      <t>Find γ</t>
    </r>
    <r>
      <rPr>
        <vertAlign val="subscript"/>
        <sz val="12"/>
        <color theme="1"/>
        <rFont val="Times New Roman"/>
        <family val="1"/>
      </rPr>
      <t xml:space="preserve">ds,λ*, </t>
    </r>
    <r>
      <rPr>
        <sz val="12"/>
        <color theme="1"/>
        <rFont val="Times New Roman"/>
        <family val="1"/>
      </rPr>
      <t>for  ds = IO, and λ* = 2e-4</t>
    </r>
  </si>
  <si>
    <t>range of reduction</t>
  </si>
  <si>
    <t>H:\UniformRiskMap\scriptBootstrappOnIM_lb_v1.m</t>
  </si>
  <si>
    <t>bldgDsT1_N</t>
  </si>
  <si>
    <t>imMinActual</t>
  </si>
  <si>
    <t>imMinBootStrap</t>
  </si>
  <si>
    <t>stdImMinBS</t>
  </si>
  <si>
    <t>imMinFac</t>
  </si>
  <si>
    <t>SAMPLE SIZE -&gt;</t>
  </si>
  <si>
    <t>'2213v04-CP-0.00s-10000'</t>
  </si>
  <si>
    <t>'2215v03-CP-0.00s-10000'</t>
  </si>
  <si>
    <t>'2217v03-CP-0.00s-10000'</t>
  </si>
  <si>
    <t>'2221v06-CP-0.00s-10000'</t>
  </si>
  <si>
    <t>'2223v03-CP-0.00s-10000'</t>
  </si>
  <si>
    <t>'2225v03-CP-0.00s-10000'</t>
  </si>
  <si>
    <t>'2213v04-LS-0.00s-10000'</t>
  </si>
  <si>
    <t>'2215v03-LS-0.00s-10000'</t>
  </si>
  <si>
    <t>'2217v03-LS-0.00s-10000'</t>
  </si>
  <si>
    <t>'2221v06-LS-0.00s-10000'</t>
  </si>
  <si>
    <t>'2223v03-LS-0.00s-10000'</t>
  </si>
  <si>
    <t>'2225v03-LS-0.00s-10000'</t>
  </si>
  <si>
    <t>'2213v04-IO-0.00s-10000'</t>
  </si>
  <si>
    <t>'2215v03-IO-0.00s-10000'</t>
  </si>
  <si>
    <t>'2217v03-IO-0.00s-10000'</t>
  </si>
  <si>
    <t>'2221v06-IO-0.00s-10000'</t>
  </si>
  <si>
    <t>'2223v03-IO-0.00s-10000'</t>
  </si>
  <si>
    <t>'2225v03-IO-0.00s-10000'</t>
  </si>
  <si>
    <t>Check if seedVal (=2, here) makes much difference</t>
  </si>
  <si>
    <t>Sa(Togm)</t>
  </si>
  <si>
    <t>'2213v04-CP-1.29s-10000'</t>
  </si>
  <si>
    <t>'2215v03-CP-1.89s-10000'</t>
  </si>
  <si>
    <t>'2217v03-CP-1.75s-10000'</t>
  </si>
  <si>
    <t>'2221v06-CP-1.54s-10000'</t>
  </si>
  <si>
    <t>'2223v03-CP-1.98s-10000'</t>
  </si>
  <si>
    <t>'2225v03-CP-1.49s-10000'</t>
  </si>
  <si>
    <t>'2213v04-LS-1.29s-10000'</t>
  </si>
  <si>
    <t>'2215v03-LS-1.89s-10000'</t>
  </si>
  <si>
    <t>'2217v03-LS-1.75s-10000'</t>
  </si>
  <si>
    <t>'2221v06-LS-1.54s-10000'</t>
  </si>
  <si>
    <t>'2223v03-LS-1.98s-10000'</t>
  </si>
  <si>
    <t>'2225v03-LS-1.49s-10000'</t>
  </si>
  <si>
    <t>'2213v04-IO-1.29s-10000'</t>
  </si>
  <si>
    <t>'2215v03-IO-1.89s-10000'</t>
  </si>
  <si>
    <t>'2217v03-IO-1.75s-10000'</t>
  </si>
  <si>
    <t>'2221v06-IO-1.54s-10000'</t>
  </si>
  <si>
    <t>'2223v03-IO-1.98s-10000'</t>
  </si>
  <si>
    <t>'2225v03-IO-1.49s-10000'</t>
  </si>
  <si>
    <r>
      <rPr>
        <i/>
        <sz val="12"/>
        <color theme="1"/>
        <rFont val="Times New Roman"/>
        <family val="1"/>
      </rPr>
      <t>λ</t>
    </r>
    <r>
      <rPr>
        <i/>
        <vertAlign val="subscript"/>
        <sz val="12"/>
        <color theme="1"/>
        <rFont val="Times New Roman"/>
        <family val="1"/>
      </rPr>
      <t>ds,IM,D</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considered intensity measure IM using code-based idealized hazard curve scaled to match at IM_475</t>
    </r>
  </si>
  <si>
    <t>T8 is based on code-based hazard curve scaled to match with psha hazard curve at im_475.</t>
  </si>
  <si>
    <r>
      <t>λ</t>
    </r>
    <r>
      <rPr>
        <i/>
        <vertAlign val="subscript"/>
        <sz val="12"/>
        <color theme="1"/>
        <rFont val="Times New Roman"/>
        <family val="1"/>
      </rPr>
      <t xml:space="preserve">IO
</t>
    </r>
    <r>
      <rPr>
        <sz val="12"/>
        <color theme="1"/>
        <rFont val="Times New Roman"/>
        <family val="1"/>
      </rPr>
      <t>(×10</t>
    </r>
    <r>
      <rPr>
        <vertAlign val="superscript"/>
        <sz val="12"/>
        <color theme="1"/>
        <rFont val="Times New Roman"/>
        <family val="1"/>
      </rPr>
      <t>-4</t>
    </r>
    <r>
      <rPr>
        <sz val="12"/>
        <color theme="1"/>
        <rFont val="Times New Roman"/>
        <family val="1"/>
      </rPr>
      <t>)</t>
    </r>
  </si>
  <si>
    <r>
      <t xml:space="preserve">μ + 1.0 </t>
    </r>
    <r>
      <rPr>
        <b/>
        <sz val="12"/>
        <color theme="1"/>
        <rFont val="Calibri"/>
        <family val="2"/>
      </rPr>
      <t>σ</t>
    </r>
  </si>
  <si>
    <t>CoV</t>
  </si>
  <si>
    <t>Seismic risk associated with the example buildings for selected locations corresponding to three damage states, CP, LS, and IO.</t>
  </si>
  <si>
    <t>#7</t>
  </si>
  <si>
    <t>#8</t>
  </si>
  <si>
    <t>#9</t>
  </si>
  <si>
    <t>#10</t>
  </si>
  <si>
    <t>H to D</t>
  </si>
  <si>
    <t>Risk-targeted modification factors (RTMF) and adjusted RTMF values corresponding to various target risk space corresponding to CP damage state.</t>
  </si>
  <si>
    <t>Risk-targeted modification factors (RTMF) and adjusted RTMF values corresponding to various target risk space corresponding to LS damage state.</t>
  </si>
  <si>
    <t>Risk-targeted modification factors (RTMF) and adjusted RTMF values corresponding to various target risk space corresponding to IO damage state.</t>
  </si>
  <si>
    <t>Recommended risk-targeted modification factors for different levels of target risk. λds,D represents the risk associated with design standard compliant ordinary buildings corresponding to damage state ds. And λ* represents the target risk.</t>
  </si>
  <si>
    <r>
      <rPr>
        <i/>
        <sz val="12"/>
        <color theme="1"/>
        <rFont val="Times New Roman"/>
        <family val="1"/>
      </rPr>
      <t>N</t>
    </r>
    <r>
      <rPr>
        <i/>
        <vertAlign val="subscript"/>
        <sz val="12"/>
        <color theme="1"/>
        <rFont val="Times New Roman"/>
        <family val="1"/>
      </rPr>
      <t>st</t>
    </r>
    <r>
      <rPr>
        <sz val="12"/>
        <color theme="1"/>
        <rFont val="Times New Roman"/>
        <family val="1"/>
      </rPr>
      <t>: Number of stories</t>
    </r>
  </si>
  <si>
    <r>
      <rPr>
        <i/>
        <sz val="12"/>
        <color theme="1"/>
        <rFont val="Times New Roman"/>
        <family val="1"/>
      </rPr>
      <t>T</t>
    </r>
    <r>
      <rPr>
        <i/>
        <vertAlign val="subscript"/>
        <sz val="12"/>
        <color theme="1"/>
        <rFont val="Times New Roman"/>
        <family val="1"/>
      </rPr>
      <t>a</t>
    </r>
    <r>
      <rPr>
        <sz val="12"/>
        <color theme="1"/>
        <rFont val="Times New Roman"/>
        <family val="1"/>
      </rPr>
      <t>: Approximate natural period as per IS 1893 (part 1) (2016); for Ta =  0, Sa(Ta) corresponds to PGA</t>
    </r>
  </si>
  <si>
    <t>Sa(Ta)_Tr,D: Value of spectral acceleration at Ta corresponding to return period Tr, as per design standard</t>
  </si>
  <si>
    <t>Sa(Ta)_Tr,H: Value of spectral acceleration at Ta corresponding to return period Tr, from PSHA results</t>
  </si>
  <si>
    <t>Effect of importance factor on seismic risk associated with different damage states</t>
  </si>
  <si>
    <t>Seismic hazard curve for peak ground acceleration, ag, of cities under this study [Raghukanth, 2020]. DBE (Tr = 475 year) and MCE (Tr = 2475 year) are marked with horizontal lines. Solid and hollow markers denote seismic hazard prescribed by the design standard for Delhi and Guwahati, respectively. Different slopes in log-log space are also marked.</t>
  </si>
  <si>
    <t>Flowchart of the proposed framework for multi-objective risk-targeted seismic design</t>
  </si>
  <si>
    <t>Table 6</t>
  </si>
  <si>
    <t>Table 7</t>
  </si>
  <si>
    <t>Table 8</t>
  </si>
  <si>
    <t>Table 9</t>
  </si>
  <si>
    <t>Table 10</t>
  </si>
  <si>
    <t>Table 11</t>
  </si>
  <si>
    <t>Table 12</t>
  </si>
  <si>
    <t>Table 5</t>
  </si>
  <si>
    <t>Table 4</t>
  </si>
  <si>
    <t>Table 3</t>
  </si>
  <si>
    <t>Table 2</t>
  </si>
  <si>
    <t>Table 1</t>
  </si>
  <si>
    <r>
      <t xml:space="preserve">Upper bound of intensity measure, im_ub (in terms of g), for all three locations corresponding to peak ground acceleration, ag, and spectral acceleration, Sa(Togm). Ground motion prediction models as used for PSHA, with +2×σ has been used to calculate im_ub. Joyner-Boore distance of 5 km has been used. Maximum magnitude as per IS 1893 (part 1) for Zone-III, IV, and V, has been taken as 7, 8, and 9, respectively. Note that T_ogm is different for each building configuration, see </t>
    </r>
    <r>
      <rPr>
        <b/>
        <u/>
        <sz val="11"/>
        <color theme="1"/>
        <rFont val="Times New Roman"/>
        <family val="1"/>
      </rPr>
      <t>Table 5</t>
    </r>
    <r>
      <rPr>
        <sz val="11"/>
        <color theme="1"/>
        <rFont val="Times New Roman"/>
        <family val="1"/>
      </rPr>
      <t xml:space="preserve"> for the values.</t>
    </r>
  </si>
  <si>
    <r>
      <t xml:space="preserve">Effect of intensity measure bound on seismic risk corresponding to CP damage state, for peak ground acceleration, </t>
    </r>
    <r>
      <rPr>
        <i/>
        <sz val="12"/>
        <color theme="1"/>
        <rFont val="Times New Roman"/>
        <family val="1"/>
      </rPr>
      <t>ag</t>
    </r>
    <r>
      <rPr>
        <sz val="12"/>
        <color theme="1"/>
        <rFont val="Times New Roman"/>
        <family val="1"/>
      </rPr>
      <t xml:space="preserve">, and spectral acceleration, </t>
    </r>
    <r>
      <rPr>
        <i/>
        <sz val="12"/>
        <color theme="1"/>
        <rFont val="Times New Roman"/>
        <family val="1"/>
      </rPr>
      <t>Sa(Togm)</t>
    </r>
  </si>
  <si>
    <t>UPDATED</t>
  </si>
  <si>
    <t>NEED TO UPDATE</t>
  </si>
  <si>
    <t>H:\UniformRiskMap\Input from Raghukanth\scriptSeveralLocsSaT1_Tr_v1</t>
  </si>
  <si>
    <t>extrapolate with α*T^(-β) using values at 1.2 and 2.0 s</t>
  </si>
  <si>
    <t>Tr =</t>
  </si>
  <si>
    <t>T1 =</t>
  </si>
  <si>
    <t>Dynamic instability</t>
  </si>
  <si>
    <t>4% MIDR</t>
  </si>
  <si>
    <t>2% MIDR</t>
  </si>
  <si>
    <t>1% MIDR</t>
  </si>
  <si>
    <t xml:space="preserve"> BldgID  </t>
  </si>
  <si>
    <t>#Story</t>
  </si>
  <si>
    <t>TimeP</t>
  </si>
  <si>
    <t>median Sa_col</t>
  </si>
  <si>
    <r>
      <t>σ</t>
    </r>
    <r>
      <rPr>
        <b/>
        <vertAlign val="subscript"/>
        <sz val="12"/>
        <color rgb="FF0000FF"/>
        <rFont val="Times New Roman"/>
        <family val="1"/>
      </rPr>
      <t xml:space="preserve">LN
</t>
    </r>
    <r>
      <rPr>
        <b/>
        <sz val="12"/>
        <color rgb="FF0000FF"/>
        <rFont val="Times New Roman"/>
        <family val="1"/>
      </rPr>
      <t>Sa_col</t>
    </r>
  </si>
  <si>
    <t>2211v03</t>
  </si>
  <si>
    <t>2219v03</t>
  </si>
  <si>
    <t>FEMA P 695 FF GM suite</t>
  </si>
  <si>
    <t>Collapse</t>
  </si>
  <si>
    <r>
      <t>μ</t>
    </r>
    <r>
      <rPr>
        <i/>
        <vertAlign val="subscript"/>
        <sz val="12"/>
        <color theme="1"/>
        <rFont val="Times New Roman"/>
        <family val="1"/>
      </rPr>
      <t>Coll,ag</t>
    </r>
  </si>
  <si>
    <r>
      <t>β</t>
    </r>
    <r>
      <rPr>
        <i/>
        <vertAlign val="subscript"/>
        <sz val="12"/>
        <color theme="1"/>
        <rFont val="Times New Roman"/>
        <family val="1"/>
      </rPr>
      <t>RTR,Coll,ag</t>
    </r>
  </si>
  <si>
    <t>'2211v03_sca2'</t>
  </si>
  <si>
    <t>'2211v03_sca4'</t>
  </si>
  <si>
    <t>'2213v04_sca2'</t>
  </si>
  <si>
    <t>'2213v04_sca4'</t>
  </si>
  <si>
    <t>'2215v03_sca2'</t>
  </si>
  <si>
    <t>'2215v03_sca4'</t>
  </si>
  <si>
    <t>'2219v03_sca2'</t>
  </si>
  <si>
    <t>'2219v03_sca4'</t>
  </si>
  <si>
    <t>'2221v06_sca2'</t>
  </si>
  <si>
    <t>'2221v06_sca4'</t>
  </si>
  <si>
    <t>'2223v03_sca2'</t>
  </si>
  <si>
    <t>'2223v03_sca4'</t>
  </si>
  <si>
    <t>Sca2</t>
  </si>
  <si>
    <r>
      <t xml:space="preserve">Spectral acceleration, </t>
    </r>
    <r>
      <rPr>
        <i/>
        <sz val="12"/>
        <color theme="1"/>
        <rFont val="Times New Roman"/>
        <family val="1"/>
      </rPr>
      <t>SaTa</t>
    </r>
  </si>
  <si>
    <r>
      <t>μ</t>
    </r>
    <r>
      <rPr>
        <i/>
        <vertAlign val="subscript"/>
        <sz val="12"/>
        <color theme="1"/>
        <rFont val="Times New Roman"/>
        <family val="1"/>
      </rPr>
      <t>Coll,SaTa</t>
    </r>
  </si>
  <si>
    <r>
      <t>β</t>
    </r>
    <r>
      <rPr>
        <i/>
        <vertAlign val="subscript"/>
        <sz val="12"/>
        <color theme="1"/>
        <rFont val="Times New Roman"/>
        <family val="1"/>
      </rPr>
      <t>RTR,Coll,SaTa</t>
    </r>
  </si>
  <si>
    <t>CS-matching GM suite</t>
  </si>
  <si>
    <t>Sca4</t>
  </si>
  <si>
    <t>median ratio from Zone-V to Zone-IV</t>
  </si>
  <si>
    <t>SSF_observed</t>
  </si>
  <si>
    <t>***************************************************</t>
  </si>
  <si>
    <t>buildingID</t>
  </si>
  <si>
    <t>V_yield</t>
  </si>
  <si>
    <t>Vmax</t>
  </si>
  <si>
    <t>deltay_eff</t>
  </si>
  <si>
    <t>MIDR</t>
  </si>
  <si>
    <t>delta_u</t>
  </si>
  <si>
    <t>corr._roofDR</t>
  </si>
  <si>
    <t>deltaForVbMax</t>
  </si>
  <si>
    <t>V_MIDR</t>
  </si>
  <si>
    <t>mu</t>
  </si>
  <si>
    <t>mu_T</t>
  </si>
  <si>
    <t>2211v03_sca2</t>
  </si>
  <si>
    <t>2213v04_sca2</t>
  </si>
  <si>
    <t>2215v03_sca2</t>
  </si>
  <si>
    <t>2219v03_sca2</t>
  </si>
  <si>
    <t>2221v06_sca2</t>
  </si>
  <si>
    <t>2223v03_sca2</t>
  </si>
  <si>
    <t>deltaYieldBasedOnASCE41</t>
  </si>
  <si>
    <t>deltaYieldBasedOnFEMAP695</t>
  </si>
  <si>
    <t>We use this for IO def.</t>
  </si>
  <si>
    <t>H:\Arch_RRF_usingSPO\scriptForBatchCalFEMAP695AndASCE41Both_MoRTSD_Bldgs.m</t>
  </si>
  <si>
    <t>DS1</t>
  </si>
  <si>
    <t>DS2</t>
  </si>
  <si>
    <t>Damage Limitation (Slight Damage)</t>
  </si>
  <si>
    <t>Significant Damage (Moderate Damage)</t>
  </si>
  <si>
    <t>fragParamsCtrl_chi_0p40</t>
  </si>
  <si>
    <t>fragParamsCtrl_chi_0p50</t>
  </si>
  <si>
    <t>fragParamsCtrl_chi_0p60</t>
  </si>
  <si>
    <t>fragParamsCtrl_chi_0p75</t>
  </si>
  <si>
    <t>fragParamsAll_chi_0p40</t>
  </si>
  <si>
    <t>fragParamsAll_chi_0p50</t>
  </si>
  <si>
    <t>fragParamsAll_chi_0p60</t>
  </si>
  <si>
    <t>fragParamsAll_chi_0p75</t>
  </si>
  <si>
    <r>
      <t>β</t>
    </r>
    <r>
      <rPr>
        <sz val="12"/>
        <color theme="1"/>
        <rFont val="Times New Roman"/>
        <family val="2"/>
      </rPr>
      <t>_ln, χ</t>
    </r>
  </si>
  <si>
    <t>μ_χ</t>
  </si>
  <si>
    <t>ALL</t>
  </si>
  <si>
    <t>fragParamsCtrl_xi_0p75</t>
  </si>
  <si>
    <t>fragParamsCtrl_xi_0p60</t>
  </si>
  <si>
    <t>fragParamsCtrl_xi_0p50</t>
  </si>
  <si>
    <t>fragParamsCtrl_xi_0p40</t>
  </si>
  <si>
    <t>fragParamsAll_xi_0p75</t>
  </si>
  <si>
    <t>fragParamsAll_xi_0p60</t>
  </si>
  <si>
    <t>fragParamsAll_xi_0p50</t>
  </si>
  <si>
    <t>fragParamsAll_xi_0p40</t>
  </si>
  <si>
    <t>CTRL</t>
  </si>
  <si>
    <r>
      <t>ξ = θ</t>
    </r>
    <r>
      <rPr>
        <vertAlign val="subscript"/>
        <sz val="16"/>
        <color rgb="FF0000FF"/>
        <rFont val="Times New Roman"/>
        <family val="1"/>
      </rPr>
      <t>m</t>
    </r>
    <r>
      <rPr>
        <sz val="16"/>
        <color rgb="FF0000FF"/>
        <rFont val="Times New Roman"/>
        <family val="1"/>
      </rPr>
      <t>/θ</t>
    </r>
    <r>
      <rPr>
        <vertAlign val="subscript"/>
        <sz val="16"/>
        <color rgb="FF0000FF"/>
        <rFont val="Times New Roman"/>
        <family val="1"/>
      </rPr>
      <t>cap</t>
    </r>
  </si>
  <si>
    <r>
      <t>χ = θ</t>
    </r>
    <r>
      <rPr>
        <vertAlign val="subscript"/>
        <sz val="16"/>
        <color rgb="FF0000FF"/>
        <rFont val="Times New Roman"/>
        <family val="1"/>
      </rPr>
      <t>m</t>
    </r>
    <r>
      <rPr>
        <sz val="16"/>
        <color rgb="FF0000FF"/>
        <rFont val="Times New Roman"/>
        <family val="1"/>
      </rPr>
      <t xml:space="preserve"> / θ</t>
    </r>
    <r>
      <rPr>
        <vertAlign val="subscript"/>
        <sz val="16"/>
        <color rgb="FF0000FF"/>
        <rFont val="Times New Roman"/>
        <family val="1"/>
      </rPr>
      <t>u</t>
    </r>
  </si>
  <si>
    <t>μ_ξ</t>
  </si>
  <si>
    <t>β_ln, ξ</t>
  </si>
  <si>
    <t>β_ln,DS1</t>
  </si>
  <si>
    <t>μ_DS1</t>
  </si>
  <si>
    <t>fragParamsAll_chi_1p00</t>
  </si>
  <si>
    <t>fragParamsAll_xi_1p00</t>
  </si>
  <si>
    <t>fragParamsCtrl_xi_1p00</t>
  </si>
  <si>
    <t>fragParamsCtrl_chi_1p00</t>
  </si>
  <si>
    <t>DS4</t>
  </si>
  <si>
    <t>DS3</t>
  </si>
  <si>
    <t>ξ = 1.0</t>
  </si>
  <si>
    <r>
      <t>μ</t>
    </r>
    <r>
      <rPr>
        <i/>
        <vertAlign val="subscript"/>
        <sz val="12"/>
        <color theme="1"/>
        <rFont val="Times New Roman"/>
        <family val="1"/>
      </rPr>
      <t>DS3,SaTa</t>
    </r>
  </si>
  <si>
    <r>
      <t>β</t>
    </r>
    <r>
      <rPr>
        <i/>
        <vertAlign val="subscript"/>
        <sz val="12"/>
        <color theme="1"/>
        <rFont val="Times New Roman"/>
        <family val="1"/>
      </rPr>
      <t>RTR,DS3,SaTa</t>
    </r>
  </si>
  <si>
    <t>ξ = 0.75</t>
  </si>
  <si>
    <r>
      <t>μ</t>
    </r>
    <r>
      <rPr>
        <i/>
        <vertAlign val="subscript"/>
        <sz val="12"/>
        <color theme="1"/>
        <rFont val="Times New Roman"/>
        <family val="1"/>
      </rPr>
      <t>DS2,SaTa</t>
    </r>
  </si>
  <si>
    <r>
      <t>β</t>
    </r>
    <r>
      <rPr>
        <i/>
        <vertAlign val="subscript"/>
        <sz val="12"/>
        <color theme="1"/>
        <rFont val="Times New Roman"/>
        <family val="1"/>
      </rPr>
      <t>RTR,DS2,SaTa</t>
    </r>
  </si>
  <si>
    <r>
      <t>μ</t>
    </r>
    <r>
      <rPr>
        <i/>
        <vertAlign val="subscript"/>
        <sz val="12"/>
        <color theme="1"/>
        <rFont val="Times New Roman"/>
        <family val="1"/>
      </rPr>
      <t>DS1,SaTa</t>
    </r>
  </si>
  <si>
    <r>
      <t>β</t>
    </r>
    <r>
      <rPr>
        <i/>
        <vertAlign val="subscript"/>
        <sz val="12"/>
        <color theme="1"/>
        <rFont val="Times New Roman"/>
        <family val="1"/>
      </rPr>
      <t>RTR,DS1,SaTa</t>
    </r>
  </si>
  <si>
    <t>Slight Damage</t>
  </si>
  <si>
    <t>Significant Damage</t>
  </si>
  <si>
    <t>Moderate Damage</t>
  </si>
  <si>
    <t>Extensive Damage</t>
  </si>
  <si>
    <t>Near Collapse</t>
  </si>
  <si>
    <r>
      <t>σ</t>
    </r>
    <r>
      <rPr>
        <vertAlign val="subscript"/>
        <sz val="12"/>
        <rFont val="Times New Roman"/>
        <family val="1"/>
      </rPr>
      <t xml:space="preserve">LN
</t>
    </r>
    <r>
      <rPr>
        <sz val="12"/>
        <rFont val="Times New Roman"/>
        <family val="1"/>
      </rPr>
      <t>Sa_col</t>
    </r>
  </si>
  <si>
    <t>FEMA-P695 FF GM Suite</t>
  </si>
  <si>
    <t>CS-matched GM suite</t>
  </si>
  <si>
    <t>Damage State</t>
  </si>
  <si>
    <t>Repair cost ratio (% of building replacement cost)</t>
  </si>
  <si>
    <t>Structural repair cost ratio</t>
  </si>
  <si>
    <t>Total</t>
  </si>
  <si>
    <t>Table X</t>
  </si>
  <si>
    <t>Slight (DS1)</t>
  </si>
  <si>
    <t>Moderate (DS2)</t>
  </si>
  <si>
    <t>Extensive (DS3)</t>
  </si>
  <si>
    <t>Complete (DS4)</t>
  </si>
  <si>
    <t>Consequence model for repair cost ratio of a professional commercial building, COM4 (HAZUS, 2003) given in terms of percentage of building replacement cost</t>
  </si>
  <si>
    <t>Acceleration sensitive NS</t>
  </si>
  <si>
    <t>Drift sensitive NS</t>
  </si>
  <si>
    <t>NS- non-structural component</t>
  </si>
  <si>
    <t>Operational</t>
  </si>
  <si>
    <t>Idealized Pushover</t>
  </si>
  <si>
    <t>Critical Column</t>
  </si>
  <si>
    <t>Side-sway collapse</t>
  </si>
  <si>
    <t>Multi-obj target lingo:</t>
  </si>
  <si>
    <t>HAZUS/PEER lingo:</t>
  </si>
  <si>
    <t>Engineering basis:</t>
  </si>
  <si>
    <t>Collapse Capacity</t>
  </si>
  <si>
    <r>
      <t>Economy ≡ λ</t>
    </r>
    <r>
      <rPr>
        <i/>
        <vertAlign val="subscript"/>
        <sz val="12"/>
        <color theme="1"/>
        <rFont val="Times New Roman"/>
        <family val="1"/>
      </rPr>
      <t>ARCR</t>
    </r>
  </si>
  <si>
    <r>
      <t xml:space="preserve">IM : = Spectral acceleration, </t>
    </r>
    <r>
      <rPr>
        <i/>
        <u/>
        <sz val="13"/>
        <color theme="1"/>
        <rFont val="Times New Roman"/>
        <family val="1"/>
      </rPr>
      <t>SaTa</t>
    </r>
  </si>
  <si>
    <t>IM</t>
  </si>
  <si>
    <t>H_475</t>
  </si>
  <si>
    <t>H_2475</t>
  </si>
  <si>
    <t>modalIM_RCR</t>
  </si>
  <si>
    <t>RP_modalIM_RCR</t>
  </si>
  <si>
    <t>SaT1_224y</t>
  </si>
  <si>
    <t>SaT1_475y</t>
  </si>
  <si>
    <t>SaT1_2475y</t>
  </si>
  <si>
    <t>SaT1_4975y</t>
  </si>
  <si>
    <t>SaT1_9975y</t>
  </si>
  <si>
    <t>'Sa_0p37'</t>
  </si>
  <si>
    <t>(g)</t>
  </si>
  <si>
    <t>DS1to4_Contr_in_pc_224y (%)</t>
  </si>
  <si>
    <t>DS1to4_Contr_in_pc_475y (%)</t>
  </si>
  <si>
    <t>DS1to4_Contr_in_pc_2475y (%)</t>
  </si>
  <si>
    <t>DS1to4_Contr_in_pc_4975y (%)</t>
  </si>
  <si>
    <t>DS1to4_Contr_in_pc_9975y (%)</t>
  </si>
  <si>
    <t>'Sa_0p61'</t>
  </si>
  <si>
    <t>'Sa_0p91'</t>
  </si>
  <si>
    <t>RCR@475y</t>
  </si>
  <si>
    <t>RCR@2475y</t>
  </si>
  <si>
    <r>
      <t>λ</t>
    </r>
    <r>
      <rPr>
        <i/>
        <vertAlign val="subscript"/>
        <sz val="12"/>
        <color theme="1"/>
        <rFont val="Times New Roman"/>
        <family val="1"/>
      </rPr>
      <t>ARCR</t>
    </r>
  </si>
  <si>
    <t>SaTa</t>
  </si>
  <si>
    <t>NISTR</t>
  </si>
  <si>
    <t>Description</t>
  </si>
  <si>
    <t>orig table</t>
  </si>
  <si>
    <t>Estimate UM</t>
  </si>
  <si>
    <t>DS1-P10</t>
  </si>
  <si>
    <t>DS1-P50</t>
  </si>
  <si>
    <t>DS1-P90</t>
  </si>
  <si>
    <t>DS2-P10</t>
  </si>
  <si>
    <t>DS2-P50</t>
  </si>
  <si>
    <t>DS2-P90</t>
  </si>
  <si>
    <t>DS3-P10</t>
  </si>
  <si>
    <t>DS3-P50</t>
  </si>
  <si>
    <t>DS3-P90</t>
  </si>
  <si>
    <t>B1041.001a</t>
  </si>
  <si>
    <t>ACI 318 SMF , Conc Col &amp; Bm = 24" x 24", Beam one side</t>
  </si>
  <si>
    <t>s</t>
  </si>
  <si>
    <t>EA</t>
  </si>
  <si>
    <t>β_ln estimates</t>
  </si>
  <si>
    <t>COV estimate</t>
  </si>
  <si>
    <t>LogNormal</t>
  </si>
  <si>
    <t>Normal</t>
  </si>
  <si>
    <t>Prediction with COV</t>
  </si>
  <si>
    <t>SSE</t>
  </si>
  <si>
    <r>
      <t>δ</t>
    </r>
    <r>
      <rPr>
        <vertAlign val="subscript"/>
        <sz val="12"/>
        <color theme="1"/>
        <rFont val="Times New Roman"/>
        <family val="1"/>
      </rPr>
      <t>y,eff</t>
    </r>
    <r>
      <rPr>
        <sz val="12"/>
        <color theme="1"/>
        <rFont val="Times New Roman"/>
        <family val="1"/>
      </rPr>
      <t>-based</t>
    </r>
  </si>
  <si>
    <r>
      <t xml:space="preserve">IM : = Spectral acceleration, </t>
    </r>
    <r>
      <rPr>
        <i/>
        <u/>
        <sz val="14"/>
        <color theme="1"/>
        <rFont val="Times New Roman"/>
        <family val="1"/>
      </rPr>
      <t>SaTa</t>
    </r>
  </si>
  <si>
    <t>Table 15.2, 15.3, 15.4 of HAZUS (2003)</t>
  </si>
  <si>
    <r>
      <t>λ</t>
    </r>
    <r>
      <rPr>
        <i/>
        <vertAlign val="subscript"/>
        <sz val="12"/>
        <color theme="1"/>
        <rFont val="Times New Roman"/>
        <family val="1"/>
      </rPr>
      <t>DS1</t>
    </r>
  </si>
  <si>
    <r>
      <t>λ</t>
    </r>
    <r>
      <rPr>
        <i/>
        <vertAlign val="subscript"/>
        <sz val="12"/>
        <color theme="1"/>
        <rFont val="Times New Roman"/>
        <family val="1"/>
      </rPr>
      <t>DS2</t>
    </r>
  </si>
  <si>
    <r>
      <t>λ</t>
    </r>
    <r>
      <rPr>
        <i/>
        <vertAlign val="subscript"/>
        <sz val="12"/>
        <color theme="1"/>
        <rFont val="Times New Roman"/>
        <family val="1"/>
      </rPr>
      <t>DS3</t>
    </r>
  </si>
  <si>
    <r>
      <t>λ</t>
    </r>
    <r>
      <rPr>
        <i/>
        <vertAlign val="subscript"/>
        <sz val="12"/>
        <color theme="1"/>
        <rFont val="Times New Roman"/>
        <family val="1"/>
      </rPr>
      <t>DS4</t>
    </r>
  </si>
  <si>
    <t>ξ = 0.60</t>
  </si>
  <si>
    <t>EAL (%)</t>
  </si>
  <si>
    <r>
      <t xml:space="preserve">IM </t>
    </r>
    <r>
      <rPr>
        <i/>
        <sz val="12"/>
        <color theme="1"/>
        <rFont val="Times New Roman"/>
        <family val="1"/>
      </rPr>
      <t>(SaTa)</t>
    </r>
  </si>
  <si>
    <t>H_475 (g)</t>
  </si>
  <si>
    <t>H_2475 (g)</t>
  </si>
  <si>
    <t>ξ = 0.50</t>
  </si>
  <si>
    <r>
      <t>λ</t>
    </r>
    <r>
      <rPr>
        <vertAlign val="subscript"/>
        <sz val="12"/>
        <color theme="1"/>
        <rFont val="Times New Roman"/>
        <family val="1"/>
      </rPr>
      <t>IO</t>
    </r>
  </si>
  <si>
    <r>
      <t>λ</t>
    </r>
    <r>
      <rPr>
        <vertAlign val="subscript"/>
        <sz val="12"/>
        <color theme="1"/>
        <rFont val="Times New Roman"/>
        <family val="1"/>
      </rPr>
      <t>collapse</t>
    </r>
  </si>
  <si>
    <t>Normalized</t>
  </si>
  <si>
    <t>PGA</t>
  </si>
  <si>
    <r>
      <t>μ</t>
    </r>
    <r>
      <rPr>
        <i/>
        <vertAlign val="subscript"/>
        <sz val="12"/>
        <color theme="1"/>
        <rFont val="Times New Roman"/>
        <family val="1"/>
      </rPr>
      <t>DS4,SaTa</t>
    </r>
  </si>
  <si>
    <r>
      <t>β</t>
    </r>
    <r>
      <rPr>
        <i/>
        <vertAlign val="subscript"/>
        <sz val="12"/>
        <color theme="1"/>
        <rFont val="Times New Roman"/>
        <family val="1"/>
      </rPr>
      <t>RTR,DS4,SaTa</t>
    </r>
  </si>
  <si>
    <r>
      <t>μ</t>
    </r>
    <r>
      <rPr>
        <i/>
        <vertAlign val="subscript"/>
        <sz val="12"/>
        <color theme="1"/>
        <rFont val="Times New Roman"/>
        <family val="1"/>
      </rPr>
      <t>DS4,PGA</t>
    </r>
  </si>
  <si>
    <r>
      <t>β</t>
    </r>
    <r>
      <rPr>
        <i/>
        <vertAlign val="subscript"/>
        <sz val="12"/>
        <color theme="1"/>
        <rFont val="Times New Roman"/>
        <family val="1"/>
      </rPr>
      <t>RTR,DS4,PGA</t>
    </r>
  </si>
  <si>
    <r>
      <t>μ</t>
    </r>
    <r>
      <rPr>
        <i/>
        <vertAlign val="subscript"/>
        <sz val="12"/>
        <color theme="1"/>
        <rFont val="Times New Roman"/>
        <family val="1"/>
      </rPr>
      <t>DS3,PGA</t>
    </r>
  </si>
  <si>
    <r>
      <t>β</t>
    </r>
    <r>
      <rPr>
        <i/>
        <vertAlign val="subscript"/>
        <sz val="12"/>
        <color theme="1"/>
        <rFont val="Times New Roman"/>
        <family val="1"/>
      </rPr>
      <t>RTR,DS3,PGA</t>
    </r>
  </si>
  <si>
    <r>
      <t>μ</t>
    </r>
    <r>
      <rPr>
        <i/>
        <vertAlign val="subscript"/>
        <sz val="12"/>
        <color theme="1"/>
        <rFont val="Times New Roman"/>
        <family val="1"/>
      </rPr>
      <t>DS2,PGA</t>
    </r>
  </si>
  <si>
    <r>
      <t>β</t>
    </r>
    <r>
      <rPr>
        <i/>
        <vertAlign val="subscript"/>
        <sz val="12"/>
        <color theme="1"/>
        <rFont val="Times New Roman"/>
        <family val="1"/>
      </rPr>
      <t>RTR,DS1,PGA</t>
    </r>
  </si>
  <si>
    <r>
      <t>β</t>
    </r>
    <r>
      <rPr>
        <i/>
        <vertAlign val="subscript"/>
        <sz val="12"/>
        <color theme="1"/>
        <rFont val="Times New Roman"/>
        <family val="1"/>
      </rPr>
      <t>RTR,DS2,PGA</t>
    </r>
  </si>
  <si>
    <r>
      <t>μ</t>
    </r>
    <r>
      <rPr>
        <i/>
        <vertAlign val="subscript"/>
        <sz val="12"/>
        <color theme="1"/>
        <rFont val="Times New Roman"/>
        <family val="1"/>
      </rPr>
      <t>DS1,PGA</t>
    </r>
  </si>
  <si>
    <r>
      <t>μ</t>
    </r>
    <r>
      <rPr>
        <i/>
        <vertAlign val="subscript"/>
        <sz val="11"/>
        <color theme="1"/>
        <rFont val="Times New Roman"/>
        <family val="1"/>
      </rPr>
      <t>DS4,SaTa</t>
    </r>
  </si>
  <si>
    <r>
      <t>β</t>
    </r>
    <r>
      <rPr>
        <i/>
        <vertAlign val="subscript"/>
        <sz val="11"/>
        <color theme="1"/>
        <rFont val="Times New Roman"/>
        <family val="1"/>
      </rPr>
      <t>RTR,DS4,SaTa</t>
    </r>
  </si>
  <si>
    <r>
      <t>μ</t>
    </r>
    <r>
      <rPr>
        <i/>
        <vertAlign val="subscript"/>
        <sz val="11"/>
        <color theme="1"/>
        <rFont val="Times New Roman"/>
        <family val="1"/>
      </rPr>
      <t>DS3,SaTa</t>
    </r>
  </si>
  <si>
    <r>
      <t>β</t>
    </r>
    <r>
      <rPr>
        <i/>
        <vertAlign val="subscript"/>
        <sz val="11"/>
        <color theme="1"/>
        <rFont val="Times New Roman"/>
        <family val="1"/>
      </rPr>
      <t>RTR,DS3,SaTa</t>
    </r>
  </si>
  <si>
    <r>
      <t>μ</t>
    </r>
    <r>
      <rPr>
        <i/>
        <vertAlign val="subscript"/>
        <sz val="11"/>
        <color theme="1"/>
        <rFont val="Times New Roman"/>
        <family val="1"/>
      </rPr>
      <t>DS2,SaTa</t>
    </r>
  </si>
  <si>
    <r>
      <t>β</t>
    </r>
    <r>
      <rPr>
        <i/>
        <vertAlign val="subscript"/>
        <sz val="11"/>
        <color theme="1"/>
        <rFont val="Times New Roman"/>
        <family val="1"/>
      </rPr>
      <t>RTR,DS2,SaTa</t>
    </r>
  </si>
  <si>
    <r>
      <t>μ</t>
    </r>
    <r>
      <rPr>
        <i/>
        <vertAlign val="subscript"/>
        <sz val="11"/>
        <color theme="1"/>
        <rFont val="Times New Roman"/>
        <family val="1"/>
      </rPr>
      <t>DS1,SaTa</t>
    </r>
  </si>
  <si>
    <r>
      <t>β</t>
    </r>
    <r>
      <rPr>
        <i/>
        <vertAlign val="subscript"/>
        <sz val="11"/>
        <color theme="1"/>
        <rFont val="Times New Roman"/>
        <family val="1"/>
      </rPr>
      <t>RTR,DS1,SaTa</t>
    </r>
  </si>
  <si>
    <r>
      <t>μ</t>
    </r>
    <r>
      <rPr>
        <i/>
        <vertAlign val="subscript"/>
        <sz val="11"/>
        <color theme="1"/>
        <rFont val="Times New Roman"/>
        <family val="1"/>
      </rPr>
      <t>DS4,SaTogm</t>
    </r>
  </si>
  <si>
    <r>
      <t>β</t>
    </r>
    <r>
      <rPr>
        <i/>
        <vertAlign val="subscript"/>
        <sz val="11"/>
        <color theme="1"/>
        <rFont val="Times New Roman"/>
        <family val="1"/>
      </rPr>
      <t>RTR,DS4,SaTogm</t>
    </r>
  </si>
  <si>
    <r>
      <t>μ</t>
    </r>
    <r>
      <rPr>
        <i/>
        <vertAlign val="subscript"/>
        <sz val="11"/>
        <color theme="1"/>
        <rFont val="Times New Roman"/>
        <family val="1"/>
      </rPr>
      <t>DS3,SaTogm</t>
    </r>
  </si>
  <si>
    <r>
      <t>β</t>
    </r>
    <r>
      <rPr>
        <i/>
        <vertAlign val="subscript"/>
        <sz val="11"/>
        <color theme="1"/>
        <rFont val="Times New Roman"/>
        <family val="1"/>
      </rPr>
      <t>RTR,DS3,SaTogm</t>
    </r>
  </si>
  <si>
    <r>
      <t>μ</t>
    </r>
    <r>
      <rPr>
        <i/>
        <vertAlign val="subscript"/>
        <sz val="11"/>
        <color theme="1"/>
        <rFont val="Times New Roman"/>
        <family val="1"/>
      </rPr>
      <t>DS2,SaTogm</t>
    </r>
  </si>
  <si>
    <r>
      <t>β</t>
    </r>
    <r>
      <rPr>
        <i/>
        <vertAlign val="subscript"/>
        <sz val="11"/>
        <color theme="1"/>
        <rFont val="Times New Roman"/>
        <family val="1"/>
      </rPr>
      <t>RTR,DS2,SaTogm</t>
    </r>
  </si>
  <si>
    <r>
      <t>μ</t>
    </r>
    <r>
      <rPr>
        <i/>
        <vertAlign val="subscript"/>
        <sz val="11"/>
        <color theme="1"/>
        <rFont val="Times New Roman"/>
        <family val="1"/>
      </rPr>
      <t>DS1,SaTogm</t>
    </r>
  </si>
  <si>
    <r>
      <t>β</t>
    </r>
    <r>
      <rPr>
        <i/>
        <vertAlign val="subscript"/>
        <sz val="11"/>
        <color theme="1"/>
        <rFont val="Times New Roman"/>
        <family val="1"/>
      </rPr>
      <t>RTR,DS1,SaTogm</t>
    </r>
  </si>
  <si>
    <r>
      <t xml:space="preserve">Spectral acceleration at </t>
    </r>
    <r>
      <rPr>
        <i/>
        <sz val="12"/>
        <color theme="1"/>
        <rFont val="Times New Roman"/>
        <family val="1"/>
      </rPr>
      <t>Togm</t>
    </r>
    <r>
      <rPr>
        <sz val="12"/>
        <color theme="1"/>
        <rFont val="Times New Roman"/>
        <family val="1"/>
      </rPr>
      <t xml:space="preserve">, </t>
    </r>
    <r>
      <rPr>
        <i/>
        <sz val="12"/>
        <color theme="1"/>
        <rFont val="Times New Roman"/>
        <family val="1"/>
      </rPr>
      <t>Sa(Togm)</t>
    </r>
  </si>
  <si>
    <r>
      <t xml:space="preserve">Spectral acceleration at </t>
    </r>
    <r>
      <rPr>
        <i/>
        <sz val="12"/>
        <color theme="1"/>
        <rFont val="Times New Roman"/>
        <family val="1"/>
      </rPr>
      <t>Ta</t>
    </r>
    <r>
      <rPr>
        <sz val="12"/>
        <color theme="1"/>
        <rFont val="Times New Roman"/>
        <family val="1"/>
      </rPr>
      <t xml:space="preserve">, </t>
    </r>
    <r>
      <rPr>
        <i/>
        <sz val="12"/>
        <color theme="1"/>
        <rFont val="Times New Roman"/>
        <family val="1"/>
      </rPr>
      <t>Sa(Ta)</t>
    </r>
  </si>
  <si>
    <t>Bldg ID</t>
  </si>
  <si>
    <t>ag_DS4,lb
(g)</t>
  </si>
  <si>
    <t>ag_DS3,lb
(g)</t>
  </si>
  <si>
    <t>ag_DS2,lb
(g)</t>
  </si>
  <si>
    <t>ag_DS1,lb
(g)</t>
  </si>
  <si>
    <t>Δim_DS4,lb</t>
  </si>
  <si>
    <t>Δim_DS2,lb</t>
  </si>
  <si>
    <t>Δim_DS3,lb</t>
  </si>
  <si>
    <t>Δim_DS1,lb</t>
  </si>
  <si>
    <t>SaTogm_DS4,lb
(g)</t>
  </si>
  <si>
    <t>SaTogm_DS3,lb
(g)</t>
  </si>
  <si>
    <t>SaTogm_DS2,lb
(g)</t>
  </si>
  <si>
    <t>SaTogm_DS1,lb
(g)</t>
  </si>
  <si>
    <r>
      <t>μ</t>
    </r>
    <r>
      <rPr>
        <i/>
        <vertAlign val="subscript"/>
        <sz val="11"/>
        <color theme="1"/>
        <rFont val="Times New Roman"/>
        <family val="1"/>
      </rPr>
      <t>DS4,ag</t>
    </r>
  </si>
  <si>
    <r>
      <t>β</t>
    </r>
    <r>
      <rPr>
        <i/>
        <vertAlign val="subscript"/>
        <sz val="11"/>
        <color theme="1"/>
        <rFont val="Times New Roman"/>
        <family val="1"/>
      </rPr>
      <t>RTR,DS4,ag</t>
    </r>
  </si>
  <si>
    <r>
      <t>μ</t>
    </r>
    <r>
      <rPr>
        <i/>
        <vertAlign val="subscript"/>
        <sz val="11"/>
        <color theme="1"/>
        <rFont val="Times New Roman"/>
        <family val="1"/>
      </rPr>
      <t>DS3,ag</t>
    </r>
  </si>
  <si>
    <r>
      <t>β</t>
    </r>
    <r>
      <rPr>
        <i/>
        <vertAlign val="subscript"/>
        <sz val="11"/>
        <color theme="1"/>
        <rFont val="Times New Roman"/>
        <family val="1"/>
      </rPr>
      <t>RTR,DS3,ag</t>
    </r>
  </si>
  <si>
    <r>
      <t>μ</t>
    </r>
    <r>
      <rPr>
        <i/>
        <vertAlign val="subscript"/>
        <sz val="11"/>
        <color theme="1"/>
        <rFont val="Times New Roman"/>
        <family val="1"/>
      </rPr>
      <t>DS2,ag</t>
    </r>
  </si>
  <si>
    <r>
      <t>β</t>
    </r>
    <r>
      <rPr>
        <i/>
        <vertAlign val="subscript"/>
        <sz val="11"/>
        <color theme="1"/>
        <rFont val="Times New Roman"/>
        <family val="1"/>
      </rPr>
      <t>RTR,DS2,ag</t>
    </r>
  </si>
  <si>
    <r>
      <t>μ</t>
    </r>
    <r>
      <rPr>
        <i/>
        <vertAlign val="subscript"/>
        <sz val="11"/>
        <color theme="1"/>
        <rFont val="Times New Roman"/>
        <family val="1"/>
      </rPr>
      <t>DS1,ag</t>
    </r>
  </si>
  <si>
    <r>
      <t>β</t>
    </r>
    <r>
      <rPr>
        <i/>
        <vertAlign val="subscript"/>
        <sz val="11"/>
        <color theme="1"/>
        <rFont val="Times New Roman"/>
        <family val="1"/>
      </rPr>
      <t>RTR,DS1,ag</t>
    </r>
  </si>
  <si>
    <t>SaTa_DS4,lb
(g)</t>
  </si>
  <si>
    <t>SaTa_DS3,lb
(g)</t>
  </si>
  <si>
    <t>SaTa_DS1,lb
(g)</t>
  </si>
  <si>
    <t>imub: upper bound of intensity measure IM for the specific location</t>
  </si>
  <si>
    <t>Upper bound of intensity measure, im_ub (in terms of g), for all three locations corresponding to peak ground acceleration, ag, and spectral acceleration, Sa(T_ogm). Maximum magnitude as per IS 1893 [2002] for Zone-III, IV, and V, has been taken as 7, 8, and 9, respectively. Joyner-Boore distance of 5 km has been assumed. Ground motion prediction models implemented in PSHA has been used to calculate upper bound. Two standard deviation (+2×σ) above mean has been adopted for calculating upper bound. Note that T_ogm is different for each building configuration, see Table 5 for the values.</t>
  </si>
  <si>
    <t>im_DS4,lb
(g)</t>
  </si>
  <si>
    <t>im_DS3,lb
(g)</t>
  </si>
  <si>
    <t>im_DS2,lb
(g)</t>
  </si>
  <si>
    <t>im_DS1,lb
(g)</t>
  </si>
  <si>
    <t>ADDITIONAL DATA</t>
  </si>
  <si>
    <t>N_st = 2</t>
  </si>
  <si>
    <t>N_st = 2
Ta = 0.37</t>
  </si>
  <si>
    <t>SaTa_DS2,lb
(g)</t>
  </si>
  <si>
    <t>Ta (s)</t>
  </si>
  <si>
    <r>
      <t>λ</t>
    </r>
    <r>
      <rPr>
        <i/>
        <vertAlign val="subscript"/>
        <sz val="12"/>
        <color theme="1"/>
        <rFont val="Times New Roman"/>
        <family val="1"/>
      </rPr>
      <t>ds,IM,unb</t>
    </r>
  </si>
  <si>
    <r>
      <t>λ</t>
    </r>
    <r>
      <rPr>
        <i/>
        <vertAlign val="subscript"/>
        <sz val="12"/>
        <color theme="1"/>
        <rFont val="Times New Roman"/>
        <family val="1"/>
      </rPr>
      <t>ds,IM,lb</t>
    </r>
  </si>
  <si>
    <r>
      <t>λ</t>
    </r>
    <r>
      <rPr>
        <i/>
        <vertAlign val="subscript"/>
        <sz val="12"/>
        <color theme="1"/>
        <rFont val="Times New Roman"/>
        <family val="1"/>
      </rPr>
      <t>ds,IM,lub</t>
    </r>
  </si>
  <si>
    <r>
      <t>Δλ</t>
    </r>
    <r>
      <rPr>
        <i/>
        <vertAlign val="subscript"/>
        <sz val="12"/>
        <color theme="1"/>
        <rFont val="Times New Roman"/>
        <family val="1"/>
      </rPr>
      <t>ds,IM,lb</t>
    </r>
  </si>
  <si>
    <r>
      <t>Δλ</t>
    </r>
    <r>
      <rPr>
        <i/>
        <vertAlign val="subscript"/>
        <sz val="12"/>
        <color theme="1"/>
        <rFont val="Times New Roman"/>
        <family val="1"/>
      </rPr>
      <t>ds,IM,ub</t>
    </r>
  </si>
  <si>
    <t>ds = DS4; IM = ag</t>
  </si>
  <si>
    <t>ds = DS4; IM = Sa(Togm)</t>
  </si>
  <si>
    <t>ds = DS1; IM = Sa(Togm)</t>
  </si>
  <si>
    <t>ds = DS1; IM = ag</t>
  </si>
  <si>
    <t>ds = DS4; IM = SaTa</t>
  </si>
  <si>
    <t>ds = DS1; IM = SaTa</t>
  </si>
  <si>
    <t xml:space="preserve">EXTRA DATA </t>
  </si>
  <si>
    <r>
      <t>λ</t>
    </r>
    <r>
      <rPr>
        <i/>
        <vertAlign val="subscript"/>
        <sz val="12"/>
        <color theme="1"/>
        <rFont val="Times New Roman"/>
        <family val="1"/>
      </rPr>
      <t>DS4,ag,D</t>
    </r>
  </si>
  <si>
    <r>
      <t xml:space="preserve">min </t>
    </r>
    <r>
      <rPr>
        <i/>
        <sz val="11"/>
        <color theme="1"/>
        <rFont val="Times New Roman"/>
        <family val="1"/>
      </rPr>
      <t>Δ</t>
    </r>
  </si>
  <si>
    <r>
      <t xml:space="preserve">max </t>
    </r>
    <r>
      <rPr>
        <i/>
        <sz val="11"/>
        <color theme="1"/>
        <rFont val="Times New Roman"/>
        <family val="1"/>
      </rPr>
      <t>Δ</t>
    </r>
  </si>
  <si>
    <r>
      <t>λ</t>
    </r>
    <r>
      <rPr>
        <i/>
        <vertAlign val="subscript"/>
        <sz val="12"/>
        <color theme="1"/>
        <rFont val="Times New Roman"/>
        <family val="1"/>
      </rPr>
      <t>DS4,ag,H</t>
    </r>
  </si>
  <si>
    <r>
      <t>λ</t>
    </r>
    <r>
      <rPr>
        <i/>
        <vertAlign val="subscript"/>
        <sz val="12"/>
        <color theme="1"/>
        <rFont val="Times New Roman"/>
        <family val="1"/>
      </rPr>
      <t>DS4,SaTa,H</t>
    </r>
  </si>
  <si>
    <r>
      <t>λ</t>
    </r>
    <r>
      <rPr>
        <i/>
        <vertAlign val="subscript"/>
        <sz val="12"/>
        <color theme="1"/>
        <rFont val="Times New Roman"/>
        <family val="1"/>
      </rPr>
      <t>DS4,SaTa,D</t>
    </r>
  </si>
  <si>
    <r>
      <t>Δλ</t>
    </r>
    <r>
      <rPr>
        <i/>
        <vertAlign val="subscript"/>
        <sz val="12"/>
        <color theme="1"/>
        <rFont val="Times New Roman"/>
        <family val="1"/>
      </rPr>
      <t>DS4,ag</t>
    </r>
  </si>
  <si>
    <r>
      <t>Δλ</t>
    </r>
    <r>
      <rPr>
        <i/>
        <vertAlign val="subscript"/>
        <sz val="12"/>
        <color theme="1"/>
        <rFont val="Times New Roman"/>
        <family val="1"/>
      </rPr>
      <t>DS4,SaTogm</t>
    </r>
  </si>
  <si>
    <r>
      <t>Δλ</t>
    </r>
    <r>
      <rPr>
        <i/>
        <vertAlign val="subscript"/>
        <sz val="12"/>
        <color theme="1"/>
        <rFont val="Times New Roman"/>
        <family val="1"/>
      </rPr>
      <t>DS4,SaTa</t>
    </r>
  </si>
  <si>
    <r>
      <t>λ</t>
    </r>
    <r>
      <rPr>
        <i/>
        <vertAlign val="subscript"/>
        <sz val="12"/>
        <color theme="1"/>
        <rFont val="Times New Roman"/>
        <family val="1"/>
      </rPr>
      <t xml:space="preserve">coll,IM </t>
    </r>
    <r>
      <rPr>
        <sz val="12"/>
        <color theme="1"/>
        <rFont val="Times New Roman"/>
        <family val="1"/>
      </rPr>
      <t>(×10</t>
    </r>
    <r>
      <rPr>
        <vertAlign val="superscript"/>
        <sz val="12"/>
        <color theme="1"/>
        <rFont val="Times New Roman"/>
        <family val="1"/>
      </rPr>
      <t>-4</t>
    </r>
    <r>
      <rPr>
        <sz val="12"/>
        <color theme="1"/>
        <rFont val="Times New Roman"/>
        <family val="1"/>
      </rPr>
      <t>)</t>
    </r>
  </si>
  <si>
    <r>
      <t>EAL</t>
    </r>
    <r>
      <rPr>
        <i/>
        <vertAlign val="subscript"/>
        <sz val="12"/>
        <color theme="1"/>
        <rFont val="Times New Roman"/>
        <family val="1"/>
      </rPr>
      <t>IM</t>
    </r>
    <r>
      <rPr>
        <i/>
        <sz val="12"/>
        <color theme="1"/>
        <rFont val="Times New Roman"/>
        <family val="1"/>
      </rPr>
      <t xml:space="preserve"> / EAL</t>
    </r>
    <r>
      <rPr>
        <i/>
        <vertAlign val="subscript"/>
        <sz val="12"/>
        <color theme="1"/>
        <rFont val="Times New Roman"/>
        <family val="1"/>
      </rPr>
      <t>SaTogm</t>
    </r>
  </si>
  <si>
    <r>
      <t>λ</t>
    </r>
    <r>
      <rPr>
        <i/>
        <vertAlign val="subscript"/>
        <sz val="12"/>
        <color theme="1"/>
        <rFont val="Times New Roman"/>
        <family val="1"/>
      </rPr>
      <t>coll,IM</t>
    </r>
    <r>
      <rPr>
        <i/>
        <sz val="12"/>
        <color theme="1"/>
        <rFont val="Times New Roman"/>
        <family val="1"/>
      </rPr>
      <t xml:space="preserve"> / λ</t>
    </r>
    <r>
      <rPr>
        <i/>
        <vertAlign val="subscript"/>
        <sz val="12"/>
        <color theme="1"/>
        <rFont val="Times New Roman"/>
        <family val="1"/>
      </rPr>
      <t>coll, SaTogm</t>
    </r>
  </si>
  <si>
    <r>
      <t>λ</t>
    </r>
    <r>
      <rPr>
        <i/>
        <vertAlign val="subscript"/>
        <sz val="12"/>
        <color theme="1"/>
        <rFont val="Times New Roman"/>
        <family val="1"/>
      </rPr>
      <t>IO,IM</t>
    </r>
    <r>
      <rPr>
        <i/>
        <sz val="12"/>
        <color theme="1"/>
        <rFont val="Times New Roman"/>
        <family val="1"/>
      </rPr>
      <t xml:space="preserve"> / λ</t>
    </r>
    <r>
      <rPr>
        <i/>
        <vertAlign val="subscript"/>
        <sz val="12"/>
        <color theme="1"/>
        <rFont val="Times New Roman"/>
        <family val="1"/>
      </rPr>
      <t>IO, SaTogm</t>
    </r>
  </si>
  <si>
    <t>SaTogm</t>
  </si>
  <si>
    <r>
      <t>EAL</t>
    </r>
    <r>
      <rPr>
        <vertAlign val="subscript"/>
        <sz val="14"/>
        <color rgb="FF0000FF"/>
        <rFont val="Calibri"/>
        <family val="2"/>
        <scheme val="minor"/>
      </rPr>
      <t>1893</t>
    </r>
  </si>
  <si>
    <r>
      <t>1×10</t>
    </r>
    <r>
      <rPr>
        <vertAlign val="superscript"/>
        <sz val="14"/>
        <color rgb="FF0000FF"/>
        <rFont val="Calibri"/>
        <family val="2"/>
        <scheme val="minor"/>
      </rPr>
      <t>-4</t>
    </r>
  </si>
  <si>
    <r>
      <t>λ</t>
    </r>
    <r>
      <rPr>
        <i/>
        <vertAlign val="subscript"/>
        <sz val="12"/>
        <color theme="1"/>
        <rFont val="Times New Roman"/>
        <family val="1"/>
      </rPr>
      <t xml:space="preserve">coll
</t>
    </r>
    <r>
      <rPr>
        <sz val="12"/>
        <color theme="1"/>
        <rFont val="Times New Roman"/>
        <family val="1"/>
      </rPr>
      <t>(×10</t>
    </r>
    <r>
      <rPr>
        <vertAlign val="superscript"/>
        <sz val="12"/>
        <color theme="1"/>
        <rFont val="Times New Roman"/>
        <family val="1"/>
      </rPr>
      <t>-4</t>
    </r>
    <r>
      <rPr>
        <sz val="12"/>
        <color theme="1"/>
        <rFont val="Times New Roman"/>
        <family val="1"/>
      </rPr>
      <t>)</t>
    </r>
  </si>
  <si>
    <r>
      <t>λ</t>
    </r>
    <r>
      <rPr>
        <vertAlign val="subscript"/>
        <sz val="14"/>
        <color rgb="FF0000FF"/>
        <rFont val="Calibri"/>
        <family val="2"/>
        <scheme val="minor"/>
      </rPr>
      <t>coll,1893</t>
    </r>
  </si>
  <si>
    <r>
      <t>Find γ</t>
    </r>
    <r>
      <rPr>
        <vertAlign val="subscript"/>
        <sz val="12"/>
        <color theme="1"/>
        <rFont val="Times New Roman"/>
        <family val="1"/>
      </rPr>
      <t xml:space="preserve">ds,λ*, </t>
    </r>
    <r>
      <rPr>
        <sz val="12"/>
        <color theme="1"/>
        <rFont val="Times New Roman"/>
        <family val="1"/>
      </rPr>
      <t>for  ds = DS4, and λ* = 1e-5</t>
    </r>
  </si>
  <si>
    <t>class-A+</t>
  </si>
  <si>
    <t>class-A</t>
  </si>
  <si>
    <t>class-B</t>
  </si>
  <si>
    <t xml:space="preserve">Cosenza et al (2018) </t>
  </si>
  <si>
    <t>Intermediate results</t>
  </si>
  <si>
    <t>Table 13</t>
  </si>
  <si>
    <t>Performance Target Space-1</t>
  </si>
  <si>
    <t>Performance Target Space-2</t>
  </si>
  <si>
    <t>Performance Target Space-3</t>
  </si>
  <si>
    <t>Economic (EAL)</t>
  </si>
  <si>
    <r>
      <t>Collapse (λ</t>
    </r>
    <r>
      <rPr>
        <vertAlign val="subscript"/>
        <sz val="12"/>
        <color theme="1"/>
        <rFont val="Times New Roman"/>
        <family val="1"/>
      </rPr>
      <t>coll</t>
    </r>
    <r>
      <rPr>
        <sz val="12"/>
        <color theme="1"/>
        <rFont val="Times New Roman"/>
        <family val="1"/>
      </rPr>
      <t>)</t>
    </r>
  </si>
  <si>
    <r>
      <t>Operationability (λ</t>
    </r>
    <r>
      <rPr>
        <vertAlign val="subscript"/>
        <sz val="12"/>
        <color theme="1"/>
        <rFont val="Times New Roman"/>
        <family val="1"/>
      </rPr>
      <t>IO</t>
    </r>
    <r>
      <rPr>
        <sz val="12"/>
        <color theme="1"/>
        <rFont val="Times New Roman"/>
        <family val="1"/>
      </rPr>
      <t>)</t>
    </r>
  </si>
  <si>
    <t>Performance Metric</t>
  </si>
  <si>
    <r>
      <rPr>
        <i/>
        <sz val="12"/>
        <color theme="1"/>
        <rFont val="Times New Roman"/>
        <family val="1"/>
      </rPr>
      <t>IM = ag</t>
    </r>
    <r>
      <rPr>
        <sz val="12"/>
        <color theme="1"/>
        <rFont val="Times New Roman"/>
        <family val="1"/>
      </rPr>
      <t>, Peak ground acceleration.</t>
    </r>
  </si>
  <si>
    <r>
      <rPr>
        <i/>
        <sz val="12"/>
        <color theme="1"/>
        <rFont val="Times New Roman"/>
        <family val="1"/>
      </rPr>
      <t>IM = Sa(Ta)</t>
    </r>
    <r>
      <rPr>
        <sz val="12"/>
        <color theme="1"/>
        <rFont val="Times New Roman"/>
        <family val="1"/>
      </rPr>
      <t xml:space="preserve">, Spectral acceleration at </t>
    </r>
    <r>
      <rPr>
        <i/>
        <sz val="12"/>
        <color theme="1"/>
        <rFont val="Times New Roman"/>
        <family val="1"/>
      </rPr>
      <t>Ta</t>
    </r>
  </si>
  <si>
    <r>
      <t>Record-to-record uncertainty in fragility functions corresponding to different damage states (DS1 to DS4) and intensity measures (</t>
    </r>
    <r>
      <rPr>
        <i/>
        <sz val="12"/>
        <color theme="1"/>
        <rFont val="Times New Roman"/>
        <family val="1"/>
      </rPr>
      <t xml:space="preserve">ag, </t>
    </r>
    <r>
      <rPr>
        <sz val="12"/>
        <color theme="1"/>
        <rFont val="Times New Roman"/>
        <family val="1"/>
      </rPr>
      <t xml:space="preserve">peak ground acceleration, and Sa(Ta), spectral acceleration at </t>
    </r>
    <r>
      <rPr>
        <i/>
        <sz val="12"/>
        <color theme="1"/>
        <rFont val="Times New Roman"/>
        <family val="1"/>
      </rPr>
      <t>Ta</t>
    </r>
    <r>
      <rPr>
        <sz val="12"/>
        <color theme="1"/>
        <rFont val="Times New Roman"/>
        <family val="1"/>
      </rPr>
      <t>).</t>
    </r>
  </si>
  <si>
    <t>MAX-ALL</t>
  </si>
  <si>
    <t>MIN-ALL</t>
  </si>
  <si>
    <t>Location</t>
  </si>
  <si>
    <r>
      <t xml:space="preserve">ds </t>
    </r>
    <r>
      <rPr>
        <sz val="12"/>
        <color theme="1"/>
        <rFont val="Times New Roman"/>
        <family val="1"/>
      </rPr>
      <t>= DS4</t>
    </r>
  </si>
  <si>
    <r>
      <t xml:space="preserve">ds </t>
    </r>
    <r>
      <rPr>
        <sz val="12"/>
        <color theme="1"/>
        <rFont val="Times New Roman"/>
        <family val="1"/>
      </rPr>
      <t>= DS1</t>
    </r>
  </si>
  <si>
    <r>
      <t>λ</t>
    </r>
    <r>
      <rPr>
        <i/>
        <vertAlign val="subscript"/>
        <sz val="12"/>
        <color theme="1"/>
        <rFont val="Times New Roman"/>
        <family val="1"/>
      </rPr>
      <t>ds,IM,H</t>
    </r>
  </si>
  <si>
    <r>
      <t>λ</t>
    </r>
    <r>
      <rPr>
        <i/>
        <vertAlign val="subscript"/>
        <sz val="12"/>
        <color theme="1"/>
        <rFont val="Times New Roman"/>
        <family val="1"/>
      </rPr>
      <t>ds,IM,D</t>
    </r>
  </si>
  <si>
    <r>
      <rPr>
        <i/>
        <sz val="12"/>
        <color theme="1"/>
        <rFont val="Times New Roman"/>
        <family val="1"/>
      </rPr>
      <t>λ</t>
    </r>
    <r>
      <rPr>
        <i/>
        <vertAlign val="subscript"/>
        <sz val="12"/>
        <color theme="1"/>
        <rFont val="Times New Roman"/>
        <family val="1"/>
      </rPr>
      <t>ds,IM,H</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considered intensity measure IM using actual PSHA-based hazard curve</t>
    </r>
  </si>
  <si>
    <r>
      <t>χ</t>
    </r>
    <r>
      <rPr>
        <vertAlign val="subscript"/>
        <sz val="9"/>
        <color theme="1"/>
        <rFont val="Times New Roman"/>
        <family val="1"/>
      </rPr>
      <t>R</t>
    </r>
  </si>
  <si>
    <r>
      <t>ζ</t>
    </r>
    <r>
      <rPr>
        <vertAlign val="subscript"/>
        <sz val="9"/>
        <rFont val="Times New Roman"/>
        <family val="1"/>
      </rPr>
      <t>ag,475</t>
    </r>
  </si>
  <si>
    <r>
      <t>γ</t>
    </r>
    <r>
      <rPr>
        <vertAlign val="subscript"/>
        <sz val="9"/>
        <color theme="1"/>
        <rFont val="Times New Roman"/>
        <family val="1"/>
      </rPr>
      <t>R</t>
    </r>
  </si>
  <si>
    <r>
      <t>χ</t>
    </r>
    <r>
      <rPr>
        <vertAlign val="subscript"/>
        <sz val="9"/>
        <color theme="1"/>
        <rFont val="Times New Roman"/>
        <family val="1"/>
      </rPr>
      <t>SaTogm,LS,λ*</t>
    </r>
  </si>
  <si>
    <r>
      <t>γ</t>
    </r>
    <r>
      <rPr>
        <vertAlign val="subscript"/>
        <sz val="9"/>
        <color theme="1"/>
        <rFont val="Times New Roman"/>
        <family val="1"/>
      </rPr>
      <t xml:space="preserve">SaTogm,475,LS,λ* </t>
    </r>
    <r>
      <rPr>
        <sz val="9"/>
        <color theme="1"/>
        <rFont val="Times New Roman"/>
        <family val="1"/>
      </rPr>
      <t>= γ</t>
    </r>
    <r>
      <rPr>
        <vertAlign val="subscript"/>
        <sz val="9"/>
        <color theme="1"/>
        <rFont val="Times New Roman"/>
        <family val="1"/>
      </rPr>
      <t>LS,λ*</t>
    </r>
  </si>
  <si>
    <r>
      <t>χ</t>
    </r>
    <r>
      <rPr>
        <vertAlign val="subscript"/>
        <sz val="9"/>
        <color theme="1"/>
        <rFont val="Times New Roman"/>
        <family val="1"/>
      </rPr>
      <t>SaTogm,IO,λ*</t>
    </r>
  </si>
  <si>
    <r>
      <t>γ</t>
    </r>
    <r>
      <rPr>
        <vertAlign val="subscript"/>
        <sz val="9"/>
        <color theme="1"/>
        <rFont val="Times New Roman"/>
        <family val="1"/>
      </rPr>
      <t xml:space="preserve">SaTogm,475,IO,λ* </t>
    </r>
    <r>
      <rPr>
        <sz val="9"/>
        <color theme="1"/>
        <rFont val="Times New Roman"/>
        <family val="1"/>
      </rPr>
      <t>= γ</t>
    </r>
    <r>
      <rPr>
        <vertAlign val="subscript"/>
        <sz val="9"/>
        <color theme="1"/>
        <rFont val="Times New Roman"/>
        <family val="1"/>
      </rPr>
      <t>IO,λ*</t>
    </r>
  </si>
  <si>
    <r>
      <t>N</t>
    </r>
    <r>
      <rPr>
        <i/>
        <vertAlign val="subscript"/>
        <sz val="9"/>
        <color theme="1"/>
        <rFont val="Times New Roman"/>
        <family val="1"/>
      </rPr>
      <t>st</t>
    </r>
  </si>
  <si>
    <r>
      <t>λ</t>
    </r>
    <r>
      <rPr>
        <vertAlign val="subscript"/>
        <sz val="9"/>
        <color theme="1"/>
        <rFont val="Times New Roman"/>
        <family val="1"/>
      </rPr>
      <t xml:space="preserve">coll,SaTogm
</t>
    </r>
    <r>
      <rPr>
        <sz val="9"/>
        <color theme="1"/>
        <rFont val="Times New Roman"/>
        <family val="1"/>
      </rPr>
      <t>(×10</t>
    </r>
    <r>
      <rPr>
        <vertAlign val="superscript"/>
        <sz val="9"/>
        <color theme="1"/>
        <rFont val="Times New Roman"/>
        <family val="1"/>
      </rPr>
      <t>-4</t>
    </r>
    <r>
      <rPr>
        <sz val="9"/>
        <color theme="1"/>
        <rFont val="Times New Roman"/>
        <family val="1"/>
      </rPr>
      <t>)</t>
    </r>
  </si>
  <si>
    <r>
      <t>λ</t>
    </r>
    <r>
      <rPr>
        <vertAlign val="subscript"/>
        <sz val="9"/>
        <color theme="1"/>
        <rFont val="Times New Roman"/>
        <family val="1"/>
      </rPr>
      <t>coll</t>
    </r>
    <r>
      <rPr>
        <sz val="9"/>
        <color theme="1"/>
        <rFont val="Times New Roman"/>
        <family val="1"/>
      </rPr>
      <t>* 
= 0.5×10</t>
    </r>
    <r>
      <rPr>
        <vertAlign val="superscript"/>
        <sz val="9"/>
        <color theme="1"/>
        <rFont val="Times New Roman"/>
        <family val="1"/>
      </rPr>
      <t>-4</t>
    </r>
  </si>
  <si>
    <r>
      <t>λ</t>
    </r>
    <r>
      <rPr>
        <vertAlign val="subscript"/>
        <sz val="9"/>
        <color theme="1"/>
        <rFont val="Times New Roman"/>
        <family val="1"/>
      </rPr>
      <t>coll</t>
    </r>
    <r>
      <rPr>
        <sz val="9"/>
        <color theme="1"/>
        <rFont val="Times New Roman"/>
        <family val="1"/>
      </rPr>
      <t>* 
= 0.25×10</t>
    </r>
    <r>
      <rPr>
        <vertAlign val="superscript"/>
        <sz val="9"/>
        <color theme="1"/>
        <rFont val="Times New Roman"/>
        <family val="1"/>
      </rPr>
      <t>-4</t>
    </r>
  </si>
  <si>
    <r>
      <t>λ</t>
    </r>
    <r>
      <rPr>
        <vertAlign val="subscript"/>
        <sz val="9"/>
        <color theme="1"/>
        <rFont val="Times New Roman"/>
        <family val="1"/>
      </rPr>
      <t>coll</t>
    </r>
    <r>
      <rPr>
        <sz val="9"/>
        <color theme="1"/>
        <rFont val="Times New Roman"/>
        <family val="1"/>
      </rPr>
      <t>* 
= 0.1×10</t>
    </r>
    <r>
      <rPr>
        <vertAlign val="superscript"/>
        <sz val="9"/>
        <color theme="1"/>
        <rFont val="Times New Roman"/>
        <family val="1"/>
      </rPr>
      <t>-4</t>
    </r>
  </si>
  <si>
    <r>
      <t>λ</t>
    </r>
    <r>
      <rPr>
        <vertAlign val="subscript"/>
        <sz val="9"/>
        <color theme="1"/>
        <rFont val="Times New Roman"/>
        <family val="1"/>
      </rPr>
      <t xml:space="preserve">IO,SaTogm
</t>
    </r>
    <r>
      <rPr>
        <sz val="9"/>
        <color theme="1"/>
        <rFont val="Times New Roman"/>
        <family val="1"/>
      </rPr>
      <t>(×10</t>
    </r>
    <r>
      <rPr>
        <vertAlign val="superscript"/>
        <sz val="9"/>
        <color theme="1"/>
        <rFont val="Times New Roman"/>
        <family val="1"/>
      </rPr>
      <t>-4</t>
    </r>
    <r>
      <rPr>
        <sz val="9"/>
        <color theme="1"/>
        <rFont val="Times New Roman"/>
        <family val="1"/>
      </rPr>
      <t>)</t>
    </r>
  </si>
  <si>
    <r>
      <t>λ</t>
    </r>
    <r>
      <rPr>
        <vertAlign val="subscript"/>
        <sz val="9"/>
        <color theme="1"/>
        <rFont val="Times New Roman"/>
        <family val="1"/>
      </rPr>
      <t>op</t>
    </r>
    <r>
      <rPr>
        <sz val="9"/>
        <color theme="1"/>
        <rFont val="Times New Roman"/>
        <family val="1"/>
      </rPr>
      <t>* 
= 10×10</t>
    </r>
    <r>
      <rPr>
        <vertAlign val="superscript"/>
        <sz val="9"/>
        <color theme="1"/>
        <rFont val="Times New Roman"/>
        <family val="1"/>
      </rPr>
      <t>-4</t>
    </r>
  </si>
  <si>
    <r>
      <t>λ</t>
    </r>
    <r>
      <rPr>
        <vertAlign val="subscript"/>
        <sz val="9"/>
        <color theme="1"/>
        <rFont val="Times New Roman"/>
        <family val="1"/>
      </rPr>
      <t>op</t>
    </r>
    <r>
      <rPr>
        <sz val="9"/>
        <color theme="1"/>
        <rFont val="Times New Roman"/>
        <family val="1"/>
      </rPr>
      <t>* 
= 5×10</t>
    </r>
    <r>
      <rPr>
        <vertAlign val="superscript"/>
        <sz val="9"/>
        <color theme="1"/>
        <rFont val="Times New Roman"/>
        <family val="1"/>
      </rPr>
      <t>-4</t>
    </r>
  </si>
  <si>
    <r>
      <t>λ</t>
    </r>
    <r>
      <rPr>
        <vertAlign val="subscript"/>
        <sz val="9"/>
        <color theme="1"/>
        <rFont val="Times New Roman"/>
        <family val="1"/>
      </rPr>
      <t>op</t>
    </r>
    <r>
      <rPr>
        <sz val="9"/>
        <color theme="1"/>
        <rFont val="Times New Roman"/>
        <family val="1"/>
      </rPr>
      <t>* 
= 2×10</t>
    </r>
    <r>
      <rPr>
        <vertAlign val="superscript"/>
        <sz val="9"/>
        <color theme="1"/>
        <rFont val="Times New Roman"/>
        <family val="1"/>
      </rPr>
      <t>-4</t>
    </r>
  </si>
  <si>
    <r>
      <rPr>
        <i/>
        <sz val="9"/>
        <color theme="1"/>
        <rFont val="Times New Roman"/>
        <family val="1"/>
      </rPr>
      <t>χ</t>
    </r>
    <r>
      <rPr>
        <i/>
        <vertAlign val="subscript"/>
        <sz val="9"/>
        <color theme="1"/>
        <rFont val="Times New Roman"/>
        <family val="1"/>
      </rPr>
      <t>R*</t>
    </r>
    <r>
      <rPr>
        <sz val="9"/>
        <color theme="1"/>
        <rFont val="Times New Roman"/>
        <family val="1"/>
      </rPr>
      <t xml:space="preserve">: Risk-targeted modification factor (RTMF) in design-level seismic response coefficient for targeted risk space, R </t>
    </r>
  </si>
  <si>
    <r>
      <t>ζ</t>
    </r>
    <r>
      <rPr>
        <i/>
        <vertAlign val="subscript"/>
        <sz val="9"/>
        <rFont val="Times New Roman"/>
        <family val="1"/>
      </rPr>
      <t>ag,475</t>
    </r>
    <r>
      <rPr>
        <sz val="9"/>
        <rFont val="Times New Roman"/>
        <family val="1"/>
      </rPr>
      <t>: Hazard adjustment factor, the ratio of PSHA-based hazard to the design standard value for intensity measure IM, corresponding to a return period T_r</t>
    </r>
  </si>
  <si>
    <r>
      <t xml:space="preserve">μ + 1.0 </t>
    </r>
    <r>
      <rPr>
        <sz val="9"/>
        <color theme="1"/>
        <rFont val="Calibri"/>
        <family val="2"/>
      </rPr>
      <t>σ</t>
    </r>
  </si>
  <si>
    <r>
      <rPr>
        <i/>
        <sz val="9"/>
        <color theme="1"/>
        <rFont val="Times New Roman"/>
        <family val="1"/>
      </rPr>
      <t xml:space="preserve"> γ</t>
    </r>
    <r>
      <rPr>
        <i/>
        <vertAlign val="subscript"/>
        <sz val="9"/>
        <color theme="1"/>
        <rFont val="Times New Roman"/>
        <family val="1"/>
      </rPr>
      <t>R</t>
    </r>
    <r>
      <rPr>
        <sz val="9"/>
        <color theme="1"/>
        <rFont val="Times New Roman"/>
        <family val="1"/>
      </rPr>
      <t>: Adjusted risk-targeted modification factor in design-level seismic response coefficient for targeted risk space R.</t>
    </r>
  </si>
  <si>
    <r>
      <t xml:space="preserve">μ + 1.0 </t>
    </r>
    <r>
      <rPr>
        <b/>
        <sz val="9"/>
        <color theme="1"/>
        <rFont val="Calibri"/>
        <family val="2"/>
      </rPr>
      <t>σ</t>
    </r>
  </si>
  <si>
    <t xml:space="preserve">RECOMMENDED =&gt;  </t>
  </si>
  <si>
    <r>
      <t xml:space="preserve">Comparison of spectral acceleration (%g) prescribed by Indian design standard </t>
    </r>
    <r>
      <rPr>
        <b/>
        <sz val="12"/>
        <color rgb="FFFF0000"/>
        <rFont val="Times New Roman"/>
        <family val="1"/>
      </rPr>
      <t>(IS 1893)</t>
    </r>
    <r>
      <rPr>
        <sz val="12"/>
        <color theme="1"/>
        <rFont val="Times New Roman"/>
        <family val="1"/>
      </rPr>
      <t xml:space="preserve"> and obtained from PSHA </t>
    </r>
    <r>
      <rPr>
        <sz val="12"/>
        <color rgb="FFFF0000"/>
        <rFont val="Times New Roman"/>
        <family val="1"/>
      </rPr>
      <t>(Raghukanth)</t>
    </r>
    <r>
      <rPr>
        <sz val="12"/>
        <color theme="1"/>
        <rFont val="Times New Roman"/>
        <family val="1"/>
      </rPr>
      <t xml:space="preserve"> for selected locations</t>
    </r>
  </si>
  <si>
    <t>Record-to-record uncertainty, β_(RTR,ds,IM), in fragility corresponding to different damage states, ds, and intensity measures, IM.</t>
  </si>
  <si>
    <t>Period of vibration for optimal intensity measure and record-to-record uncertainty corresponding to different damage states for example buildings</t>
  </si>
  <si>
    <t>Minimum building capacity, 〖im〗_(ds,lb), for different damage states corresponding to intensity measure as spectral acceleration, Sa(T_ogm)</t>
  </si>
  <si>
    <t>Upper bound of intensity measure, im_ub, corresponding to PGA, ag, and spectral acceleration, Sa(T_ogm). Two standard deviation (+2×σ) above mean from GMPM has been used to calculate upper bounds. Note that T_ogm changes with building configuration (see Table 4)</t>
  </si>
  <si>
    <t>Effect of intensity measure bound on seismic risk corresponding to DS4 and DS1 damage states, with IM as Sa(T_ogm)</t>
  </si>
  <si>
    <t>Effect of hazard shape on seismic risk corresponding to DS4 and DS1 damage states, using code-based idealized shape and actual curve from PSHA with IM as Sa(T_ogm)</t>
  </si>
  <si>
    <t xml:space="preserve">Seismic performance metrics—EAL or expected annual loss; λ_coll=λ_DS4, collapse risk; and λ_op=λ_DS1, loss-of-operationability risk associated with example buildings </t>
  </si>
  <si>
    <t>Risk-targeted modification factors (RTMF) and adjusted RTMF values for risk spaces targeting economic loss, EAL</t>
  </si>
  <si>
    <t>RTMF and adjusted RTMF values for risk spaces targeting collapse, λ_coll</t>
  </si>
  <si>
    <t>RTMF and adjusted RTMF values for risk spaces targeting the loss of operationability, λ_op</t>
  </si>
  <si>
    <t>Recommended RTMF values for target risk spaces corresponding to different damage states</t>
  </si>
  <si>
    <t>discount rate, r</t>
  </si>
  <si>
    <t>lifetime, T (y)</t>
  </si>
  <si>
    <t>P_coll (50y)</t>
  </si>
  <si>
    <t>Present Value (PV)</t>
  </si>
  <si>
    <r>
      <t>EAL</t>
    </r>
    <r>
      <rPr>
        <i/>
        <vertAlign val="subscript"/>
        <sz val="12"/>
        <color theme="1"/>
        <rFont val="Times New Roman"/>
        <family val="1"/>
      </rPr>
      <t xml:space="preserve">
</t>
    </r>
    <r>
      <rPr>
        <sz val="12"/>
        <color theme="1"/>
        <rFont val="Times New Roman"/>
        <family val="1"/>
      </rPr>
      <t>(×10</t>
    </r>
    <r>
      <rPr>
        <vertAlign val="superscript"/>
        <sz val="12"/>
        <color theme="1"/>
        <rFont val="Times New Roman"/>
        <family val="1"/>
      </rPr>
      <t>-4</t>
    </r>
    <r>
      <rPr>
        <sz val="12"/>
        <color theme="1"/>
        <rFont val="Times New Roman"/>
        <family val="1"/>
      </rPr>
      <t>)</t>
    </r>
  </si>
  <si>
    <r>
      <t>EAL</t>
    </r>
    <r>
      <rPr>
        <vertAlign val="subscript"/>
        <sz val="9"/>
        <color theme="1"/>
        <rFont val="Times New Roman"/>
        <family val="1"/>
      </rPr>
      <t xml:space="preserve">
</t>
    </r>
    <r>
      <rPr>
        <sz val="9"/>
        <color theme="1"/>
        <rFont val="Times New Roman"/>
        <family val="1"/>
      </rPr>
      <t>(×10</t>
    </r>
    <r>
      <rPr>
        <vertAlign val="superscript"/>
        <sz val="9"/>
        <color theme="1"/>
        <rFont val="Times New Roman"/>
        <family val="1"/>
      </rPr>
      <t>-4</t>
    </r>
    <r>
      <rPr>
        <sz val="9"/>
        <color theme="1"/>
        <rFont val="Times New Roman"/>
        <family val="1"/>
      </rPr>
      <t>)</t>
    </r>
  </si>
  <si>
    <r>
      <t>EAL* 
= 1.5 × 10</t>
    </r>
    <r>
      <rPr>
        <vertAlign val="superscript"/>
        <sz val="9"/>
        <color theme="1"/>
        <rFont val="Times New Roman"/>
        <family val="1"/>
      </rPr>
      <t>-4</t>
    </r>
  </si>
  <si>
    <r>
      <t>EAL* 
= 0.75 × 10</t>
    </r>
    <r>
      <rPr>
        <vertAlign val="superscript"/>
        <sz val="9"/>
        <color theme="1"/>
        <rFont val="Times New Roman"/>
        <family val="1"/>
      </rPr>
      <t>-4</t>
    </r>
  </si>
  <si>
    <r>
      <t>EAL* 
= 0.3 × 10</t>
    </r>
    <r>
      <rPr>
        <vertAlign val="superscript"/>
        <sz val="9"/>
        <color theme="1"/>
        <rFont val="Times New Roman"/>
        <family val="1"/>
      </rPr>
      <t>-4</t>
    </r>
  </si>
  <si>
    <t>H:\UniformRiskMap\scriptRTGM_newDSs_v1.m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</si>
</sst>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0.0"/>
    <numFmt numFmtId="166" formatCode="0.000"/>
    <numFmt numFmtId="167" formatCode="0.0%"/>
    <numFmt numFmtId="168" formatCode="#,##0.00&quot;g&quot;"/>
    <numFmt numFmtId="169" formatCode="#,##0.000&quot;g&quot;"/>
    <numFmt numFmtId="170" formatCode="&quot;Table&quot;\ #,##0"/>
    <numFmt numFmtId="171" formatCode="&quot;Fig. F&quot;#,##0"/>
    <numFmt numFmtId="172" formatCode="&quot;Table &quot;#,##0"/>
    <numFmt numFmtId="173" formatCode="&quot;$&quot;#,##0;[Red]&quot;$&quot;#,##0"/>
    <numFmt numFmtId="174" formatCode="0.0E+00"/>
  </numFmts>
  <fonts count="94" x14ac:knownFonts="1">
    <font>
      <sz val="11"/>
      <color theme="1"/>
      <name val="Calibri"/>
      <family val="2"/>
      <scheme val="minor"/>
    </font>
    <font>
      <sz val="11"/>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b/>
      <sz val="12"/>
      <name val="Times New Roman"/>
      <family val="1"/>
    </font>
    <font>
      <sz val="12"/>
      <name val="Times New Roman"/>
      <family val="1"/>
    </font>
    <font>
      <vertAlign val="superscript"/>
      <sz val="12"/>
      <name val="Times New Roman"/>
      <family val="1"/>
    </font>
    <font>
      <vertAlign val="subscript"/>
      <sz val="12"/>
      <name val="Times New Roman"/>
      <family val="1"/>
    </font>
    <font>
      <b/>
      <sz val="12"/>
      <color theme="1"/>
      <name val="Times New Roman"/>
      <family val="1"/>
    </font>
    <font>
      <sz val="12"/>
      <color theme="1"/>
      <name val="Times New Roman"/>
      <family val="1"/>
    </font>
    <font>
      <vertAlign val="superscript"/>
      <sz val="12"/>
      <color theme="1"/>
      <name val="Times New Roman"/>
      <family val="1"/>
    </font>
    <font>
      <vertAlign val="subscript"/>
      <sz val="12"/>
      <color theme="1"/>
      <name val="Times New Roman"/>
      <family val="1"/>
    </font>
    <font>
      <b/>
      <sz val="12"/>
      <color rgb="FFFF0000"/>
      <name val="Times New Roman"/>
      <family val="1"/>
    </font>
    <font>
      <sz val="12"/>
      <color rgb="FFFF0000"/>
      <name val="Times New Roman"/>
      <family val="1"/>
    </font>
    <font>
      <i/>
      <sz val="12"/>
      <color theme="1"/>
      <name val="Times New Roman"/>
      <family val="1"/>
    </font>
    <font>
      <i/>
      <vertAlign val="subscript"/>
      <sz val="12"/>
      <color theme="1"/>
      <name val="Times New Roman"/>
      <family val="1"/>
    </font>
    <font>
      <sz val="11"/>
      <color theme="1"/>
      <name val="Times New Roman"/>
      <family val="1"/>
    </font>
    <font>
      <b/>
      <sz val="11"/>
      <color theme="1"/>
      <name val="Times New Roman"/>
      <family val="1"/>
    </font>
    <font>
      <b/>
      <u/>
      <sz val="11"/>
      <color theme="1"/>
      <name val="Times New Roman"/>
      <family val="1"/>
    </font>
    <font>
      <sz val="12"/>
      <color theme="1"/>
      <name val="Calibri"/>
      <family val="2"/>
    </font>
    <font>
      <sz val="11"/>
      <color theme="1"/>
      <name val="Calibri"/>
      <family val="2"/>
      <scheme val="minor"/>
    </font>
    <font>
      <sz val="11"/>
      <color rgb="FF0000FF"/>
      <name val="Times New Roman"/>
      <family val="1"/>
    </font>
    <font>
      <b/>
      <vertAlign val="subscript"/>
      <sz val="13.8"/>
      <name val="Times New Roman"/>
      <family val="1"/>
    </font>
    <font>
      <b/>
      <vertAlign val="subscript"/>
      <sz val="12"/>
      <name val="Times New Roman"/>
      <family val="1"/>
    </font>
    <font>
      <b/>
      <vertAlign val="subscript"/>
      <sz val="11"/>
      <color theme="1"/>
      <name val="Times New Roman"/>
      <family val="1"/>
    </font>
    <font>
      <b/>
      <sz val="16"/>
      <color rgb="FF0000FF"/>
      <name val="Times New Roman"/>
      <family val="1"/>
    </font>
    <font>
      <i/>
      <sz val="12"/>
      <name val="Times New Roman"/>
      <family val="1"/>
    </font>
    <font>
      <i/>
      <vertAlign val="subscript"/>
      <sz val="12"/>
      <name val="Times New Roman"/>
      <family val="1"/>
    </font>
    <font>
      <sz val="12"/>
      <color rgb="FF0000FF"/>
      <name val="Times New Roman"/>
      <family val="1"/>
    </font>
    <font>
      <i/>
      <sz val="11"/>
      <color theme="1"/>
      <name val="Times New Roman"/>
      <family val="2"/>
    </font>
    <font>
      <i/>
      <vertAlign val="subscript"/>
      <sz val="11"/>
      <color theme="1"/>
      <name val="Times New Roman"/>
      <family val="2"/>
    </font>
    <font>
      <sz val="11"/>
      <color theme="1"/>
      <name val="Times New Roman"/>
      <family val="2"/>
    </font>
    <font>
      <i/>
      <sz val="11"/>
      <color theme="1"/>
      <name val="Times New Roman"/>
      <family val="1"/>
    </font>
    <font>
      <i/>
      <vertAlign val="subscript"/>
      <sz val="11"/>
      <color theme="1"/>
      <name val="Times New Roman"/>
      <family val="1"/>
    </font>
    <font>
      <i/>
      <vertAlign val="subscript"/>
      <sz val="11"/>
      <name val="Times New Roman"/>
      <family val="1"/>
    </font>
    <font>
      <sz val="11"/>
      <name val="Times New Roman"/>
      <family val="1"/>
    </font>
    <font>
      <u/>
      <sz val="11"/>
      <color theme="1"/>
      <name val="Calibri"/>
      <family val="2"/>
      <scheme val="minor"/>
    </font>
    <font>
      <sz val="14"/>
      <color theme="1"/>
      <name val="Times New Roman"/>
      <family val="1"/>
    </font>
    <font>
      <sz val="14"/>
      <color rgb="FF0000FF"/>
      <name val="Calibri"/>
      <family val="2"/>
      <scheme val="minor"/>
    </font>
    <font>
      <vertAlign val="superscript"/>
      <sz val="14"/>
      <color rgb="FF0000FF"/>
      <name val="Calibri"/>
      <family val="2"/>
      <scheme val="minor"/>
    </font>
    <font>
      <vertAlign val="subscript"/>
      <sz val="14"/>
      <color rgb="FF0000FF"/>
      <name val="Calibri"/>
      <family val="2"/>
      <scheme val="minor"/>
    </font>
    <font>
      <b/>
      <u/>
      <sz val="12"/>
      <color theme="1"/>
      <name val="Times New Roman"/>
      <family val="1"/>
    </font>
    <font>
      <sz val="12"/>
      <color rgb="FFFF00FF"/>
      <name val="Times New Roman"/>
      <family val="2"/>
    </font>
    <font>
      <sz val="14"/>
      <color rgb="FF0000FF"/>
      <name val="Times New Roman"/>
      <family val="1"/>
    </font>
    <font>
      <i/>
      <sz val="14"/>
      <color rgb="FF0000FF"/>
      <name val="Times New Roman"/>
      <family val="1"/>
    </font>
    <font>
      <sz val="16"/>
      <color theme="1"/>
      <name val="Times New Roman"/>
      <family val="2"/>
    </font>
    <font>
      <sz val="14"/>
      <color theme="1"/>
      <name val="Times New Roman"/>
      <family val="2"/>
    </font>
    <font>
      <b/>
      <u/>
      <sz val="12"/>
      <color rgb="FF0000FF"/>
      <name val="Calibri"/>
      <family val="2"/>
      <scheme val="minor"/>
    </font>
    <font>
      <b/>
      <sz val="12"/>
      <color theme="1"/>
      <name val="Calibri"/>
      <family val="2"/>
    </font>
    <font>
      <sz val="12"/>
      <name val="Calibri"/>
      <family val="2"/>
      <scheme val="minor"/>
    </font>
    <font>
      <i/>
      <sz val="12"/>
      <color rgb="FF0000FF"/>
      <name val="Times New Roman"/>
      <family val="1"/>
    </font>
    <font>
      <b/>
      <sz val="12"/>
      <color rgb="FF0000FF"/>
      <name val="Times New Roman"/>
      <family val="1"/>
    </font>
    <font>
      <b/>
      <vertAlign val="subscript"/>
      <sz val="12"/>
      <color rgb="FF0000FF"/>
      <name val="Times New Roman"/>
      <family val="1"/>
    </font>
    <font>
      <b/>
      <u/>
      <sz val="11"/>
      <color theme="1"/>
      <name val="Calibri"/>
      <family val="2"/>
      <scheme val="minor"/>
    </font>
    <font>
      <i/>
      <sz val="11"/>
      <color rgb="FF0000FF"/>
      <name val="Calibri"/>
      <family val="2"/>
      <scheme val="minor"/>
    </font>
    <font>
      <sz val="11"/>
      <color rgb="FFFF0000"/>
      <name val="Calibri"/>
      <family val="2"/>
      <scheme val="minor"/>
    </font>
    <font>
      <sz val="16"/>
      <color rgb="FF0000FF"/>
      <name val="Times New Roman"/>
      <family val="1"/>
    </font>
    <font>
      <vertAlign val="subscript"/>
      <sz val="16"/>
      <color rgb="FF0000FF"/>
      <name val="Times New Roman"/>
      <family val="1"/>
    </font>
    <font>
      <b/>
      <u/>
      <sz val="18"/>
      <color rgb="FF0000FF"/>
      <name val="Times New Roman"/>
      <family val="1"/>
    </font>
    <font>
      <u/>
      <sz val="12"/>
      <color theme="1"/>
      <name val="Times New Roman"/>
      <family val="1"/>
    </font>
    <font>
      <sz val="13"/>
      <color theme="1"/>
      <name val="Times New Roman"/>
      <family val="1"/>
    </font>
    <font>
      <u/>
      <sz val="13"/>
      <color theme="1"/>
      <name val="Times New Roman"/>
      <family val="1"/>
    </font>
    <font>
      <i/>
      <u/>
      <sz val="13"/>
      <color theme="1"/>
      <name val="Times New Roman"/>
      <family val="1"/>
    </font>
    <font>
      <i/>
      <sz val="14"/>
      <color theme="1"/>
      <name val="Times New Roman"/>
      <family val="1"/>
    </font>
    <font>
      <sz val="10"/>
      <name val="Calibri"/>
      <family val="2"/>
      <scheme val="minor"/>
    </font>
    <font>
      <u/>
      <sz val="14"/>
      <color theme="1"/>
      <name val="Times New Roman"/>
      <family val="1"/>
    </font>
    <font>
      <i/>
      <u/>
      <sz val="14"/>
      <color theme="1"/>
      <name val="Times New Roman"/>
      <family val="1"/>
    </font>
    <font>
      <i/>
      <sz val="11"/>
      <color theme="1"/>
      <name val="Calibri"/>
      <family val="2"/>
      <scheme val="minor"/>
    </font>
    <font>
      <sz val="14"/>
      <name val="Calibri"/>
      <family val="2"/>
      <scheme val="minor"/>
    </font>
    <font>
      <sz val="10"/>
      <color theme="1"/>
      <name val="Times New Roman"/>
      <family val="1"/>
    </font>
    <font>
      <sz val="9"/>
      <color theme="1"/>
      <name val="Times New Roman"/>
      <family val="1"/>
    </font>
    <font>
      <b/>
      <sz val="9"/>
      <color theme="1"/>
      <name val="Times New Roman"/>
      <family val="1"/>
    </font>
    <font>
      <i/>
      <sz val="9"/>
      <color theme="1"/>
      <name val="Times New Roman"/>
      <family val="1"/>
    </font>
    <font>
      <sz val="9"/>
      <color theme="1"/>
      <name val="Calibri"/>
      <family val="2"/>
      <scheme val="minor"/>
    </font>
    <font>
      <sz val="9"/>
      <name val="Times New Roman"/>
      <family val="1"/>
    </font>
    <font>
      <vertAlign val="subscript"/>
      <sz val="9"/>
      <color theme="1"/>
      <name val="Times New Roman"/>
      <family val="1"/>
    </font>
    <font>
      <vertAlign val="subscript"/>
      <sz val="9"/>
      <name val="Times New Roman"/>
      <family val="1"/>
    </font>
    <font>
      <sz val="9"/>
      <color rgb="FF0000FF"/>
      <name val="Times New Roman"/>
      <family val="1"/>
    </font>
    <font>
      <i/>
      <vertAlign val="subscript"/>
      <sz val="9"/>
      <color theme="1"/>
      <name val="Times New Roman"/>
      <family val="1"/>
    </font>
    <font>
      <vertAlign val="superscript"/>
      <sz val="9"/>
      <color theme="1"/>
      <name val="Times New Roman"/>
      <family val="1"/>
    </font>
    <font>
      <i/>
      <sz val="9"/>
      <name val="Times New Roman"/>
      <family val="1"/>
    </font>
    <font>
      <i/>
      <vertAlign val="subscript"/>
      <sz val="9"/>
      <name val="Times New Roman"/>
      <family val="1"/>
    </font>
    <font>
      <sz val="9"/>
      <color theme="1"/>
      <name val="Calibri"/>
      <family val="2"/>
    </font>
    <font>
      <b/>
      <sz val="9"/>
      <color theme="1"/>
      <name val="Calibri"/>
      <family val="2"/>
    </font>
    <font>
      <sz val="9"/>
      <name val="Calibri"/>
      <family val="2"/>
      <scheme val="minor"/>
    </font>
    <font>
      <b/>
      <sz val="9"/>
      <color theme="1"/>
      <name val="Calibri"/>
      <family val="2"/>
      <scheme val="minor"/>
    </font>
    <font>
      <strike/>
      <sz val="9"/>
      <color theme="1"/>
      <name val="Times New Roman"/>
      <family val="1"/>
    </font>
    <font>
      <i/>
      <strike/>
      <sz val="9"/>
      <color theme="1"/>
      <name val="Times New Roman"/>
      <family val="1"/>
    </font>
    <font>
      <i/>
      <sz val="11"/>
      <color rgb="FFFF0000"/>
      <name val="Times New Roman"/>
      <family val="1"/>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rgb="FF00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8" tint="0.79998168889431442"/>
        <bgColor indexed="64"/>
      </patternFill>
    </fill>
  </fills>
  <borders count="7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thin">
        <color auto="1"/>
      </right>
      <top style="thin">
        <color auto="1"/>
      </top>
      <bottom style="thin">
        <color indexed="64"/>
      </bottom>
      <diagonal/>
    </border>
    <border>
      <left style="thin">
        <color auto="1"/>
      </left>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style="double">
        <color auto="1"/>
      </left>
      <right style="thin">
        <color auto="1"/>
      </right>
      <top/>
      <bottom/>
      <diagonal/>
    </border>
    <border>
      <left style="double">
        <color auto="1"/>
      </left>
      <right/>
      <top style="double">
        <color auto="1"/>
      </top>
      <bottom style="thin">
        <color indexed="64"/>
      </bottom>
      <diagonal/>
    </border>
    <border>
      <left/>
      <right/>
      <top style="double">
        <color auto="1"/>
      </top>
      <bottom style="thin">
        <color indexed="64"/>
      </bottom>
      <diagonal/>
    </border>
    <border>
      <left/>
      <right style="double">
        <color auto="1"/>
      </right>
      <top style="double">
        <color auto="1"/>
      </top>
      <bottom style="thin">
        <color indexed="64"/>
      </bottom>
      <diagonal/>
    </border>
    <border>
      <left style="double">
        <color auto="1"/>
      </left>
      <right style="thin">
        <color auto="1"/>
      </right>
      <top style="thin">
        <color auto="1"/>
      </top>
      <bottom style="thin">
        <color auto="1"/>
      </bottom>
      <diagonal/>
    </border>
    <border>
      <left/>
      <right style="double">
        <color auto="1"/>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double">
        <color rgb="FF0000FF"/>
      </left>
      <right/>
      <top style="double">
        <color rgb="FF0000FF"/>
      </top>
      <bottom/>
      <diagonal/>
    </border>
    <border>
      <left/>
      <right style="double">
        <color rgb="FF0000FF"/>
      </right>
      <top style="double">
        <color rgb="FF0000FF"/>
      </top>
      <bottom/>
      <diagonal/>
    </border>
    <border>
      <left style="double">
        <color rgb="FF0000FF"/>
      </left>
      <right/>
      <top/>
      <bottom/>
      <diagonal/>
    </border>
    <border>
      <left/>
      <right style="double">
        <color rgb="FF0000FF"/>
      </right>
      <top/>
      <bottom/>
      <diagonal/>
    </border>
    <border>
      <left style="double">
        <color rgb="FF0000FF"/>
      </left>
      <right/>
      <top/>
      <bottom style="double">
        <color rgb="FF0000FF"/>
      </bottom>
      <diagonal/>
    </border>
    <border>
      <left/>
      <right style="double">
        <color rgb="FF0000FF"/>
      </right>
      <top/>
      <bottom style="double">
        <color rgb="FF0000FF"/>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top style="medium">
        <color auto="1"/>
      </top>
      <bottom style="medium">
        <color auto="1"/>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auto="1"/>
      </top>
      <bottom style="thin">
        <color indexed="64"/>
      </bottom>
      <diagonal/>
    </border>
    <border>
      <left/>
      <right/>
      <top style="medium">
        <color auto="1"/>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thin">
        <color indexed="64"/>
      </right>
      <top style="double">
        <color auto="1"/>
      </top>
      <bottom/>
      <diagonal/>
    </border>
    <border>
      <left style="thin">
        <color auto="1"/>
      </left>
      <right/>
      <top style="double">
        <color auto="1"/>
      </top>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diagonal/>
    </border>
    <border>
      <left/>
      <right style="double">
        <color rgb="FFFF0000"/>
      </right>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00FF"/>
      </left>
      <right/>
      <top style="thin">
        <color indexed="64"/>
      </top>
      <bottom/>
      <diagonal/>
    </border>
    <border>
      <left/>
      <right style="double">
        <color rgb="FF0000FF"/>
      </right>
      <top style="thin">
        <color indexed="64"/>
      </top>
      <bottom/>
      <diagonal/>
    </border>
    <border>
      <left style="double">
        <color rgb="FF0000FF"/>
      </left>
      <right/>
      <top/>
      <bottom style="thin">
        <color auto="1"/>
      </bottom>
      <diagonal/>
    </border>
    <border>
      <left/>
      <right style="double">
        <color rgb="FF0000FF"/>
      </right>
      <top/>
      <bottom style="thin">
        <color auto="1"/>
      </bottom>
      <diagonal/>
    </border>
    <border>
      <left style="double">
        <color indexed="64"/>
      </left>
      <right style="double">
        <color indexed="64"/>
      </right>
      <top style="double">
        <color indexed="64"/>
      </top>
      <bottom/>
      <diagonal/>
    </border>
    <border>
      <left style="double">
        <color indexed="64"/>
      </left>
      <right/>
      <top/>
      <bottom style="dotted">
        <color indexed="64"/>
      </bottom>
      <diagonal/>
    </border>
    <border>
      <left/>
      <right/>
      <top/>
      <bottom style="dotted">
        <color indexed="64"/>
      </bottom>
      <diagonal/>
    </border>
    <border>
      <left/>
      <right style="double">
        <color indexed="64"/>
      </right>
      <top/>
      <bottom style="dotted">
        <color indexed="64"/>
      </bottom>
      <diagonal/>
    </border>
    <border>
      <left style="double">
        <color indexed="64"/>
      </left>
      <right style="double">
        <color indexed="64"/>
      </right>
      <top/>
      <bottom style="dotted">
        <color indexed="64"/>
      </bottom>
      <diagonal/>
    </border>
    <border>
      <left style="hair">
        <color indexed="64"/>
      </left>
      <right style="hair">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double">
        <color rgb="FF0000FF"/>
      </left>
      <right style="double">
        <color rgb="FF0000FF"/>
      </right>
      <top style="double">
        <color rgb="FF0000FF"/>
      </top>
      <bottom style="double">
        <color rgb="FF0000FF"/>
      </bottom>
      <diagonal/>
    </border>
  </borders>
  <cellStyleXfs count="8">
    <xf numFmtId="0" fontId="0" fillId="0" borderId="0"/>
    <xf numFmtId="9" fontId="25" fillId="0" borderId="0" applyFont="0" applyFill="0" applyBorder="0" applyAlignment="0" applyProtection="0"/>
    <xf numFmtId="0" fontId="8" fillId="0" borderId="0"/>
    <xf numFmtId="0" fontId="7" fillId="0" borderId="0"/>
    <xf numFmtId="0" fontId="6" fillId="0" borderId="0"/>
    <xf numFmtId="164" fontId="25" fillId="0" borderId="0" applyFont="0" applyFill="0" applyBorder="0" applyAlignment="0" applyProtection="0"/>
    <xf numFmtId="0" fontId="5" fillId="0" borderId="0"/>
    <xf numFmtId="0" fontId="4" fillId="0" borderId="0"/>
  </cellStyleXfs>
  <cellXfs count="796">
    <xf numFmtId="0" fontId="0" fillId="0" borderId="0" xfId="0"/>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4" fillId="0" borderId="0" xfId="0" applyFont="1" applyAlignment="1">
      <alignment vertical="center"/>
    </xf>
    <xf numFmtId="0" fontId="14" fillId="0" borderId="1" xfId="0" applyFont="1" applyBorder="1" applyAlignment="1">
      <alignment vertical="center" wrapText="1"/>
    </xf>
    <xf numFmtId="0" fontId="14" fillId="0" borderId="0" xfId="0" applyFont="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0" xfId="0" applyFont="1"/>
    <xf numFmtId="2" fontId="14" fillId="0" borderId="0" xfId="0" applyNumberFormat="1" applyFont="1" applyAlignment="1">
      <alignment horizontal="center"/>
    </xf>
    <xf numFmtId="2" fontId="14" fillId="0" borderId="3" xfId="0" applyNumberFormat="1" applyFont="1" applyBorder="1" applyAlignment="1">
      <alignment horizontal="center"/>
    </xf>
    <xf numFmtId="2" fontId="14" fillId="0" borderId="2" xfId="0" applyNumberFormat="1" applyFont="1" applyBorder="1" applyAlignment="1">
      <alignment horizontal="center"/>
    </xf>
    <xf numFmtId="0" fontId="14" fillId="0" borderId="0" xfId="0" applyFont="1"/>
    <xf numFmtId="0" fontId="14" fillId="0" borderId="3" xfId="0" applyFont="1" applyBorder="1" applyAlignment="1">
      <alignment horizontal="center" vertical="center"/>
    </xf>
    <xf numFmtId="0" fontId="14" fillId="0" borderId="0" xfId="0" applyFont="1" applyAlignment="1">
      <alignment horizontal="center"/>
    </xf>
    <xf numFmtId="0" fontId="21" fillId="0" borderId="0" xfId="0" applyFont="1" applyAlignment="1">
      <alignment vertical="center"/>
    </xf>
    <xf numFmtId="0" fontId="0" fillId="0" borderId="0" xfId="0" applyAlignment="1">
      <alignment vertical="center"/>
    </xf>
    <xf numFmtId="2" fontId="14" fillId="0" borderId="0" xfId="0" applyNumberFormat="1" applyFont="1"/>
    <xf numFmtId="0" fontId="0" fillId="0" borderId="0" xfId="0" applyAlignment="1">
      <alignment horizontal="center"/>
    </xf>
    <xf numFmtId="165" fontId="14" fillId="0" borderId="0" xfId="0" applyNumberFormat="1" applyFont="1" applyAlignment="1">
      <alignment horizontal="center" vertical="center"/>
    </xf>
    <xf numFmtId="165" fontId="14" fillId="0" borderId="2" xfId="0" applyNumberFormat="1" applyFont="1" applyBorder="1" applyAlignment="1">
      <alignment horizontal="center" vertical="center"/>
    </xf>
    <xf numFmtId="165" fontId="14" fillId="0" borderId="3" xfId="0" applyNumberFormat="1" applyFont="1" applyBorder="1" applyAlignment="1">
      <alignment horizontal="center" vertical="center"/>
    </xf>
    <xf numFmtId="0" fontId="14" fillId="0" borderId="0" xfId="0" applyFont="1" applyAlignment="1">
      <alignment horizontal="left" vertical="center"/>
    </xf>
    <xf numFmtId="0" fontId="22"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xf>
    <xf numFmtId="0" fontId="9" fillId="0" borderId="1" xfId="0" applyFont="1" applyBorder="1" applyAlignment="1">
      <alignment horizontal="center" vertical="center" wrapText="1"/>
    </xf>
    <xf numFmtId="0" fontId="22" fillId="0" borderId="17" xfId="0" quotePrefix="1" applyFont="1" applyBorder="1" applyAlignment="1">
      <alignment horizontal="center" vertical="center" wrapText="1"/>
    </xf>
    <xf numFmtId="0" fontId="9" fillId="0" borderId="26" xfId="0" applyFont="1" applyBorder="1" applyAlignment="1">
      <alignment horizontal="center" vertical="center" wrapText="1"/>
    </xf>
    <xf numFmtId="0" fontId="22" fillId="0" borderId="27" xfId="0" applyFont="1" applyBorder="1" applyAlignment="1">
      <alignment horizontal="center" vertical="center"/>
    </xf>
    <xf numFmtId="0" fontId="14" fillId="0" borderId="2" xfId="0" applyFont="1" applyBorder="1"/>
    <xf numFmtId="0" fontId="14" fillId="0" borderId="2" xfId="0" applyFont="1" applyBorder="1" applyAlignment="1">
      <alignment horizontal="center"/>
    </xf>
    <xf numFmtId="0" fontId="14" fillId="0" borderId="3" xfId="0" applyFont="1" applyBorder="1"/>
    <xf numFmtId="0" fontId="14" fillId="0" borderId="3" xfId="0" applyFont="1" applyBorder="1" applyAlignment="1">
      <alignment horizontal="center"/>
    </xf>
    <xf numFmtId="165" fontId="14" fillId="0" borderId="2" xfId="0" applyNumberFormat="1" applyFont="1" applyBorder="1" applyAlignment="1">
      <alignment horizontal="center"/>
    </xf>
    <xf numFmtId="165" fontId="14" fillId="0" borderId="3" xfId="0" applyNumberFormat="1" applyFont="1" applyBorder="1" applyAlignment="1">
      <alignment horizontal="center"/>
    </xf>
    <xf numFmtId="165" fontId="14" fillId="0" borderId="0" xfId="0" applyNumberFormat="1" applyFont="1" applyAlignment="1">
      <alignment horizontal="center"/>
    </xf>
    <xf numFmtId="165" fontId="21" fillId="0" borderId="4" xfId="0" applyNumberFormat="1" applyFont="1" applyBorder="1" applyAlignment="1">
      <alignment horizontal="center" vertical="center"/>
    </xf>
    <xf numFmtId="0" fontId="31" fillId="0" borderId="1" xfId="0" applyFont="1" applyBorder="1" applyAlignment="1">
      <alignment horizontal="center" vertical="center" wrapText="1"/>
    </xf>
    <xf numFmtId="0" fontId="14" fillId="0" borderId="0" xfId="0" applyFont="1" applyAlignment="1">
      <alignment horizontal="center" vertical="center"/>
    </xf>
    <xf numFmtId="2" fontId="33" fillId="0" borderId="0" xfId="0" applyNumberFormat="1" applyFont="1" applyAlignment="1">
      <alignment horizontal="center" vertical="center"/>
    </xf>
    <xf numFmtId="2"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0" fontId="13" fillId="0" borderId="0" xfId="0" applyFont="1"/>
    <xf numFmtId="0" fontId="19" fillId="0" borderId="2" xfId="0" applyFont="1" applyBorder="1" applyAlignment="1">
      <alignment horizontal="center" vertical="center" wrapText="1"/>
    </xf>
    <xf numFmtId="169" fontId="14" fillId="0" borderId="2" xfId="0" applyNumberFormat="1" applyFont="1" applyBorder="1" applyAlignment="1">
      <alignment horizontal="center"/>
    </xf>
    <xf numFmtId="0" fontId="14" fillId="0" borderId="1" xfId="0" applyFont="1" applyBorder="1"/>
    <xf numFmtId="167" fontId="14" fillId="0" borderId="0" xfId="1" applyNumberFormat="1" applyFont="1" applyBorder="1" applyAlignment="1">
      <alignment horizontal="center" vertical="center"/>
    </xf>
    <xf numFmtId="167" fontId="14" fillId="0" borderId="3" xfId="1" applyNumberFormat="1" applyFont="1" applyBorder="1" applyAlignment="1">
      <alignment horizontal="center" vertical="center"/>
    </xf>
    <xf numFmtId="0" fontId="14" fillId="0" borderId="0" xfId="0" applyFont="1" applyAlignment="1">
      <alignment vertical="center" wrapText="1"/>
    </xf>
    <xf numFmtId="0" fontId="22" fillId="0" borderId="1" xfId="0" applyFont="1" applyBorder="1" applyAlignment="1">
      <alignment horizontal="center" vertical="center"/>
    </xf>
    <xf numFmtId="0" fontId="14" fillId="0" borderId="2" xfId="0" applyFont="1" applyBorder="1" applyAlignment="1">
      <alignment horizontal="center" vertical="center"/>
    </xf>
    <xf numFmtId="167" fontId="14" fillId="0" borderId="28" xfId="1" applyNumberFormat="1" applyFont="1" applyBorder="1" applyAlignment="1">
      <alignment horizontal="center"/>
    </xf>
    <xf numFmtId="167" fontId="14" fillId="0" borderId="2" xfId="1" applyNumberFormat="1" applyFont="1" applyBorder="1" applyAlignment="1">
      <alignment horizontal="center"/>
    </xf>
    <xf numFmtId="167" fontId="14" fillId="0" borderId="29" xfId="1" applyNumberFormat="1" applyFont="1" applyBorder="1" applyAlignment="1">
      <alignment horizontal="center"/>
    </xf>
    <xf numFmtId="167" fontId="14" fillId="0" borderId="4" xfId="1" applyNumberFormat="1" applyFont="1" applyBorder="1" applyAlignment="1">
      <alignment horizontal="center"/>
    </xf>
    <xf numFmtId="167" fontId="14" fillId="0" borderId="5" xfId="1" applyNumberFormat="1" applyFont="1" applyBorder="1" applyAlignment="1">
      <alignment horizontal="center"/>
    </xf>
    <xf numFmtId="167" fontId="14" fillId="0" borderId="6" xfId="1" applyNumberFormat="1" applyFont="1" applyBorder="1" applyAlignment="1">
      <alignment horizontal="center"/>
    </xf>
    <xf numFmtId="167" fontId="14" fillId="0" borderId="3" xfId="1" applyNumberFormat="1" applyFont="1" applyBorder="1" applyAlignment="1">
      <alignment horizontal="center"/>
    </xf>
    <xf numFmtId="167" fontId="14" fillId="0" borderId="7" xfId="1" applyNumberFormat="1" applyFont="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4" fillId="0" borderId="29" xfId="0" applyFont="1" applyBorder="1"/>
    <xf numFmtId="0" fontId="14" fillId="0" borderId="30" xfId="0" applyFont="1" applyBorder="1" applyAlignment="1">
      <alignment horizontal="center"/>
    </xf>
    <xf numFmtId="0" fontId="19" fillId="0" borderId="0" xfId="0" applyFont="1" applyAlignment="1">
      <alignment horizontal="center" vertical="center" wrapText="1"/>
    </xf>
    <xf numFmtId="0" fontId="14" fillId="0" borderId="3" xfId="0" applyFont="1" applyBorder="1" applyAlignment="1">
      <alignment vertical="center"/>
    </xf>
    <xf numFmtId="167" fontId="14" fillId="2" borderId="28" xfId="1" applyNumberFormat="1" applyFont="1" applyFill="1" applyBorder="1" applyAlignment="1">
      <alignment horizontal="center"/>
    </xf>
    <xf numFmtId="167" fontId="14" fillId="2" borderId="2" xfId="1" applyNumberFormat="1" applyFont="1" applyFill="1" applyBorder="1" applyAlignment="1">
      <alignment horizontal="center"/>
    </xf>
    <xf numFmtId="167" fontId="14" fillId="2" borderId="29" xfId="1" applyNumberFormat="1" applyFont="1" applyFill="1" applyBorder="1" applyAlignment="1">
      <alignment horizontal="center"/>
    </xf>
    <xf numFmtId="0" fontId="13" fillId="0" borderId="0" xfId="0" applyFont="1" applyAlignment="1">
      <alignment horizontal="center" vertical="center"/>
    </xf>
    <xf numFmtId="165" fontId="14" fillId="0" borderId="0" xfId="1" applyNumberFormat="1" applyFont="1" applyBorder="1" applyAlignment="1">
      <alignment horizontal="center" vertical="center"/>
    </xf>
    <xf numFmtId="165" fontId="14" fillId="0" borderId="3" xfId="1" applyNumberFormat="1" applyFont="1" applyBorder="1" applyAlignment="1">
      <alignment horizontal="center" vertical="center"/>
    </xf>
    <xf numFmtId="165" fontId="14" fillId="0" borderId="2" xfId="1" applyNumberFormat="1" applyFont="1" applyBorder="1" applyAlignment="1">
      <alignment horizontal="center" vertical="center"/>
    </xf>
    <xf numFmtId="0" fontId="36" fillId="0" borderId="0" xfId="0" applyFont="1" applyAlignment="1">
      <alignment vertical="center" wrapText="1"/>
    </xf>
    <xf numFmtId="0" fontId="37" fillId="0" borderId="0" xfId="0" applyFont="1" applyAlignment="1">
      <alignment horizontal="left" vertical="center"/>
    </xf>
    <xf numFmtId="167" fontId="14" fillId="0" borderId="2" xfId="1" applyNumberFormat="1" applyFont="1" applyFill="1" applyBorder="1" applyAlignment="1">
      <alignment horizontal="center" vertical="center"/>
    </xf>
    <xf numFmtId="0" fontId="26" fillId="0" borderId="0" xfId="0" applyFont="1" applyAlignment="1">
      <alignment vertical="center"/>
    </xf>
    <xf numFmtId="0" fontId="21" fillId="0" borderId="8" xfId="0" applyFont="1" applyBorder="1" applyAlignment="1">
      <alignment vertical="center"/>
    </xf>
    <xf numFmtId="0" fontId="21" fillId="0" borderId="9"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14" fillId="0" borderId="12" xfId="0" applyFont="1" applyBorder="1" applyAlignment="1">
      <alignment vertical="center"/>
    </xf>
    <xf numFmtId="0" fontId="21" fillId="0" borderId="0" xfId="0" quotePrefix="1" applyFont="1" applyAlignment="1">
      <alignment vertical="center"/>
    </xf>
    <xf numFmtId="0" fontId="21" fillId="0" borderId="0" xfId="0" applyFont="1" applyAlignment="1">
      <alignment horizontal="right" vertical="center"/>
    </xf>
    <xf numFmtId="0" fontId="22" fillId="0" borderId="22" xfId="0" applyFont="1" applyBorder="1" applyAlignment="1">
      <alignment vertical="center"/>
    </xf>
    <xf numFmtId="10" fontId="21" fillId="0" borderId="4" xfId="1" applyNumberFormat="1" applyFont="1" applyBorder="1" applyAlignment="1">
      <alignment horizontal="center" vertical="center"/>
    </xf>
    <xf numFmtId="0" fontId="21" fillId="0" borderId="0" xfId="0" quotePrefix="1" applyFont="1" applyAlignment="1">
      <alignment horizontal="center" vertical="center"/>
    </xf>
    <xf numFmtId="10" fontId="21" fillId="0" borderId="0" xfId="1" applyNumberFormat="1" applyFont="1" applyBorder="1" applyAlignment="1">
      <alignment horizontal="center" vertical="center"/>
    </xf>
    <xf numFmtId="10" fontId="21" fillId="0" borderId="5" xfId="1" applyNumberFormat="1" applyFont="1" applyBorder="1" applyAlignment="1">
      <alignment horizontal="center" vertical="center"/>
    </xf>
    <xf numFmtId="0" fontId="21" fillId="0" borderId="4" xfId="0" applyFont="1" applyBorder="1" applyAlignment="1">
      <alignment vertical="center"/>
    </xf>
    <xf numFmtId="2" fontId="21" fillId="0" borderId="5" xfId="0" applyNumberFormat="1" applyFont="1" applyBorder="1" applyAlignment="1">
      <alignment horizontal="center" vertical="center"/>
    </xf>
    <xf numFmtId="0" fontId="21" fillId="0" borderId="5" xfId="0" applyFont="1" applyBorder="1" applyAlignment="1">
      <alignment vertical="center"/>
    </xf>
    <xf numFmtId="2" fontId="21" fillId="0" borderId="21" xfId="0" applyNumberFormat="1" applyFont="1" applyBorder="1" applyAlignment="1">
      <alignment horizontal="center" vertical="center"/>
    </xf>
    <xf numFmtId="166" fontId="14" fillId="0" borderId="0" xfId="0" applyNumberFormat="1" applyFont="1" applyAlignment="1">
      <alignment horizontal="center" vertical="center"/>
    </xf>
    <xf numFmtId="166" fontId="14" fillId="0" borderId="3" xfId="0" applyNumberFormat="1" applyFont="1" applyBorder="1" applyAlignment="1">
      <alignment horizontal="center" vertical="center"/>
    </xf>
    <xf numFmtId="0" fontId="21" fillId="0" borderId="13" xfId="0" applyFont="1" applyBorder="1" applyAlignment="1">
      <alignment vertical="center"/>
    </xf>
    <xf numFmtId="0" fontId="14" fillId="0" borderId="14" xfId="0" applyFont="1" applyBorder="1" applyAlignment="1">
      <alignment vertical="center"/>
    </xf>
    <xf numFmtId="0" fontId="14" fillId="0" borderId="15" xfId="0" applyFont="1" applyBorder="1" applyAlignment="1">
      <alignment vertical="center"/>
    </xf>
    <xf numFmtId="0" fontId="21" fillId="0" borderId="0" xfId="0" applyFont="1" applyAlignment="1">
      <alignment horizontal="center" vertical="center"/>
    </xf>
    <xf numFmtId="10" fontId="21" fillId="0" borderId="0" xfId="0" applyNumberFormat="1" applyFont="1" applyAlignment="1">
      <alignment horizontal="center" vertical="center"/>
    </xf>
    <xf numFmtId="2" fontId="21" fillId="0" borderId="0" xfId="0" applyNumberFormat="1" applyFont="1" applyAlignment="1">
      <alignment horizontal="center" vertical="center"/>
    </xf>
    <xf numFmtId="166" fontId="21" fillId="0" borderId="0" xfId="0" applyNumberFormat="1" applyFont="1" applyAlignment="1">
      <alignment horizontal="center" vertical="center"/>
    </xf>
    <xf numFmtId="0" fontId="33" fillId="0" borderId="0" xfId="0" applyFont="1" applyAlignment="1">
      <alignment vertical="center"/>
    </xf>
    <xf numFmtId="0" fontId="33" fillId="0" borderId="0" xfId="0" applyFont="1" applyAlignment="1">
      <alignment horizontal="center" vertical="center"/>
    </xf>
    <xf numFmtId="10" fontId="33" fillId="0" borderId="0" xfId="0" applyNumberFormat="1" applyFont="1" applyAlignment="1">
      <alignment horizontal="center" vertical="center"/>
    </xf>
    <xf numFmtId="166" fontId="33" fillId="0" borderId="0" xfId="0" applyNumberFormat="1" applyFont="1" applyAlignment="1">
      <alignment horizontal="center" vertical="center"/>
    </xf>
    <xf numFmtId="10" fontId="21" fillId="0" borderId="4" xfId="1" applyNumberFormat="1" applyFont="1" applyFill="1" applyBorder="1" applyAlignment="1">
      <alignment horizontal="center" vertical="center"/>
    </xf>
    <xf numFmtId="10" fontId="21" fillId="0" borderId="0" xfId="1" applyNumberFormat="1" applyFont="1" applyFill="1" applyBorder="1" applyAlignment="1">
      <alignment horizontal="center" vertical="center"/>
    </xf>
    <xf numFmtId="10" fontId="21" fillId="0" borderId="5" xfId="1" applyNumberFormat="1" applyFont="1" applyFill="1" applyBorder="1" applyAlignment="1">
      <alignment horizontal="center" vertical="center"/>
    </xf>
    <xf numFmtId="0" fontId="14" fillId="0" borderId="3" xfId="0" applyFont="1" applyBorder="1" applyAlignment="1">
      <alignment horizontal="center" vertical="center" wrapText="1"/>
    </xf>
    <xf numFmtId="168" fontId="14" fillId="0" borderId="2" xfId="0" applyNumberFormat="1" applyFont="1" applyBorder="1" applyAlignment="1">
      <alignment horizontal="center" vertical="center"/>
    </xf>
    <xf numFmtId="168" fontId="14" fillId="0" borderId="2" xfId="0" applyNumberFormat="1" applyFont="1" applyBorder="1" applyAlignment="1">
      <alignment horizontal="center"/>
    </xf>
    <xf numFmtId="168" fontId="14" fillId="0" borderId="3" xfId="0" applyNumberFormat="1" applyFont="1" applyBorder="1" applyAlignment="1">
      <alignment horizontal="center" vertical="center"/>
    </xf>
    <xf numFmtId="168" fontId="14" fillId="0" borderId="3" xfId="0" applyNumberFormat="1" applyFont="1" applyBorder="1" applyAlignment="1">
      <alignment horizontal="center"/>
    </xf>
    <xf numFmtId="168" fontId="14" fillId="0" borderId="0" xfId="0" applyNumberFormat="1" applyFont="1" applyAlignment="1">
      <alignment horizontal="center" vertical="center"/>
    </xf>
    <xf numFmtId="168" fontId="14" fillId="0" borderId="0" xfId="0" applyNumberFormat="1" applyFont="1" applyAlignment="1">
      <alignment horizontal="center"/>
    </xf>
    <xf numFmtId="167" fontId="14" fillId="0" borderId="0" xfId="0" applyNumberFormat="1" applyFont="1" applyAlignment="1">
      <alignment horizontal="center" vertical="center"/>
    </xf>
    <xf numFmtId="167" fontId="14" fillId="0" borderId="3" xfId="0" applyNumberFormat="1" applyFont="1" applyBorder="1" applyAlignment="1">
      <alignment horizontal="center" vertical="center"/>
    </xf>
    <xf numFmtId="0" fontId="41" fillId="0" borderId="0" xfId="0" applyFont="1"/>
    <xf numFmtId="0" fontId="14" fillId="0" borderId="2" xfId="0" applyFont="1" applyBorder="1" applyAlignment="1">
      <alignment horizontal="left"/>
    </xf>
    <xf numFmtId="0" fontId="14" fillId="0" borderId="0" xfId="0" applyFont="1" applyAlignment="1">
      <alignment horizontal="left"/>
    </xf>
    <xf numFmtId="0" fontId="14" fillId="0" borderId="3" xfId="0" applyFont="1" applyBorder="1" applyAlignment="1">
      <alignment horizontal="center" wrapText="1"/>
    </xf>
    <xf numFmtId="0" fontId="19" fillId="0" borderId="2" xfId="0" applyFont="1" applyBorder="1" applyAlignment="1">
      <alignment horizontal="center"/>
    </xf>
    <xf numFmtId="0" fontId="31" fillId="0" borderId="16" xfId="0" applyFont="1" applyBorder="1" applyAlignment="1">
      <alignment horizontal="center" vertical="center" wrapText="1"/>
    </xf>
    <xf numFmtId="0" fontId="31" fillId="0" borderId="17" xfId="0" applyFont="1" applyBorder="1" applyAlignment="1">
      <alignment horizontal="center" vertical="center" wrapText="1"/>
    </xf>
    <xf numFmtId="2" fontId="33" fillId="0" borderId="4" xfId="0" applyNumberFormat="1" applyFont="1" applyBorder="1" applyAlignment="1">
      <alignment horizontal="center" vertical="center"/>
    </xf>
    <xf numFmtId="2" fontId="33" fillId="3" borderId="4" xfId="0" applyNumberFormat="1" applyFont="1" applyFill="1" applyBorder="1" applyAlignment="1">
      <alignment horizontal="center" vertical="center"/>
    </xf>
    <xf numFmtId="2" fontId="33" fillId="3" borderId="0" xfId="0" applyNumberFormat="1" applyFont="1" applyFill="1" applyAlignment="1">
      <alignment horizontal="center" vertical="center"/>
    </xf>
    <xf numFmtId="2" fontId="33" fillId="3" borderId="6" xfId="0" applyNumberFormat="1" applyFont="1" applyFill="1" applyBorder="1" applyAlignment="1">
      <alignment horizontal="center" vertical="center"/>
    </xf>
    <xf numFmtId="2" fontId="33" fillId="3" borderId="3" xfId="0" applyNumberFormat="1" applyFont="1" applyFill="1" applyBorder="1" applyAlignment="1">
      <alignment horizontal="center" vertical="center"/>
    </xf>
    <xf numFmtId="0" fontId="14" fillId="0" borderId="5" xfId="0" applyFont="1" applyBorder="1" applyAlignment="1">
      <alignment horizontal="center"/>
    </xf>
    <xf numFmtId="2" fontId="14" fillId="0" borderId="5" xfId="0" applyNumberFormat="1" applyFont="1" applyBorder="1" applyAlignment="1">
      <alignment horizontal="center" vertical="center"/>
    </xf>
    <xf numFmtId="2" fontId="14" fillId="0" borderId="4" xfId="0" applyNumberFormat="1" applyFont="1" applyBorder="1" applyAlignment="1">
      <alignment horizontal="center" vertical="center"/>
    </xf>
    <xf numFmtId="0" fontId="14" fillId="3" borderId="0" xfId="0" applyFont="1" applyFill="1" applyAlignment="1">
      <alignment horizontal="center"/>
    </xf>
    <xf numFmtId="2" fontId="14" fillId="3" borderId="5" xfId="0" applyNumberFormat="1" applyFont="1" applyFill="1" applyBorder="1" applyAlignment="1">
      <alignment horizontal="center" vertical="center"/>
    </xf>
    <xf numFmtId="2" fontId="14" fillId="3" borderId="0" xfId="0" applyNumberFormat="1" applyFont="1" applyFill="1" applyAlignment="1">
      <alignment horizontal="center" vertical="center"/>
    </xf>
    <xf numFmtId="0" fontId="14" fillId="3" borderId="3" xfId="0" applyFont="1" applyFill="1" applyBorder="1" applyAlignment="1">
      <alignment horizontal="center"/>
    </xf>
    <xf numFmtId="2" fontId="14" fillId="3" borderId="7" xfId="0" applyNumberFormat="1" applyFont="1" applyFill="1" applyBorder="1" applyAlignment="1">
      <alignment horizontal="center" vertical="center"/>
    </xf>
    <xf numFmtId="2" fontId="14" fillId="3" borderId="3" xfId="0" applyNumberFormat="1" applyFont="1" applyFill="1" applyBorder="1" applyAlignment="1">
      <alignment horizontal="center" vertical="center"/>
    </xf>
    <xf numFmtId="2" fontId="14" fillId="0" borderId="32" xfId="0" applyNumberFormat="1" applyFont="1" applyBorder="1" applyAlignment="1">
      <alignment horizontal="center" vertical="center"/>
    </xf>
    <xf numFmtId="2" fontId="14" fillId="0" borderId="1" xfId="0" applyNumberFormat="1" applyFont="1" applyBorder="1" applyAlignment="1">
      <alignment horizontal="center" vertical="center"/>
    </xf>
    <xf numFmtId="0" fontId="14" fillId="0" borderId="1" xfId="0" applyFont="1" applyBorder="1" applyAlignment="1">
      <alignment vertical="center"/>
    </xf>
    <xf numFmtId="0" fontId="14" fillId="0" borderId="1" xfId="0" applyFont="1" applyBorder="1" applyAlignment="1">
      <alignment horizontal="center" vertical="center"/>
    </xf>
    <xf numFmtId="0" fontId="31" fillId="0" borderId="0" xfId="0" applyFont="1" applyAlignment="1">
      <alignment horizontal="left" vertical="center"/>
    </xf>
    <xf numFmtId="2" fontId="14" fillId="0" borderId="28" xfId="0" applyNumberFormat="1" applyFont="1" applyBorder="1" applyAlignment="1">
      <alignment horizontal="center" vertical="center"/>
    </xf>
    <xf numFmtId="2" fontId="14" fillId="0" borderId="7" xfId="0" applyNumberFormat="1" applyFont="1" applyBorder="1" applyAlignment="1">
      <alignment horizontal="center" vertical="center"/>
    </xf>
    <xf numFmtId="0" fontId="14" fillId="0" borderId="0" xfId="0" applyFont="1" applyAlignment="1">
      <alignment vertical="top" wrapText="1"/>
    </xf>
    <xf numFmtId="0" fontId="14" fillId="0" borderId="1" xfId="0" applyFont="1" applyBorder="1" applyAlignment="1">
      <alignment vertical="top" wrapText="1"/>
    </xf>
    <xf numFmtId="170" fontId="14" fillId="0" borderId="1" xfId="0" applyNumberFormat="1" applyFont="1" applyBorder="1" applyAlignment="1">
      <alignment horizontal="left" vertical="top" wrapText="1"/>
    </xf>
    <xf numFmtId="170" fontId="14" fillId="0" borderId="0" xfId="0" applyNumberFormat="1" applyFont="1" applyAlignment="1">
      <alignment horizontal="left" vertical="top" wrapText="1"/>
    </xf>
    <xf numFmtId="0" fontId="21" fillId="0" borderId="14" xfId="0" applyFont="1" applyBorder="1" applyAlignment="1">
      <alignment vertical="center"/>
    </xf>
    <xf numFmtId="2" fontId="0" fillId="0" borderId="0" xfId="0" applyNumberFormat="1" applyAlignment="1">
      <alignment horizontal="center"/>
    </xf>
    <xf numFmtId="165" fontId="14" fillId="0" borderId="5" xfId="0" applyNumberFormat="1" applyFont="1" applyBorder="1" applyAlignment="1">
      <alignment horizontal="center" vertical="center"/>
    </xf>
    <xf numFmtId="165" fontId="14" fillId="0" borderId="7" xfId="0" applyNumberFormat="1" applyFont="1" applyBorder="1" applyAlignment="1">
      <alignment horizontal="center" vertical="center"/>
    </xf>
    <xf numFmtId="0" fontId="43" fillId="0" borderId="0" xfId="0" quotePrefix="1" applyFont="1" applyAlignment="1">
      <alignment horizontal="center" vertical="center"/>
    </xf>
    <xf numFmtId="0" fontId="43" fillId="0" borderId="0" xfId="0" applyFont="1" applyAlignment="1">
      <alignment horizontal="center" vertical="center"/>
    </xf>
    <xf numFmtId="0" fontId="14" fillId="0" borderId="0" xfId="0" applyFont="1" applyAlignment="1">
      <alignment horizontal="right"/>
    </xf>
    <xf numFmtId="0" fontId="14" fillId="0" borderId="0" xfId="0" applyFont="1" applyAlignment="1">
      <alignment horizontal="right" vertical="center"/>
    </xf>
    <xf numFmtId="0" fontId="42" fillId="0" borderId="0" xfId="0" applyFont="1" applyAlignment="1">
      <alignment horizontal="left" vertical="center" wrapText="1"/>
    </xf>
    <xf numFmtId="0" fontId="0" fillId="2" borderId="0" xfId="0" applyFill="1" applyAlignment="1">
      <alignment horizontal="center"/>
    </xf>
    <xf numFmtId="9" fontId="0" fillId="0" borderId="0" xfId="1" applyFont="1" applyAlignment="1">
      <alignment horizontal="center"/>
    </xf>
    <xf numFmtId="0" fontId="14" fillId="0" borderId="2" xfId="0" applyFont="1" applyBorder="1" applyAlignment="1">
      <alignment horizontal="center" wrapText="1"/>
    </xf>
    <xf numFmtId="0" fontId="14" fillId="0" borderId="1" xfId="0" applyFont="1" applyBorder="1" applyAlignment="1">
      <alignment horizontal="center"/>
    </xf>
    <xf numFmtId="0" fontId="14" fillId="0" borderId="0" xfId="0" applyFont="1" applyAlignment="1">
      <alignment horizontal="left" wrapText="1"/>
    </xf>
    <xf numFmtId="0" fontId="14" fillId="0" borderId="1" xfId="0" applyFont="1" applyBorder="1" applyAlignment="1">
      <alignment horizontal="center" wrapText="1"/>
    </xf>
    <xf numFmtId="0" fontId="19" fillId="0" borderId="1" xfId="0" applyFont="1" applyBorder="1" applyAlignment="1">
      <alignment horizontal="center"/>
    </xf>
    <xf numFmtId="0" fontId="31" fillId="0" borderId="0" xfId="0" applyFont="1" applyAlignment="1">
      <alignment horizontal="center" vertical="center"/>
    </xf>
    <xf numFmtId="0" fontId="31" fillId="0" borderId="2" xfId="0" applyFont="1" applyBorder="1" applyAlignment="1">
      <alignment horizontal="center" vertical="center" wrapText="1"/>
    </xf>
    <xf numFmtId="0" fontId="14" fillId="0" borderId="0" xfId="0" applyFont="1" applyAlignment="1">
      <alignment horizontal="left" vertical="top" wrapText="1"/>
    </xf>
    <xf numFmtId="0" fontId="21" fillId="0" borderId="0" xfId="0" applyFont="1" applyAlignment="1">
      <alignment horizontal="left" vertical="top" wrapText="1"/>
    </xf>
    <xf numFmtId="2" fontId="13" fillId="0" borderId="2" xfId="0" applyNumberFormat="1" applyFont="1" applyBorder="1" applyAlignment="1">
      <alignment horizontal="center"/>
    </xf>
    <xf numFmtId="2" fontId="13" fillId="0" borderId="0" xfId="0" applyNumberFormat="1" applyFont="1" applyAlignment="1">
      <alignment horizontal="center"/>
    </xf>
    <xf numFmtId="2" fontId="13" fillId="0" borderId="3" xfId="0" applyNumberFormat="1" applyFont="1" applyBorder="1" applyAlignment="1">
      <alignment horizontal="center"/>
    </xf>
    <xf numFmtId="2" fontId="13" fillId="0" borderId="2" xfId="0" applyNumberFormat="1" applyFont="1" applyBorder="1" applyAlignment="1">
      <alignment horizontal="center" vertical="center"/>
    </xf>
    <xf numFmtId="2" fontId="13" fillId="0" borderId="0" xfId="0" applyNumberFormat="1" applyFont="1" applyAlignment="1">
      <alignment horizontal="center" vertical="center"/>
    </xf>
    <xf numFmtId="2" fontId="13" fillId="0" borderId="3" xfId="0" applyNumberFormat="1" applyFont="1" applyBorder="1" applyAlignment="1">
      <alignment horizontal="center" vertical="center"/>
    </xf>
    <xf numFmtId="171" fontId="13" fillId="0" borderId="1" xfId="0" applyNumberFormat="1" applyFont="1" applyBorder="1" applyAlignment="1">
      <alignment horizontal="left" vertical="top" wrapText="1"/>
    </xf>
    <xf numFmtId="2" fontId="47" fillId="0" borderId="4" xfId="0" applyNumberFormat="1" applyFont="1" applyBorder="1" applyAlignment="1">
      <alignment horizontal="center"/>
    </xf>
    <xf numFmtId="2" fontId="0" fillId="0" borderId="5" xfId="0" applyNumberFormat="1" applyBorder="1" applyAlignment="1">
      <alignment horizontal="center"/>
    </xf>
    <xf numFmtId="2" fontId="47" fillId="3" borderId="4" xfId="0" applyNumberFormat="1" applyFont="1" applyFill="1" applyBorder="1" applyAlignment="1">
      <alignment horizontal="center"/>
    </xf>
    <xf numFmtId="2" fontId="0" fillId="3" borderId="5" xfId="0" applyNumberFormat="1" applyFill="1" applyBorder="1" applyAlignment="1">
      <alignment horizontal="center"/>
    </xf>
    <xf numFmtId="2" fontId="47" fillId="3" borderId="6" xfId="0" applyNumberFormat="1" applyFont="1" applyFill="1" applyBorder="1" applyAlignment="1">
      <alignment horizontal="center"/>
    </xf>
    <xf numFmtId="2" fontId="0" fillId="3" borderId="7" xfId="0" applyNumberFormat="1" applyFill="1" applyBorder="1" applyAlignment="1">
      <alignment horizontal="center"/>
    </xf>
    <xf numFmtId="0" fontId="21" fillId="2" borderId="0" xfId="0" applyFont="1" applyFill="1" applyAlignment="1">
      <alignment wrapText="1"/>
    </xf>
    <xf numFmtId="0" fontId="48" fillId="0" borderId="0" xfId="0" applyFont="1" applyAlignment="1">
      <alignment horizontal="left" wrapText="1"/>
    </xf>
    <xf numFmtId="0" fontId="14" fillId="0" borderId="2" xfId="0" applyFont="1" applyBorder="1" applyAlignment="1">
      <alignment horizontal="left" vertical="top"/>
    </xf>
    <xf numFmtId="0" fontId="14" fillId="5" borderId="2" xfId="0" applyFont="1" applyFill="1" applyBorder="1"/>
    <xf numFmtId="0" fontId="14" fillId="5" borderId="2" xfId="0" applyFont="1" applyFill="1" applyBorder="1" applyAlignment="1">
      <alignment horizontal="center"/>
    </xf>
    <xf numFmtId="0" fontId="14" fillId="5" borderId="1" xfId="0" applyFont="1" applyFill="1" applyBorder="1" applyAlignment="1">
      <alignment horizontal="center"/>
    </xf>
    <xf numFmtId="0" fontId="19" fillId="5" borderId="2" xfId="0" applyFont="1" applyFill="1" applyBorder="1" applyAlignment="1">
      <alignment horizontal="center" vertical="center" wrapText="1"/>
    </xf>
    <xf numFmtId="168" fontId="14" fillId="5" borderId="2" xfId="0" applyNumberFormat="1" applyFont="1" applyFill="1" applyBorder="1" applyAlignment="1">
      <alignment horizontal="center"/>
    </xf>
    <xf numFmtId="2" fontId="13" fillId="5" borderId="2" xfId="0" applyNumberFormat="1" applyFont="1" applyFill="1" applyBorder="1" applyAlignment="1">
      <alignment horizontal="center"/>
    </xf>
    <xf numFmtId="168" fontId="14" fillId="5" borderId="2" xfId="0" applyNumberFormat="1" applyFont="1" applyFill="1" applyBorder="1" applyAlignment="1">
      <alignment horizontal="center" vertical="center"/>
    </xf>
    <xf numFmtId="2" fontId="13" fillId="5" borderId="2" xfId="0" applyNumberFormat="1" applyFont="1" applyFill="1" applyBorder="1" applyAlignment="1">
      <alignment horizontal="center" vertical="center"/>
    </xf>
    <xf numFmtId="168" fontId="14" fillId="5" borderId="0" xfId="0" applyNumberFormat="1" applyFont="1" applyFill="1" applyAlignment="1">
      <alignment horizontal="center"/>
    </xf>
    <xf numFmtId="2" fontId="13" fillId="5" borderId="0" xfId="0" applyNumberFormat="1" applyFont="1" applyFill="1" applyAlignment="1">
      <alignment horizontal="center"/>
    </xf>
    <xf numFmtId="168" fontId="14" fillId="5" borderId="0" xfId="0" applyNumberFormat="1" applyFont="1" applyFill="1" applyAlignment="1">
      <alignment horizontal="center" vertical="center"/>
    </xf>
    <xf numFmtId="2" fontId="13" fillId="5" borderId="0" xfId="0" applyNumberFormat="1" applyFont="1" applyFill="1" applyAlignment="1">
      <alignment horizontal="center" vertical="center"/>
    </xf>
    <xf numFmtId="168" fontId="14" fillId="5" borderId="3" xfId="0" applyNumberFormat="1" applyFont="1" applyFill="1" applyBorder="1" applyAlignment="1">
      <alignment horizontal="center"/>
    </xf>
    <xf numFmtId="2" fontId="13" fillId="5" borderId="3" xfId="0" applyNumberFormat="1" applyFont="1" applyFill="1" applyBorder="1" applyAlignment="1">
      <alignment horizontal="center"/>
    </xf>
    <xf numFmtId="168" fontId="14" fillId="5" borderId="3" xfId="0" applyNumberFormat="1" applyFont="1" applyFill="1" applyBorder="1" applyAlignment="1">
      <alignment horizontal="center" vertical="center"/>
    </xf>
    <xf numFmtId="2" fontId="13" fillId="5" borderId="3" xfId="0" applyNumberFormat="1" applyFont="1" applyFill="1" applyBorder="1" applyAlignment="1">
      <alignment horizontal="center" vertical="center"/>
    </xf>
    <xf numFmtId="0" fontId="46" fillId="0" borderId="0" xfId="0" applyFont="1"/>
    <xf numFmtId="2" fontId="18" fillId="0" borderId="0" xfId="0" applyNumberFormat="1" applyFont="1" applyAlignment="1">
      <alignment horizontal="center"/>
    </xf>
    <xf numFmtId="2" fontId="18" fillId="0" borderId="3" xfId="0" applyNumberFormat="1" applyFont="1" applyBorder="1" applyAlignment="1">
      <alignment horizontal="center" vertical="center"/>
    </xf>
    <xf numFmtId="2" fontId="18" fillId="0" borderId="0" xfId="0" applyNumberFormat="1" applyFont="1" applyAlignment="1">
      <alignment horizontal="center" vertical="center"/>
    </xf>
    <xf numFmtId="0" fontId="14" fillId="0" borderId="17" xfId="0" applyFont="1" applyBorder="1" applyAlignment="1">
      <alignment horizontal="right"/>
    </xf>
    <xf numFmtId="0" fontId="0" fillId="0" borderId="17" xfId="0" applyBorder="1"/>
    <xf numFmtId="9" fontId="14" fillId="0" borderId="1" xfId="1" applyFont="1" applyBorder="1" applyAlignment="1">
      <alignment horizontal="center" vertical="center"/>
    </xf>
    <xf numFmtId="9" fontId="14" fillId="0" borderId="16" xfId="1" applyFont="1" applyBorder="1" applyAlignment="1">
      <alignment horizontal="center" vertical="center"/>
    </xf>
    <xf numFmtId="0" fontId="5" fillId="0" borderId="0" xfId="6"/>
    <xf numFmtId="0" fontId="49" fillId="0" borderId="0" xfId="6" applyFont="1"/>
    <xf numFmtId="0" fontId="5" fillId="0" borderId="28" xfId="6" applyBorder="1" applyAlignment="1">
      <alignment vertical="center" wrapText="1"/>
    </xf>
    <xf numFmtId="0" fontId="5" fillId="0" borderId="0" xfId="6" applyAlignment="1">
      <alignment vertical="center" wrapText="1"/>
    </xf>
    <xf numFmtId="0" fontId="5" fillId="0" borderId="2" xfId="6" applyBorder="1" applyAlignment="1">
      <alignment horizontal="center"/>
    </xf>
    <xf numFmtId="0" fontId="5" fillId="0" borderId="28" xfId="6" applyBorder="1" applyAlignment="1">
      <alignment horizontal="center"/>
    </xf>
    <xf numFmtId="0" fontId="5" fillId="0" borderId="29" xfId="6" applyBorder="1" applyAlignment="1">
      <alignment horizontal="center"/>
    </xf>
    <xf numFmtId="0" fontId="5" fillId="0" borderId="0" xfId="6" applyAlignment="1">
      <alignment horizontal="center"/>
    </xf>
    <xf numFmtId="0" fontId="50" fillId="2" borderId="0" xfId="6" applyFont="1" applyFill="1" applyAlignment="1">
      <alignment horizontal="center" vertical="center"/>
    </xf>
    <xf numFmtId="0" fontId="5" fillId="0" borderId="28" xfId="6" applyBorder="1"/>
    <xf numFmtId="2" fontId="5" fillId="0" borderId="28" xfId="6" applyNumberFormat="1" applyBorder="1" applyAlignment="1">
      <alignment horizontal="center"/>
    </xf>
    <xf numFmtId="2" fontId="5" fillId="0" borderId="2" xfId="6" applyNumberFormat="1" applyBorder="1" applyAlignment="1">
      <alignment horizontal="center"/>
    </xf>
    <xf numFmtId="2" fontId="5" fillId="0" borderId="29" xfId="6" applyNumberFormat="1" applyBorder="1" applyAlignment="1">
      <alignment horizontal="center"/>
    </xf>
    <xf numFmtId="0" fontId="5" fillId="0" borderId="2" xfId="6" applyBorder="1"/>
    <xf numFmtId="165" fontId="5" fillId="0" borderId="30" xfId="6" applyNumberFormat="1" applyBorder="1" applyAlignment="1">
      <alignment horizontal="center"/>
    </xf>
    <xf numFmtId="0" fontId="5" fillId="0" borderId="4" xfId="6" applyBorder="1"/>
    <xf numFmtId="2" fontId="5" fillId="0" borderId="4" xfId="6" applyNumberFormat="1" applyBorder="1" applyAlignment="1">
      <alignment horizontal="center"/>
    </xf>
    <xf numFmtId="2" fontId="5" fillId="0" borderId="0" xfId="6" applyNumberFormat="1" applyAlignment="1">
      <alignment horizontal="center"/>
    </xf>
    <xf numFmtId="2" fontId="5" fillId="0" borderId="5" xfId="6" applyNumberFormat="1" applyBorder="1" applyAlignment="1">
      <alignment horizontal="center"/>
    </xf>
    <xf numFmtId="165" fontId="5" fillId="0" borderId="33" xfId="6" applyNumberFormat="1" applyBorder="1" applyAlignment="1">
      <alignment horizontal="center"/>
    </xf>
    <xf numFmtId="0" fontId="5" fillId="0" borderId="6" xfId="6" applyBorder="1"/>
    <xf numFmtId="2" fontId="5" fillId="0" borderId="6" xfId="6" applyNumberFormat="1" applyBorder="1" applyAlignment="1">
      <alignment horizontal="center"/>
    </xf>
    <xf numFmtId="2" fontId="5" fillId="0" borderId="3" xfId="6" applyNumberFormat="1" applyBorder="1" applyAlignment="1">
      <alignment horizontal="center"/>
    </xf>
    <xf numFmtId="2" fontId="5" fillId="0" borderId="7" xfId="6" applyNumberFormat="1" applyBorder="1" applyAlignment="1">
      <alignment horizontal="center"/>
    </xf>
    <xf numFmtId="0" fontId="5" fillId="0" borderId="3" xfId="6" applyBorder="1"/>
    <xf numFmtId="165" fontId="5" fillId="0" borderId="31" xfId="6" applyNumberFormat="1" applyBorder="1" applyAlignment="1">
      <alignment horizontal="center"/>
    </xf>
    <xf numFmtId="2" fontId="51" fillId="4" borderId="0" xfId="6" applyNumberFormat="1" applyFont="1" applyFill="1" applyAlignment="1">
      <alignment horizontal="center" vertical="center"/>
    </xf>
    <xf numFmtId="167" fontId="5" fillId="0" borderId="0" xfId="6" applyNumberFormat="1" applyAlignment="1">
      <alignment horizontal="center"/>
    </xf>
    <xf numFmtId="0" fontId="52" fillId="0" borderId="0" xfId="0" applyFont="1"/>
    <xf numFmtId="0" fontId="46" fillId="0" borderId="0" xfId="0" applyFont="1" applyAlignment="1">
      <alignment vertical="center"/>
    </xf>
    <xf numFmtId="0" fontId="14" fillId="3" borderId="5" xfId="0" applyFont="1" applyFill="1" applyBorder="1" applyAlignment="1">
      <alignment horizontal="center"/>
    </xf>
    <xf numFmtId="0" fontId="14" fillId="3" borderId="7" xfId="0" applyFont="1" applyFill="1" applyBorder="1" applyAlignment="1">
      <alignment horizontal="center"/>
    </xf>
    <xf numFmtId="0" fontId="19" fillId="0" borderId="16" xfId="0" applyFont="1" applyBorder="1" applyAlignment="1">
      <alignment horizontal="center" vertical="center" wrapText="1"/>
    </xf>
    <xf numFmtId="165" fontId="14" fillId="0" borderId="0" xfId="0" applyNumberFormat="1" applyFont="1"/>
    <xf numFmtId="166" fontId="14" fillId="0" borderId="0" xfId="0" applyNumberFormat="1" applyFont="1"/>
    <xf numFmtId="0" fontId="13" fillId="0" borderId="2" xfId="0" applyFont="1" applyBorder="1" applyAlignment="1">
      <alignment horizontal="right"/>
    </xf>
    <xf numFmtId="0" fontId="13" fillId="0" borderId="3" xfId="0" applyFont="1" applyBorder="1" applyAlignment="1">
      <alignment horizontal="right" vertical="center"/>
    </xf>
    <xf numFmtId="0" fontId="13" fillId="0" borderId="0" xfId="0" applyFont="1" applyAlignment="1">
      <alignment horizontal="right"/>
    </xf>
    <xf numFmtId="165" fontId="13" fillId="0" borderId="0" xfId="0" applyNumberFormat="1" applyFont="1" applyAlignment="1">
      <alignment horizontal="center"/>
    </xf>
    <xf numFmtId="165" fontId="14" fillId="0" borderId="28" xfId="0" applyNumberFormat="1" applyFont="1" applyBorder="1" applyAlignment="1">
      <alignment horizontal="center"/>
    </xf>
    <xf numFmtId="165" fontId="14" fillId="0" borderId="29" xfId="0" applyNumberFormat="1" applyFont="1" applyBorder="1" applyAlignment="1">
      <alignment horizontal="center"/>
    </xf>
    <xf numFmtId="165" fontId="14" fillId="0" borderId="4" xfId="0" applyNumberFormat="1" applyFont="1" applyBorder="1" applyAlignment="1">
      <alignment horizontal="center"/>
    </xf>
    <xf numFmtId="165" fontId="14" fillId="0" borderId="5" xfId="0" applyNumberFormat="1" applyFont="1" applyBorder="1" applyAlignment="1">
      <alignment horizontal="center"/>
    </xf>
    <xf numFmtId="2" fontId="14" fillId="0" borderId="7" xfId="0" applyNumberFormat="1" applyFont="1" applyBorder="1" applyAlignment="1">
      <alignment horizontal="center"/>
    </xf>
    <xf numFmtId="0" fontId="14" fillId="0" borderId="3" xfId="0" applyFont="1" applyBorder="1" applyAlignment="1">
      <alignment horizontal="left" vertical="center"/>
    </xf>
    <xf numFmtId="0" fontId="14" fillId="0" borderId="3" xfId="0" applyFont="1" applyBorder="1" applyAlignment="1">
      <alignment vertical="top" wrapText="1"/>
    </xf>
    <xf numFmtId="172" fontId="13" fillId="0" borderId="0" xfId="0" applyNumberFormat="1" applyFont="1" applyAlignment="1">
      <alignment horizontal="left" vertical="top" wrapText="1"/>
    </xf>
    <xf numFmtId="0" fontId="18" fillId="0" borderId="0" xfId="0" applyFont="1" applyAlignment="1">
      <alignment horizontal="left" vertical="center"/>
    </xf>
    <xf numFmtId="0" fontId="14" fillId="0" borderId="0" xfId="0" applyFont="1" applyAlignment="1">
      <alignment horizontal="left" vertical="center" wrapText="1"/>
    </xf>
    <xf numFmtId="0" fontId="14" fillId="5" borderId="0" xfId="0" applyFont="1" applyFill="1" applyAlignment="1">
      <alignment vertical="center" wrapText="1"/>
    </xf>
    <xf numFmtId="2" fontId="14" fillId="0" borderId="0" xfId="0" applyNumberFormat="1" applyFont="1" applyAlignment="1">
      <alignment vertical="center"/>
    </xf>
    <xf numFmtId="0" fontId="14" fillId="6" borderId="0" xfId="0" applyFont="1" applyFill="1"/>
    <xf numFmtId="0" fontId="14" fillId="0" borderId="28" xfId="0" applyFont="1" applyBorder="1"/>
    <xf numFmtId="0" fontId="14" fillId="0" borderId="28" xfId="0" applyFont="1" applyBorder="1" applyAlignment="1">
      <alignment horizontal="center"/>
    </xf>
    <xf numFmtId="0" fontId="14" fillId="0" borderId="4" xfId="0" applyFont="1" applyBorder="1" applyAlignment="1">
      <alignment horizontal="center"/>
    </xf>
    <xf numFmtId="167" fontId="14" fillId="0" borderId="0" xfId="1" applyNumberFormat="1" applyFont="1" applyFill="1" applyBorder="1" applyAlignment="1">
      <alignment horizontal="center" vertical="center"/>
    </xf>
    <xf numFmtId="167" fontId="14" fillId="0" borderId="3" xfId="1" applyNumberFormat="1" applyFont="1" applyFill="1" applyBorder="1" applyAlignment="1">
      <alignment horizontal="center" vertical="center"/>
    </xf>
    <xf numFmtId="167" fontId="14" fillId="2" borderId="6" xfId="1" applyNumberFormat="1" applyFont="1" applyFill="1" applyBorder="1" applyAlignment="1">
      <alignment horizontal="center"/>
    </xf>
    <xf numFmtId="167" fontId="14" fillId="2" borderId="3" xfId="1" applyNumberFormat="1" applyFont="1" applyFill="1" applyBorder="1" applyAlignment="1">
      <alignment horizontal="center"/>
    </xf>
    <xf numFmtId="167" fontId="14" fillId="2" borderId="7" xfId="1" applyNumberFormat="1" applyFont="1" applyFill="1" applyBorder="1" applyAlignment="1">
      <alignment horizontal="center"/>
    </xf>
    <xf numFmtId="0" fontId="55" fillId="0" borderId="0" xfId="0" applyFont="1"/>
    <xf numFmtId="0" fontId="14" fillId="7" borderId="0" xfId="0" applyFont="1" applyFill="1"/>
    <xf numFmtId="2" fontId="14" fillId="7" borderId="0" xfId="0" applyNumberFormat="1" applyFont="1" applyFill="1" applyAlignment="1">
      <alignment horizont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7" borderId="6" xfId="0" applyFont="1" applyFill="1" applyBorder="1"/>
    <xf numFmtId="0" fontId="14" fillId="7" borderId="4" xfId="0" applyFont="1" applyFill="1" applyBorder="1"/>
    <xf numFmtId="1" fontId="14" fillId="3" borderId="0" xfId="0" applyNumberFormat="1" applyFont="1" applyFill="1" applyAlignment="1">
      <alignment horizontal="center" vertical="center"/>
    </xf>
    <xf numFmtId="1" fontId="14" fillId="3" borderId="0" xfId="0" applyNumberFormat="1" applyFont="1" applyFill="1" applyAlignment="1">
      <alignment horizontal="center"/>
    </xf>
    <xf numFmtId="166" fontId="14" fillId="7" borderId="0" xfId="0" applyNumberFormat="1" applyFont="1" applyFill="1" applyAlignment="1">
      <alignment horizontal="center"/>
    </xf>
    <xf numFmtId="166" fontId="14" fillId="7" borderId="2" xfId="0" applyNumberFormat="1" applyFont="1" applyFill="1" applyBorder="1" applyAlignment="1">
      <alignment horizontal="center"/>
    </xf>
    <xf numFmtId="166" fontId="14" fillId="7" borderId="29" xfId="0" applyNumberFormat="1" applyFont="1" applyFill="1" applyBorder="1" applyAlignment="1">
      <alignment horizontal="center"/>
    </xf>
    <xf numFmtId="166" fontId="14" fillId="7" borderId="3" xfId="0" applyNumberFormat="1" applyFont="1" applyFill="1" applyBorder="1" applyAlignment="1">
      <alignment horizontal="center"/>
    </xf>
    <xf numFmtId="166" fontId="14" fillId="7" borderId="7" xfId="0" applyNumberFormat="1" applyFont="1" applyFill="1" applyBorder="1" applyAlignment="1">
      <alignment horizontal="center"/>
    </xf>
    <xf numFmtId="0" fontId="56" fillId="0" borderId="46" xfId="0" applyFont="1" applyBorder="1" applyAlignment="1">
      <alignment horizontal="center" vertical="center" wrapText="1"/>
    </xf>
    <xf numFmtId="0" fontId="56" fillId="0" borderId="47" xfId="0" applyFont="1" applyBorder="1" applyAlignment="1">
      <alignment horizontal="center" vertical="center" wrapText="1"/>
    </xf>
    <xf numFmtId="0" fontId="56" fillId="0" borderId="40" xfId="0" applyFont="1" applyBorder="1" applyAlignment="1">
      <alignment horizontal="center" vertical="center" wrapText="1"/>
    </xf>
    <xf numFmtId="0" fontId="56" fillId="0" borderId="45"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5" xfId="0" applyFont="1" applyBorder="1" applyAlignment="1">
      <alignment horizontal="center" vertical="center" wrapText="1"/>
    </xf>
    <xf numFmtId="0" fontId="14" fillId="0" borderId="48" xfId="0" applyFont="1" applyBorder="1" applyAlignment="1">
      <alignment horizontal="center"/>
    </xf>
    <xf numFmtId="0" fontId="14" fillId="0" borderId="43" xfId="0" applyFont="1" applyBorder="1" applyAlignment="1">
      <alignment horizontal="center"/>
    </xf>
    <xf numFmtId="2" fontId="14" fillId="0" borderId="43" xfId="0" applyNumberFormat="1" applyFont="1" applyBorder="1" applyAlignment="1">
      <alignment horizontal="center"/>
    </xf>
    <xf numFmtId="168" fontId="13" fillId="0" borderId="48" xfId="0" applyNumberFormat="1" applyFont="1" applyBorder="1" applyAlignment="1">
      <alignment horizontal="center"/>
    </xf>
    <xf numFmtId="2" fontId="14" fillId="0" borderId="41" xfId="0" applyNumberFormat="1" applyFont="1" applyBorder="1" applyAlignment="1">
      <alignment horizontal="center"/>
    </xf>
    <xf numFmtId="168" fontId="13" fillId="0" borderId="43" xfId="0" applyNumberFormat="1" applyFont="1" applyBorder="1" applyAlignment="1">
      <alignment horizontal="center"/>
    </xf>
    <xf numFmtId="168" fontId="13" fillId="0" borderId="49" xfId="0" applyNumberFormat="1" applyFont="1" applyBorder="1" applyAlignment="1">
      <alignment horizontal="center" vertical="center"/>
    </xf>
    <xf numFmtId="2" fontId="14" fillId="0" borderId="41" xfId="0" applyNumberFormat="1" applyFont="1" applyBorder="1" applyAlignment="1">
      <alignment horizontal="center" vertical="center"/>
    </xf>
    <xf numFmtId="0" fontId="10" fillId="0" borderId="50" xfId="0" applyFont="1" applyBorder="1" applyAlignment="1">
      <alignment horizontal="center"/>
    </xf>
    <xf numFmtId="168" fontId="13" fillId="0" borderId="50" xfId="0" applyNumberFormat="1" applyFont="1" applyBorder="1" applyAlignment="1">
      <alignment horizontal="center"/>
    </xf>
    <xf numFmtId="2" fontId="14" fillId="0" borderId="5" xfId="0" applyNumberFormat="1" applyFont="1" applyBorder="1" applyAlignment="1">
      <alignment horizontal="center"/>
    </xf>
    <xf numFmtId="168" fontId="13" fillId="0" borderId="0" xfId="0" applyNumberFormat="1" applyFont="1" applyAlignment="1">
      <alignment horizontal="center"/>
    </xf>
    <xf numFmtId="168" fontId="13" fillId="0" borderId="4" xfId="0" applyNumberFormat="1" applyFont="1" applyBorder="1" applyAlignment="1">
      <alignment horizontal="center" vertical="center"/>
    </xf>
    <xf numFmtId="0" fontId="14" fillId="0" borderId="50" xfId="0" applyFont="1" applyBorder="1" applyAlignment="1">
      <alignment horizontal="center"/>
    </xf>
    <xf numFmtId="0" fontId="13" fillId="3" borderId="48" xfId="0" applyFont="1" applyFill="1" applyBorder="1" applyAlignment="1">
      <alignment horizontal="center"/>
    </xf>
    <xf numFmtId="0" fontId="14" fillId="3" borderId="43" xfId="0" applyFont="1" applyFill="1" applyBorder="1" applyAlignment="1">
      <alignment horizontal="center"/>
    </xf>
    <xf numFmtId="2" fontId="14" fillId="3" borderId="43" xfId="0" applyNumberFormat="1" applyFont="1" applyFill="1" applyBorder="1" applyAlignment="1">
      <alignment horizontal="center"/>
    </xf>
    <xf numFmtId="168" fontId="13" fillId="3" borderId="48" xfId="0" applyNumberFormat="1" applyFont="1" applyFill="1" applyBorder="1" applyAlignment="1">
      <alignment horizontal="center"/>
    </xf>
    <xf numFmtId="2" fontId="14" fillId="3" borderId="41" xfId="0" applyNumberFormat="1" applyFont="1" applyFill="1" applyBorder="1" applyAlignment="1">
      <alignment horizontal="center"/>
    </xf>
    <xf numFmtId="168" fontId="13" fillId="3" borderId="43" xfId="0" applyNumberFormat="1" applyFont="1" applyFill="1" applyBorder="1" applyAlignment="1">
      <alignment horizontal="center"/>
    </xf>
    <xf numFmtId="168" fontId="13" fillId="3" borderId="49" xfId="0" applyNumberFormat="1" applyFont="1" applyFill="1" applyBorder="1" applyAlignment="1">
      <alignment horizontal="center" vertical="center"/>
    </xf>
    <xf numFmtId="2" fontId="14" fillId="3" borderId="41" xfId="0" applyNumberFormat="1" applyFont="1" applyFill="1" applyBorder="1" applyAlignment="1">
      <alignment horizontal="center" vertical="center"/>
    </xf>
    <xf numFmtId="0" fontId="13" fillId="3" borderId="50" xfId="0" applyFont="1" applyFill="1" applyBorder="1" applyAlignment="1">
      <alignment horizontal="center"/>
    </xf>
    <xf numFmtId="2" fontId="14" fillId="3" borderId="0" xfId="0" applyNumberFormat="1" applyFont="1" applyFill="1" applyAlignment="1">
      <alignment horizontal="center"/>
    </xf>
    <xf numFmtId="168" fontId="13" fillId="3" borderId="50" xfId="0" applyNumberFormat="1" applyFont="1" applyFill="1" applyBorder="1" applyAlignment="1">
      <alignment horizontal="center"/>
    </xf>
    <xf numFmtId="2" fontId="14" fillId="3" borderId="5" xfId="0" applyNumberFormat="1" applyFont="1" applyFill="1" applyBorder="1" applyAlignment="1">
      <alignment horizontal="center"/>
    </xf>
    <xf numFmtId="168" fontId="13" fillId="3" borderId="0" xfId="0" applyNumberFormat="1" applyFont="1" applyFill="1" applyAlignment="1">
      <alignment horizontal="center"/>
    </xf>
    <xf numFmtId="168" fontId="13" fillId="3" borderId="4" xfId="0" applyNumberFormat="1" applyFont="1" applyFill="1" applyBorder="1" applyAlignment="1">
      <alignment horizontal="center" vertical="center"/>
    </xf>
    <xf numFmtId="0" fontId="14" fillId="0" borderId="51" xfId="0" applyFont="1" applyBorder="1" applyAlignment="1">
      <alignment horizontal="center"/>
    </xf>
    <xf numFmtId="168" fontId="13" fillId="0" borderId="51" xfId="0" applyNumberFormat="1" applyFont="1" applyBorder="1" applyAlignment="1">
      <alignment horizontal="center"/>
    </xf>
    <xf numFmtId="168" fontId="13" fillId="0" borderId="3" xfId="0" applyNumberFormat="1" applyFont="1" applyBorder="1" applyAlignment="1">
      <alignment horizontal="center"/>
    </xf>
    <xf numFmtId="168" fontId="13" fillId="0" borderId="6" xfId="0" applyNumberFormat="1" applyFont="1" applyBorder="1" applyAlignment="1">
      <alignment horizontal="center" vertical="center"/>
    </xf>
    <xf numFmtId="0" fontId="17" fillId="0" borderId="40" xfId="0" applyFont="1" applyBorder="1" applyAlignment="1">
      <alignment horizontal="left" vertical="center"/>
    </xf>
    <xf numFmtId="0" fontId="14" fillId="0" borderId="41" xfId="0" applyFont="1" applyBorder="1" applyAlignment="1">
      <alignment vertical="center"/>
    </xf>
    <xf numFmtId="0" fontId="17" fillId="0" borderId="42" xfId="0" applyFont="1" applyBorder="1" applyAlignment="1">
      <alignment horizontal="left" vertical="center"/>
    </xf>
    <xf numFmtId="0" fontId="14" fillId="0" borderId="43" xfId="0" applyFont="1" applyBorder="1" applyAlignment="1">
      <alignment vertical="center"/>
    </xf>
    <xf numFmtId="0" fontId="17" fillId="0" borderId="44" xfId="0" applyFont="1" applyBorder="1" applyAlignment="1">
      <alignment horizontal="left" vertical="center"/>
    </xf>
    <xf numFmtId="0" fontId="14" fillId="0" borderId="45" xfId="0" applyFont="1" applyBorder="1" applyAlignment="1">
      <alignment vertical="center"/>
    </xf>
    <xf numFmtId="0" fontId="14" fillId="0" borderId="0" xfId="0" applyFont="1" applyAlignment="1">
      <alignment wrapText="1"/>
    </xf>
    <xf numFmtId="168" fontId="14" fillId="2" borderId="3" xfId="0" applyNumberFormat="1" applyFont="1" applyFill="1" applyBorder="1" applyAlignment="1">
      <alignment horizontal="center"/>
    </xf>
    <xf numFmtId="168" fontId="14" fillId="2" borderId="0" xfId="0" applyNumberFormat="1" applyFont="1" applyFill="1" applyAlignment="1">
      <alignment horizontal="center"/>
    </xf>
    <xf numFmtId="0" fontId="30" fillId="0" borderId="0" xfId="0" applyFont="1" applyAlignment="1">
      <alignment horizontal="center" vertical="center"/>
    </xf>
    <xf numFmtId="0" fontId="14" fillId="0" borderId="2" xfId="0" applyFont="1" applyBorder="1" applyAlignment="1">
      <alignment horizontal="left" vertical="center"/>
    </xf>
    <xf numFmtId="9" fontId="14" fillId="0" borderId="0" xfId="1" applyFont="1" applyAlignment="1">
      <alignment horizontal="center" vertical="center" wrapText="1"/>
    </xf>
    <xf numFmtId="10" fontId="0" fillId="0" borderId="0" xfId="0" applyNumberFormat="1"/>
    <xf numFmtId="0" fontId="58" fillId="0" borderId="0" xfId="0" applyFont="1"/>
    <xf numFmtId="0" fontId="59" fillId="0" borderId="0" xfId="0" applyFont="1"/>
    <xf numFmtId="0" fontId="60" fillId="0" borderId="0" xfId="0" applyFont="1" applyAlignment="1">
      <alignment horizontal="center"/>
    </xf>
    <xf numFmtId="10" fontId="60" fillId="0" borderId="0" xfId="1" applyNumberFormat="1" applyFont="1" applyAlignment="1">
      <alignment horizontal="center"/>
    </xf>
    <xf numFmtId="10" fontId="60" fillId="2" borderId="0" xfId="1" applyNumberFormat="1" applyFont="1" applyFill="1" applyAlignment="1">
      <alignment horizontal="center"/>
    </xf>
    <xf numFmtId="0" fontId="4" fillId="0" borderId="0" xfId="7" applyAlignment="1">
      <alignment horizontal="center" vertical="center"/>
    </xf>
    <xf numFmtId="0" fontId="4" fillId="0" borderId="54" xfId="7" applyBorder="1" applyAlignment="1">
      <alignment horizontal="center" vertical="center"/>
    </xf>
    <xf numFmtId="0" fontId="4" fillId="0" borderId="54" xfId="7" applyBorder="1" applyAlignment="1">
      <alignment horizontal="center" vertical="center" wrapText="1"/>
    </xf>
    <xf numFmtId="0" fontId="4" fillId="0" borderId="0" xfId="7" applyAlignment="1">
      <alignment horizontal="center" vertical="center" wrapText="1"/>
    </xf>
    <xf numFmtId="0" fontId="4" fillId="0" borderId="0" xfId="7" applyAlignment="1">
      <alignment vertical="center"/>
    </xf>
    <xf numFmtId="0" fontId="13" fillId="0" borderId="0" xfId="7" applyFont="1" applyAlignment="1">
      <alignment vertical="center"/>
    </xf>
    <xf numFmtId="9" fontId="4" fillId="0" borderId="0" xfId="7" applyNumberFormat="1" applyAlignment="1">
      <alignment vertical="center"/>
    </xf>
    <xf numFmtId="0" fontId="14" fillId="0" borderId="0" xfId="7" applyFont="1" applyAlignment="1">
      <alignment vertical="center"/>
    </xf>
    <xf numFmtId="0" fontId="4" fillId="0" borderId="28" xfId="7" applyBorder="1" applyAlignment="1">
      <alignment horizontal="center" vertical="center"/>
    </xf>
    <xf numFmtId="0" fontId="4" fillId="0" borderId="2" xfId="7" applyBorder="1" applyAlignment="1">
      <alignment horizontal="center" vertical="center"/>
    </xf>
    <xf numFmtId="0" fontId="4" fillId="0" borderId="29" xfId="7" applyBorder="1" applyAlignment="1">
      <alignment horizontal="center" vertical="center"/>
    </xf>
    <xf numFmtId="1" fontId="4" fillId="0" borderId="0" xfId="7" applyNumberFormat="1" applyAlignment="1">
      <alignment horizontal="center" vertical="center"/>
    </xf>
    <xf numFmtId="0" fontId="4" fillId="0" borderId="32" xfId="7" applyBorder="1" applyAlignment="1">
      <alignment horizontal="center" vertical="center"/>
    </xf>
    <xf numFmtId="0" fontId="61" fillId="0" borderId="31" xfId="7" applyFont="1" applyBorder="1" applyAlignment="1">
      <alignment horizontal="center" vertical="center"/>
    </xf>
    <xf numFmtId="0" fontId="14" fillId="0" borderId="6" xfId="7" applyFont="1" applyBorder="1" applyAlignment="1">
      <alignment horizontal="center" vertical="center"/>
    </xf>
    <xf numFmtId="0" fontId="14" fillId="0" borderId="7" xfId="7" applyFont="1" applyBorder="1" applyAlignment="1">
      <alignment horizontal="center" vertical="center"/>
    </xf>
    <xf numFmtId="0" fontId="4" fillId="0" borderId="33" xfId="7" applyBorder="1" applyAlignment="1">
      <alignment horizontal="center" vertical="center"/>
    </xf>
    <xf numFmtId="2" fontId="4" fillId="0" borderId="4" xfId="7" applyNumberFormat="1" applyBorder="1" applyAlignment="1">
      <alignment horizontal="center" vertical="center"/>
    </xf>
    <xf numFmtId="2" fontId="4" fillId="0" borderId="5" xfId="7" applyNumberFormat="1" applyBorder="1" applyAlignment="1">
      <alignment horizontal="center" vertical="center"/>
    </xf>
    <xf numFmtId="0" fontId="4" fillId="0" borderId="31" xfId="7" applyBorder="1" applyAlignment="1">
      <alignment horizontal="center" vertical="center"/>
    </xf>
    <xf numFmtId="2" fontId="4" fillId="0" borderId="6" xfId="7" applyNumberFormat="1" applyBorder="1" applyAlignment="1">
      <alignment horizontal="center" vertical="center"/>
    </xf>
    <xf numFmtId="2" fontId="4" fillId="0" borderId="7" xfId="7" applyNumberFormat="1" applyBorder="1" applyAlignment="1">
      <alignment horizontal="center" vertical="center"/>
    </xf>
    <xf numFmtId="0" fontId="4" fillId="0" borderId="57" xfId="7" applyBorder="1" applyAlignment="1">
      <alignment vertical="center"/>
    </xf>
    <xf numFmtId="2" fontId="4" fillId="0" borderId="0" xfId="7" applyNumberFormat="1" applyAlignment="1">
      <alignment horizontal="center" vertical="center"/>
    </xf>
    <xf numFmtId="2" fontId="4" fillId="0" borderId="58" xfId="7" applyNumberFormat="1" applyBorder="1" applyAlignment="1">
      <alignment horizontal="center" vertical="center"/>
    </xf>
    <xf numFmtId="0" fontId="4" fillId="0" borderId="59" xfId="7" applyBorder="1" applyAlignment="1">
      <alignment vertical="center"/>
    </xf>
    <xf numFmtId="2" fontId="4" fillId="0" borderId="60" xfId="7" applyNumberFormat="1" applyBorder="1" applyAlignment="1">
      <alignment horizontal="center" vertical="center"/>
    </xf>
    <xf numFmtId="2" fontId="4" fillId="0" borderId="61" xfId="7" applyNumberFormat="1" applyBorder="1" applyAlignment="1">
      <alignment horizontal="center" vertical="center"/>
    </xf>
    <xf numFmtId="0" fontId="4" fillId="0" borderId="0" xfId="7" applyAlignment="1">
      <alignment vertical="center" wrapText="1"/>
    </xf>
    <xf numFmtId="0" fontId="4" fillId="2" borderId="54" xfId="7" applyFill="1" applyBorder="1" applyAlignment="1">
      <alignment horizontal="center" vertical="center"/>
    </xf>
    <xf numFmtId="0" fontId="4" fillId="2" borderId="57" xfId="7" applyFill="1" applyBorder="1" applyAlignment="1">
      <alignment vertical="center"/>
    </xf>
    <xf numFmtId="2" fontId="4" fillId="2" borderId="0" xfId="7" applyNumberFormat="1" applyFill="1" applyAlignment="1">
      <alignment horizontal="center" vertical="center"/>
    </xf>
    <xf numFmtId="0" fontId="4" fillId="2" borderId="59" xfId="7" applyFill="1" applyBorder="1" applyAlignment="1">
      <alignment vertical="center"/>
    </xf>
    <xf numFmtId="2" fontId="4" fillId="2" borderId="4" xfId="7" applyNumberFormat="1" applyFill="1" applyBorder="1" applyAlignment="1">
      <alignment horizontal="center" vertical="center"/>
    </xf>
    <xf numFmtId="2" fontId="4" fillId="2" borderId="5" xfId="7" applyNumberFormat="1" applyFill="1" applyBorder="1" applyAlignment="1">
      <alignment horizontal="center" vertical="center"/>
    </xf>
    <xf numFmtId="2" fontId="4" fillId="2" borderId="6" xfId="7" applyNumberFormat="1" applyFill="1" applyBorder="1" applyAlignment="1">
      <alignment horizontal="center" vertical="center"/>
    </xf>
    <xf numFmtId="2" fontId="4" fillId="2" borderId="3" xfId="7" applyNumberFormat="1" applyFill="1" applyBorder="1" applyAlignment="1">
      <alignment horizontal="center" vertical="center"/>
    </xf>
    <xf numFmtId="2" fontId="4" fillId="2" borderId="7" xfId="7" applyNumberFormat="1" applyFill="1" applyBorder="1" applyAlignment="1">
      <alignment horizontal="center" vertical="center"/>
    </xf>
    <xf numFmtId="0" fontId="3" fillId="2" borderId="17" xfId="7" applyFont="1" applyFill="1" applyBorder="1" applyAlignment="1">
      <alignment horizontal="center" vertical="center"/>
    </xf>
    <xf numFmtId="0" fontId="3" fillId="2" borderId="1" xfId="7" applyFont="1" applyFill="1" applyBorder="1" applyAlignment="1">
      <alignment horizontal="center" vertical="center"/>
    </xf>
    <xf numFmtId="0" fontId="3" fillId="2" borderId="16" xfId="7" applyFont="1" applyFill="1" applyBorder="1" applyAlignment="1">
      <alignment horizontal="center" vertical="center"/>
    </xf>
    <xf numFmtId="0" fontId="60" fillId="0" borderId="16" xfId="0" applyFont="1" applyBorder="1" applyAlignment="1">
      <alignment horizontal="center"/>
    </xf>
    <xf numFmtId="0" fontId="0" fillId="0" borderId="4" xfId="0" applyBorder="1"/>
    <xf numFmtId="10" fontId="60" fillId="2" borderId="5" xfId="1" applyNumberFormat="1" applyFont="1" applyFill="1" applyBorder="1" applyAlignment="1">
      <alignment horizontal="center"/>
    </xf>
    <xf numFmtId="0" fontId="0" fillId="0" borderId="6" xfId="0" applyBorder="1"/>
    <xf numFmtId="10" fontId="60" fillId="2" borderId="7" xfId="1" applyNumberFormat="1" applyFont="1" applyFill="1" applyBorder="1" applyAlignment="1">
      <alignment horizontal="center"/>
    </xf>
    <xf numFmtId="0" fontId="63" fillId="0" borderId="0" xfId="7" applyFont="1" applyAlignment="1">
      <alignment horizontal="center" vertical="center"/>
    </xf>
    <xf numFmtId="2" fontId="4" fillId="2" borderId="36" xfId="7" applyNumberFormat="1" applyFill="1" applyBorder="1" applyAlignment="1">
      <alignment horizontal="center" vertical="center"/>
    </xf>
    <xf numFmtId="2" fontId="4" fillId="2" borderId="37" xfId="7" applyNumberFormat="1" applyFill="1" applyBorder="1" applyAlignment="1">
      <alignment horizontal="center" vertical="center"/>
    </xf>
    <xf numFmtId="2" fontId="4" fillId="2" borderId="38" xfId="7" applyNumberFormat="1" applyFill="1" applyBorder="1" applyAlignment="1">
      <alignment horizontal="center" vertical="center"/>
    </xf>
    <xf numFmtId="2" fontId="4" fillId="2" borderId="39" xfId="7" applyNumberFormat="1" applyFill="1" applyBorder="1" applyAlignment="1">
      <alignment horizontal="center" vertical="center"/>
    </xf>
    <xf numFmtId="0" fontId="19" fillId="0" borderId="62" xfId="0" applyFont="1" applyBorder="1" applyAlignment="1">
      <alignment horizontal="center" vertical="center" wrapText="1"/>
    </xf>
    <xf numFmtId="0" fontId="19" fillId="0" borderId="63" xfId="0" applyFont="1" applyBorder="1" applyAlignment="1">
      <alignment horizontal="center" vertical="center" wrapText="1"/>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0" fillId="0" borderId="2" xfId="0" applyFont="1" applyBorder="1"/>
    <xf numFmtId="0" fontId="10" fillId="0" borderId="41" xfId="0" applyFont="1" applyBorder="1" applyAlignment="1">
      <alignment vertical="center"/>
    </xf>
    <xf numFmtId="0" fontId="10" fillId="0" borderId="43" xfId="0" applyFont="1" applyBorder="1" applyAlignment="1">
      <alignment vertical="center"/>
    </xf>
    <xf numFmtId="0" fontId="10" fillId="0" borderId="45" xfId="0" applyFont="1" applyBorder="1" applyAlignment="1">
      <alignment vertical="center"/>
    </xf>
    <xf numFmtId="0" fontId="10" fillId="0" borderId="40" xfId="0" applyFont="1" applyBorder="1" applyAlignment="1">
      <alignment horizontal="left" vertical="center"/>
    </xf>
    <xf numFmtId="0" fontId="10" fillId="0" borderId="42" xfId="0" applyFont="1" applyBorder="1" applyAlignment="1">
      <alignment horizontal="left" vertical="center"/>
    </xf>
    <xf numFmtId="0" fontId="10" fillId="0" borderId="44" xfId="0" applyFont="1" applyBorder="1" applyAlignment="1">
      <alignment horizontal="left" vertical="center"/>
    </xf>
    <xf numFmtId="0" fontId="10" fillId="0" borderId="46"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68" fontId="14" fillId="0" borderId="48" xfId="0" applyNumberFormat="1" applyFont="1" applyBorder="1" applyAlignment="1">
      <alignment horizontal="center"/>
    </xf>
    <xf numFmtId="168" fontId="14" fillId="0" borderId="43" xfId="0" applyNumberFormat="1" applyFont="1" applyBorder="1" applyAlignment="1">
      <alignment horizontal="center"/>
    </xf>
    <xf numFmtId="168" fontId="14" fillId="0" borderId="49" xfId="0" applyNumberFormat="1" applyFont="1" applyBorder="1" applyAlignment="1">
      <alignment horizontal="center" vertical="center"/>
    </xf>
    <xf numFmtId="168" fontId="14" fillId="0" borderId="50" xfId="0" applyNumberFormat="1" applyFont="1" applyBorder="1" applyAlignment="1">
      <alignment horizontal="center"/>
    </xf>
    <xf numFmtId="168" fontId="14" fillId="0" borderId="4" xfId="0" applyNumberFormat="1" applyFont="1" applyBorder="1" applyAlignment="1">
      <alignment horizontal="center" vertical="center"/>
    </xf>
    <xf numFmtId="0" fontId="14" fillId="3" borderId="48" xfId="0" applyFont="1" applyFill="1" applyBorder="1" applyAlignment="1">
      <alignment horizontal="center"/>
    </xf>
    <xf numFmtId="168" fontId="14" fillId="3" borderId="48" xfId="0" applyNumberFormat="1" applyFont="1" applyFill="1" applyBorder="1" applyAlignment="1">
      <alignment horizontal="center"/>
    </xf>
    <xf numFmtId="168" fontId="14" fillId="3" borderId="43" xfId="0" applyNumberFormat="1" applyFont="1" applyFill="1" applyBorder="1" applyAlignment="1">
      <alignment horizontal="center"/>
    </xf>
    <xf numFmtId="168" fontId="14" fillId="3" borderId="49" xfId="0" applyNumberFormat="1" applyFont="1" applyFill="1" applyBorder="1" applyAlignment="1">
      <alignment horizontal="center" vertical="center"/>
    </xf>
    <xf numFmtId="0" fontId="14" fillId="3" borderId="50" xfId="0" applyFont="1" applyFill="1" applyBorder="1" applyAlignment="1">
      <alignment horizontal="center"/>
    </xf>
    <xf numFmtId="168" fontId="14" fillId="3" borderId="50" xfId="0" applyNumberFormat="1" applyFont="1" applyFill="1" applyBorder="1" applyAlignment="1">
      <alignment horizontal="center"/>
    </xf>
    <xf numFmtId="168" fontId="14" fillId="3" borderId="0" xfId="0" applyNumberFormat="1" applyFont="1" applyFill="1" applyAlignment="1">
      <alignment horizontal="center"/>
    </xf>
    <xf numFmtId="168" fontId="14" fillId="3" borderId="4" xfId="0" applyNumberFormat="1" applyFont="1" applyFill="1" applyBorder="1" applyAlignment="1">
      <alignment horizontal="center" vertical="center"/>
    </xf>
    <xf numFmtId="168" fontId="14" fillId="0" borderId="51" xfId="0" applyNumberFormat="1" applyFont="1" applyBorder="1" applyAlignment="1">
      <alignment horizontal="center"/>
    </xf>
    <xf numFmtId="168" fontId="14" fillId="0" borderId="6" xfId="0" applyNumberFormat="1" applyFont="1" applyBorder="1" applyAlignment="1">
      <alignment horizontal="center" vertical="center"/>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165" fontId="14" fillId="0" borderId="2" xfId="0" applyNumberFormat="1" applyFont="1" applyBorder="1" applyAlignment="1">
      <alignment horizontal="center" vertical="center" wrapText="1"/>
    </xf>
    <xf numFmtId="165" fontId="14" fillId="0" borderId="0" xfId="0" applyNumberFormat="1" applyFont="1" applyAlignment="1">
      <alignment horizontal="center" vertical="center" wrapText="1"/>
    </xf>
    <xf numFmtId="0" fontId="14" fillId="0" borderId="3" xfId="0" applyFont="1" applyBorder="1" applyAlignment="1">
      <alignment horizontal="left" vertical="center" wrapText="1"/>
    </xf>
    <xf numFmtId="165" fontId="14" fillId="0" borderId="3" xfId="0" applyNumberFormat="1" applyFont="1" applyBorder="1" applyAlignment="1">
      <alignment horizontal="center" vertical="center" wrapText="1"/>
    </xf>
    <xf numFmtId="0" fontId="64" fillId="0" borderId="0" xfId="0" applyFont="1"/>
    <xf numFmtId="0" fontId="42" fillId="0" borderId="0" xfId="0" applyFont="1"/>
    <xf numFmtId="2" fontId="21" fillId="0" borderId="0" xfId="0" applyNumberFormat="1" applyFont="1" applyAlignment="1">
      <alignment horizontal="center"/>
    </xf>
    <xf numFmtId="0" fontId="14" fillId="0" borderId="34" xfId="7" applyFont="1" applyBorder="1" applyAlignment="1">
      <alignment horizontal="center" vertical="center" wrapText="1"/>
    </xf>
    <xf numFmtId="0" fontId="14" fillId="0" borderId="35" xfId="7" applyFont="1" applyBorder="1" applyAlignment="1">
      <alignment horizontal="center" vertical="center" wrapText="1"/>
    </xf>
    <xf numFmtId="2" fontId="14" fillId="0" borderId="63" xfId="7" applyNumberFormat="1" applyFont="1" applyBorder="1" applyAlignment="1">
      <alignment horizontal="center" vertical="center"/>
    </xf>
    <xf numFmtId="2" fontId="14" fillId="0" borderId="37" xfId="7" applyNumberFormat="1" applyFont="1" applyBorder="1" applyAlignment="1">
      <alignment horizontal="center" vertical="center"/>
    </xf>
    <xf numFmtId="2" fontId="14" fillId="0" borderId="65" xfId="7" applyNumberFormat="1" applyFont="1" applyBorder="1" applyAlignment="1">
      <alignment horizontal="center" vertical="center"/>
    </xf>
    <xf numFmtId="2" fontId="14" fillId="0" borderId="39" xfId="7" applyNumberFormat="1" applyFont="1" applyBorder="1" applyAlignment="1">
      <alignment horizontal="center" vertical="center"/>
    </xf>
    <xf numFmtId="0" fontId="10" fillId="0" borderId="0" xfId="0" applyFont="1"/>
    <xf numFmtId="0" fontId="19" fillId="0" borderId="0" xfId="0" applyFont="1"/>
    <xf numFmtId="0" fontId="14" fillId="0" borderId="63" xfId="0" applyFont="1" applyBorder="1" applyAlignment="1">
      <alignment vertical="center"/>
    </xf>
    <xf numFmtId="0" fontId="14" fillId="0" borderId="34" xfId="0" applyFont="1" applyBorder="1" applyAlignment="1">
      <alignment vertical="center"/>
    </xf>
    <xf numFmtId="0" fontId="14" fillId="0" borderId="35" xfId="0" applyFont="1" applyBorder="1" applyAlignment="1">
      <alignment vertical="center"/>
    </xf>
    <xf numFmtId="0" fontId="14" fillId="0" borderId="37" xfId="0" applyFont="1" applyBorder="1" applyAlignment="1">
      <alignment vertical="center"/>
    </xf>
    <xf numFmtId="0" fontId="14" fillId="0" borderId="36" xfId="0" applyFont="1" applyBorder="1" applyAlignment="1">
      <alignment vertical="center"/>
    </xf>
    <xf numFmtId="0" fontId="14" fillId="0" borderId="65" xfId="0" applyFont="1" applyBorder="1" applyAlignment="1">
      <alignment vertical="center"/>
    </xf>
    <xf numFmtId="0" fontId="19" fillId="0" borderId="38" xfId="0" applyFont="1" applyBorder="1" applyAlignment="1">
      <alignment vertical="center"/>
    </xf>
    <xf numFmtId="0" fontId="14" fillId="0" borderId="39" xfId="0" applyFont="1" applyBorder="1" applyAlignment="1">
      <alignment vertical="center"/>
    </xf>
    <xf numFmtId="168" fontId="14" fillId="0" borderId="62" xfId="0" applyNumberFormat="1" applyFont="1" applyBorder="1" applyAlignment="1">
      <alignment horizontal="center" vertical="center"/>
    </xf>
    <xf numFmtId="2" fontId="14" fillId="0" borderId="63" xfId="0" applyNumberFormat="1" applyFont="1" applyBorder="1" applyAlignment="1">
      <alignment horizontal="center" vertical="center"/>
    </xf>
    <xf numFmtId="168" fontId="14" fillId="0" borderId="36" xfId="0" applyNumberFormat="1" applyFont="1" applyBorder="1" applyAlignment="1">
      <alignment horizontal="center" vertical="center"/>
    </xf>
    <xf numFmtId="2" fontId="14" fillId="0" borderId="37" xfId="0" applyNumberFormat="1" applyFont="1" applyBorder="1" applyAlignment="1">
      <alignment horizontal="center" vertical="center"/>
    </xf>
    <xf numFmtId="168" fontId="14" fillId="0" borderId="64" xfId="0" applyNumberFormat="1" applyFont="1" applyBorder="1" applyAlignment="1">
      <alignment horizontal="center" vertical="center"/>
    </xf>
    <xf numFmtId="2" fontId="14" fillId="0" borderId="65" xfId="0" applyNumberFormat="1" applyFont="1" applyBorder="1" applyAlignment="1">
      <alignment horizontal="center" vertical="center"/>
    </xf>
    <xf numFmtId="168" fontId="14" fillId="0" borderId="38" xfId="0" applyNumberFormat="1" applyFont="1" applyBorder="1" applyAlignment="1">
      <alignment horizontal="center" vertical="center"/>
    </xf>
    <xf numFmtId="2" fontId="14" fillId="0" borderId="39" xfId="0" applyNumberFormat="1" applyFont="1" applyBorder="1" applyAlignment="1">
      <alignment horizontal="center" vertical="center"/>
    </xf>
    <xf numFmtId="0" fontId="19" fillId="0" borderId="36" xfId="0" applyFont="1" applyBorder="1" applyAlignment="1">
      <alignment vertical="center"/>
    </xf>
    <xf numFmtId="0" fontId="19" fillId="0" borderId="0" xfId="0" applyFont="1" applyAlignment="1">
      <alignment vertical="center"/>
    </xf>
    <xf numFmtId="0" fontId="66" fillId="0" borderId="17" xfId="0" applyFont="1" applyBorder="1"/>
    <xf numFmtId="0" fontId="14" fillId="0" borderId="16" xfId="0" applyFont="1" applyBorder="1"/>
    <xf numFmtId="0" fontId="65" fillId="0" borderId="17" xfId="0" applyFont="1" applyBorder="1" applyAlignment="1">
      <alignment horizontal="left"/>
    </xf>
    <xf numFmtId="0" fontId="65" fillId="0" borderId="16" xfId="0" applyFont="1" applyBorder="1" applyAlignment="1">
      <alignment horizontal="left"/>
    </xf>
    <xf numFmtId="0" fontId="14" fillId="8" borderId="0" xfId="0" applyFont="1" applyFill="1" applyAlignment="1">
      <alignment horizontal="left" vertical="center"/>
    </xf>
    <xf numFmtId="168" fontId="14" fillId="8" borderId="36" xfId="0" applyNumberFormat="1" applyFont="1" applyFill="1" applyBorder="1" applyAlignment="1">
      <alignment horizontal="center" vertical="center"/>
    </xf>
    <xf numFmtId="2" fontId="14" fillId="8" borderId="37" xfId="0" applyNumberFormat="1" applyFont="1" applyFill="1" applyBorder="1" applyAlignment="1">
      <alignment horizontal="center" vertical="center"/>
    </xf>
    <xf numFmtId="2" fontId="14" fillId="8" borderId="37" xfId="7" applyNumberFormat="1" applyFont="1" applyFill="1" applyBorder="1" applyAlignment="1">
      <alignment horizontal="center" vertical="center"/>
    </xf>
    <xf numFmtId="0" fontId="14" fillId="0" borderId="29" xfId="0" applyFont="1" applyBorder="1" applyAlignment="1">
      <alignment horizontal="center"/>
    </xf>
    <xf numFmtId="0" fontId="14" fillId="0" borderId="4" xfId="0" applyFont="1" applyBorder="1"/>
    <xf numFmtId="0" fontId="14" fillId="0" borderId="5" xfId="0" applyFont="1" applyBorder="1"/>
    <xf numFmtId="2" fontId="14" fillId="0" borderId="30" xfId="0" applyNumberFormat="1" applyFont="1" applyBorder="1" applyAlignment="1">
      <alignment horizontal="center"/>
    </xf>
    <xf numFmtId="1" fontId="14" fillId="0" borderId="28" xfId="0" applyNumberFormat="1" applyFont="1" applyBorder="1" applyAlignment="1">
      <alignment horizontal="center"/>
    </xf>
    <xf numFmtId="1" fontId="14" fillId="0" borderId="2" xfId="0" applyNumberFormat="1" applyFont="1" applyBorder="1" applyAlignment="1">
      <alignment horizontal="center"/>
    </xf>
    <xf numFmtId="1" fontId="14" fillId="0" borderId="29" xfId="0" applyNumberFormat="1" applyFont="1" applyBorder="1" applyAlignment="1">
      <alignment horizontal="center"/>
    </xf>
    <xf numFmtId="2" fontId="14" fillId="0" borderId="31" xfId="0" applyNumberFormat="1" applyFont="1" applyBorder="1" applyAlignment="1">
      <alignment horizontal="center"/>
    </xf>
    <xf numFmtId="1" fontId="14" fillId="0" borderId="6" xfId="0" applyNumberFormat="1" applyFont="1" applyBorder="1" applyAlignment="1">
      <alignment horizontal="center"/>
    </xf>
    <xf numFmtId="1" fontId="14" fillId="0" borderId="3" xfId="0" applyNumberFormat="1" applyFont="1" applyBorder="1" applyAlignment="1">
      <alignment horizontal="center"/>
    </xf>
    <xf numFmtId="1" fontId="14" fillId="0" borderId="7" xfId="0" applyNumberFormat="1" applyFont="1" applyBorder="1" applyAlignment="1">
      <alignment horizontal="center"/>
    </xf>
    <xf numFmtId="0" fontId="14" fillId="0" borderId="28" xfId="0" applyFont="1" applyBorder="1" applyAlignment="1">
      <alignment vertical="center"/>
    </xf>
    <xf numFmtId="0" fontId="14" fillId="0" borderId="4" xfId="0" applyFont="1" applyBorder="1" applyAlignment="1">
      <alignment vertical="center"/>
    </xf>
    <xf numFmtId="0" fontId="14" fillId="0" borderId="5" xfId="0" applyFont="1" applyBorder="1" applyAlignment="1">
      <alignment vertical="center"/>
    </xf>
    <xf numFmtId="167" fontId="14" fillId="0" borderId="2" xfId="1" applyNumberFormat="1" applyFont="1" applyBorder="1" applyAlignment="1">
      <alignment horizontal="center" vertical="center"/>
    </xf>
    <xf numFmtId="11" fontId="14" fillId="0" borderId="29" xfId="1" applyNumberFormat="1" applyFont="1" applyBorder="1" applyAlignment="1">
      <alignment horizontal="center" vertical="center"/>
    </xf>
    <xf numFmtId="0" fontId="14" fillId="0" borderId="6" xfId="0" applyFont="1" applyBorder="1" applyAlignment="1">
      <alignment vertical="center"/>
    </xf>
    <xf numFmtId="11" fontId="14" fillId="0" borderId="7" xfId="1" applyNumberFormat="1" applyFont="1" applyBorder="1" applyAlignment="1">
      <alignment horizontal="center" vertical="center"/>
    </xf>
    <xf numFmtId="0" fontId="19" fillId="0" borderId="29" xfId="0" applyFont="1" applyBorder="1" applyAlignment="1">
      <alignment horizontal="center" vertical="center"/>
    </xf>
    <xf numFmtId="0" fontId="68" fillId="2" borderId="0" xfId="0" applyFont="1" applyFill="1" applyAlignment="1">
      <alignment horizontal="center" vertical="center"/>
    </xf>
    <xf numFmtId="0" fontId="14" fillId="8" borderId="4" xfId="0" applyFont="1" applyFill="1" applyBorder="1" applyAlignment="1">
      <alignment vertical="center"/>
    </xf>
    <xf numFmtId="0" fontId="14" fillId="8" borderId="0" xfId="0" applyFont="1" applyFill="1" applyAlignment="1">
      <alignment horizontal="center" vertical="center"/>
    </xf>
    <xf numFmtId="2" fontId="14" fillId="8" borderId="0" xfId="0" applyNumberFormat="1" applyFont="1" applyFill="1" applyAlignment="1">
      <alignment horizontal="center" vertical="center"/>
    </xf>
    <xf numFmtId="167" fontId="14" fillId="8" borderId="0" xfId="1" applyNumberFormat="1" applyFont="1" applyFill="1" applyBorder="1" applyAlignment="1">
      <alignment horizontal="center" vertical="center"/>
    </xf>
    <xf numFmtId="11" fontId="14" fillId="8" borderId="5" xfId="1" applyNumberFormat="1" applyFont="1" applyFill="1" applyBorder="1" applyAlignment="1">
      <alignment horizontal="center" vertical="center"/>
    </xf>
    <xf numFmtId="2" fontId="14" fillId="8" borderId="0" xfId="0" applyNumberFormat="1" applyFont="1" applyFill="1" applyAlignment="1">
      <alignment horizontal="center"/>
    </xf>
    <xf numFmtId="0" fontId="14" fillId="8" borderId="5" xfId="0" applyFont="1" applyFill="1" applyBorder="1" applyAlignment="1">
      <alignment horizontal="center"/>
    </xf>
    <xf numFmtId="2" fontId="14" fillId="8" borderId="33" xfId="0" applyNumberFormat="1" applyFont="1" applyFill="1" applyBorder="1" applyAlignment="1">
      <alignment horizontal="center"/>
    </xf>
    <xf numFmtId="1" fontId="14" fillId="8" borderId="4" xfId="0" applyNumberFormat="1" applyFont="1" applyFill="1" applyBorder="1" applyAlignment="1">
      <alignment horizontal="center"/>
    </xf>
    <xf numFmtId="1" fontId="14" fillId="8" borderId="0" xfId="0" applyNumberFormat="1" applyFont="1" applyFill="1" applyAlignment="1">
      <alignment horizontal="center"/>
    </xf>
    <xf numFmtId="1" fontId="14" fillId="8" borderId="5" xfId="0" applyNumberFormat="1" applyFont="1" applyFill="1" applyBorder="1" applyAlignment="1">
      <alignment horizontal="center"/>
    </xf>
    <xf numFmtId="0" fontId="14" fillId="0" borderId="30" xfId="0" applyFont="1" applyBorder="1" applyAlignment="1">
      <alignment vertical="center"/>
    </xf>
    <xf numFmtId="0" fontId="69" fillId="0" borderId="23" xfId="0" applyFont="1" applyBorder="1" applyAlignment="1" applyProtection="1">
      <alignment horizontal="left"/>
      <protection locked="0"/>
    </xf>
    <xf numFmtId="0" fontId="69" fillId="0" borderId="24" xfId="0" applyFont="1" applyBorder="1" applyProtection="1">
      <protection locked="0"/>
    </xf>
    <xf numFmtId="0" fontId="69" fillId="0" borderId="25" xfId="0" applyFont="1" applyBorder="1" applyAlignment="1" applyProtection="1">
      <alignment horizontal="center"/>
      <protection locked="0"/>
    </xf>
    <xf numFmtId="0" fontId="69" fillId="0" borderId="66" xfId="0" applyFont="1" applyBorder="1" applyAlignment="1" applyProtection="1">
      <alignment horizontal="center"/>
      <protection locked="0"/>
    </xf>
    <xf numFmtId="0" fontId="69" fillId="0" borderId="53" xfId="0" applyFont="1" applyBorder="1" applyAlignment="1" applyProtection="1">
      <alignment horizontal="center"/>
      <protection locked="0"/>
    </xf>
    <xf numFmtId="0" fontId="69" fillId="0" borderId="19" xfId="0" applyFont="1" applyBorder="1" applyAlignment="1" applyProtection="1">
      <alignment horizontal="center"/>
      <protection locked="0"/>
    </xf>
    <xf numFmtId="0" fontId="69" fillId="0" borderId="52" xfId="0" applyFont="1" applyBorder="1" applyAlignment="1" applyProtection="1">
      <alignment horizontal="center"/>
      <protection locked="0"/>
    </xf>
    <xf numFmtId="0" fontId="69" fillId="0" borderId="67" xfId="0" applyFont="1" applyBorder="1" applyAlignment="1" applyProtection="1">
      <alignment horizontal="left"/>
      <protection locked="0"/>
    </xf>
    <xf numFmtId="0" fontId="69" fillId="0" borderId="68" xfId="0" applyFont="1" applyBorder="1" applyProtection="1">
      <protection locked="0"/>
    </xf>
    <xf numFmtId="0" fontId="69" fillId="0" borderId="69" xfId="0" applyFont="1" applyBorder="1" applyAlignment="1" applyProtection="1">
      <alignment horizontal="center"/>
      <protection locked="0"/>
    </xf>
    <xf numFmtId="0" fontId="69" fillId="0" borderId="70" xfId="0" applyFont="1" applyBorder="1" applyAlignment="1" applyProtection="1">
      <alignment horizontal="center"/>
      <protection locked="0"/>
    </xf>
    <xf numFmtId="173" fontId="69" fillId="0" borderId="68" xfId="0" applyNumberFormat="1" applyFont="1" applyBorder="1" applyAlignment="1" applyProtection="1">
      <alignment horizontal="center"/>
      <protection locked="0"/>
    </xf>
    <xf numFmtId="173" fontId="69" fillId="0" borderId="71" xfId="0" applyNumberFormat="1" applyFont="1" applyBorder="1" applyAlignment="1" applyProtection="1">
      <alignment horizontal="center"/>
      <protection locked="0"/>
    </xf>
    <xf numFmtId="173" fontId="69" fillId="0" borderId="72" xfId="0" applyNumberFormat="1" applyFont="1" applyBorder="1" applyAlignment="1" applyProtection="1">
      <alignment horizontal="center"/>
      <protection locked="0"/>
    </xf>
    <xf numFmtId="173" fontId="69" fillId="0" borderId="73" xfId="0" applyNumberFormat="1" applyFont="1" applyBorder="1" applyAlignment="1" applyProtection="1">
      <alignment horizontal="center"/>
      <protection locked="0"/>
    </xf>
    <xf numFmtId="173" fontId="69" fillId="0" borderId="69" xfId="0" applyNumberFormat="1" applyFont="1" applyBorder="1" applyAlignment="1" applyProtection="1">
      <alignment horizontal="center"/>
      <protection locked="0"/>
    </xf>
    <xf numFmtId="2" fontId="14" fillId="0" borderId="17" xfId="0" applyNumberFormat="1" applyFont="1" applyBorder="1" applyAlignment="1">
      <alignment horizontal="center"/>
    </xf>
    <xf numFmtId="2" fontId="14" fillId="0" borderId="1" xfId="0" applyNumberFormat="1" applyFont="1" applyBorder="1" applyAlignment="1">
      <alignment horizontal="center"/>
    </xf>
    <xf numFmtId="2" fontId="14" fillId="0" borderId="16" xfId="0" applyNumberFormat="1" applyFont="1" applyBorder="1" applyAlignment="1">
      <alignment horizontal="center"/>
    </xf>
    <xf numFmtId="1" fontId="14" fillId="0" borderId="0" xfId="0" applyNumberFormat="1" applyFont="1" applyAlignment="1">
      <alignment horizontal="center"/>
    </xf>
    <xf numFmtId="173" fontId="54" fillId="0" borderId="17" xfId="0" applyNumberFormat="1" applyFont="1" applyBorder="1" applyAlignment="1" applyProtection="1">
      <alignment horizontal="center"/>
      <protection locked="0"/>
    </xf>
    <xf numFmtId="173" fontId="54" fillId="0" borderId="16" xfId="0" applyNumberFormat="1" applyFont="1" applyBorder="1" applyAlignment="1" applyProtection="1">
      <alignment horizontal="center"/>
      <protection locked="0"/>
    </xf>
    <xf numFmtId="173" fontId="18" fillId="2" borderId="1" xfId="0" applyNumberFormat="1" applyFont="1" applyFill="1" applyBorder="1" applyAlignment="1">
      <alignment horizontal="center"/>
    </xf>
    <xf numFmtId="2" fontId="14" fillId="4" borderId="0" xfId="0" applyNumberFormat="1" applyFont="1" applyFill="1" applyAlignment="1">
      <alignment horizontal="center"/>
    </xf>
    <xf numFmtId="0" fontId="19" fillId="0" borderId="1" xfId="0" applyFont="1" applyBorder="1" applyAlignment="1">
      <alignment horizontal="center" vertical="center"/>
    </xf>
    <xf numFmtId="0" fontId="70" fillId="0" borderId="17" xfId="0" applyFont="1" applyBorder="1"/>
    <xf numFmtId="0" fontId="42" fillId="0" borderId="1" xfId="0" applyFont="1" applyBorder="1"/>
    <xf numFmtId="0" fontId="42" fillId="0" borderId="16" xfId="0" applyFont="1" applyBorder="1"/>
    <xf numFmtId="0" fontId="42" fillId="0" borderId="16" xfId="7" applyFont="1" applyBorder="1" applyAlignment="1">
      <alignment vertical="center"/>
    </xf>
    <xf numFmtId="0" fontId="19" fillId="0" borderId="28" xfId="0" applyFont="1" applyBorder="1" applyAlignment="1">
      <alignment horizontal="center" vertical="center"/>
    </xf>
    <xf numFmtId="11" fontId="14" fillId="0" borderId="0" xfId="1" applyNumberFormat="1" applyFont="1" applyBorder="1" applyAlignment="1">
      <alignment horizontal="center" vertical="center"/>
    </xf>
    <xf numFmtId="11" fontId="14" fillId="0" borderId="4" xfId="1" applyNumberFormat="1" applyFont="1" applyBorder="1" applyAlignment="1">
      <alignment horizontal="center" vertical="center"/>
    </xf>
    <xf numFmtId="11" fontId="14" fillId="0" borderId="5" xfId="1" applyNumberFormat="1" applyFont="1" applyBorder="1" applyAlignment="1">
      <alignment horizontal="center" vertical="center"/>
    </xf>
    <xf numFmtId="11" fontId="14" fillId="0" borderId="6" xfId="1" applyNumberFormat="1" applyFont="1" applyBorder="1" applyAlignment="1">
      <alignment horizontal="center" vertical="center"/>
    </xf>
    <xf numFmtId="11" fontId="14" fillId="0" borderId="3" xfId="1" applyNumberFormat="1" applyFont="1" applyBorder="1" applyAlignment="1">
      <alignment horizontal="center" vertical="center"/>
    </xf>
    <xf numFmtId="0" fontId="19" fillId="0" borderId="17" xfId="0" applyFont="1" applyBorder="1" applyAlignment="1">
      <alignment horizontal="center" vertical="center"/>
    </xf>
    <xf numFmtId="0" fontId="19" fillId="0" borderId="16" xfId="0" applyFont="1" applyBorder="1" applyAlignment="1">
      <alignment horizontal="center" vertical="center"/>
    </xf>
    <xf numFmtId="11" fontId="14" fillId="0" borderId="28" xfId="1" applyNumberFormat="1" applyFont="1" applyBorder="1" applyAlignment="1">
      <alignment horizontal="center" vertical="center"/>
    </xf>
    <xf numFmtId="11" fontId="14" fillId="0" borderId="2" xfId="1" applyNumberFormat="1" applyFont="1" applyBorder="1" applyAlignment="1">
      <alignment horizontal="center" vertical="center"/>
    </xf>
    <xf numFmtId="0" fontId="14" fillId="0" borderId="74" xfId="7" applyFont="1" applyBorder="1" applyAlignment="1">
      <alignment horizontal="center" vertical="center" wrapText="1"/>
    </xf>
    <xf numFmtId="0" fontId="68" fillId="0" borderId="0" xfId="0" applyFont="1" applyAlignment="1">
      <alignment horizontal="center"/>
    </xf>
    <xf numFmtId="0" fontId="14" fillId="0" borderId="0" xfId="0" applyFont="1" applyAlignment="1">
      <alignment horizontal="center" wrapText="1"/>
    </xf>
    <xf numFmtId="0" fontId="37" fillId="0" borderId="2" xfId="0" applyFont="1" applyBorder="1" applyAlignment="1">
      <alignment horizontal="center" vertical="center" wrapText="1"/>
    </xf>
    <xf numFmtId="0" fontId="37" fillId="5" borderId="2" xfId="0" applyFont="1" applyFill="1" applyBorder="1" applyAlignment="1">
      <alignment horizontal="center" vertical="center" wrapText="1"/>
    </xf>
    <xf numFmtId="0" fontId="21" fillId="0" borderId="2" xfId="0" applyFont="1" applyBorder="1"/>
    <xf numFmtId="0" fontId="21" fillId="0" borderId="3" xfId="0" applyFont="1" applyBorder="1"/>
    <xf numFmtId="2" fontId="21" fillId="0" borderId="4" xfId="0" applyNumberFormat="1" applyFont="1" applyBorder="1" applyAlignment="1">
      <alignment horizontal="center"/>
    </xf>
    <xf numFmtId="2" fontId="21" fillId="0" borderId="5" xfId="0" applyNumberFormat="1" applyFont="1" applyBorder="1" applyAlignment="1">
      <alignment horizontal="center"/>
    </xf>
    <xf numFmtId="2" fontId="21" fillId="3" borderId="4" xfId="0" applyNumberFormat="1" applyFont="1" applyFill="1" applyBorder="1" applyAlignment="1">
      <alignment horizontal="center"/>
    </xf>
    <xf numFmtId="2" fontId="21" fillId="3" borderId="0" xfId="0" applyNumberFormat="1" applyFont="1" applyFill="1" applyAlignment="1">
      <alignment horizontal="center"/>
    </xf>
    <xf numFmtId="2" fontId="21" fillId="3" borderId="5" xfId="0" applyNumberFormat="1" applyFont="1" applyFill="1" applyBorder="1" applyAlignment="1">
      <alignment horizontal="center"/>
    </xf>
    <xf numFmtId="2" fontId="21" fillId="3" borderId="6" xfId="0" applyNumberFormat="1" applyFont="1" applyFill="1" applyBorder="1" applyAlignment="1">
      <alignment horizontal="center"/>
    </xf>
    <xf numFmtId="2" fontId="21" fillId="3" borderId="3" xfId="0" applyNumberFormat="1" applyFont="1" applyFill="1" applyBorder="1" applyAlignment="1">
      <alignment horizontal="center"/>
    </xf>
    <xf numFmtId="2" fontId="21" fillId="3" borderId="7" xfId="0" applyNumberFormat="1" applyFont="1" applyFill="1" applyBorder="1" applyAlignment="1">
      <alignment horizontal="center"/>
    </xf>
    <xf numFmtId="2" fontId="0" fillId="3" borderId="0" xfId="0" applyNumberFormat="1" applyFill="1" applyAlignment="1">
      <alignment horizontal="center"/>
    </xf>
    <xf numFmtId="2" fontId="0" fillId="3" borderId="3" xfId="0" applyNumberFormat="1" applyFill="1" applyBorder="1" applyAlignment="1">
      <alignment horizontal="center"/>
    </xf>
    <xf numFmtId="2" fontId="14" fillId="3" borderId="4" xfId="0" applyNumberFormat="1" applyFont="1" applyFill="1" applyBorder="1" applyAlignment="1">
      <alignment horizontal="center" vertical="center"/>
    </xf>
    <xf numFmtId="2" fontId="14" fillId="3" borderId="6" xfId="0" applyNumberFormat="1" applyFont="1" applyFill="1" applyBorder="1" applyAlignment="1">
      <alignment horizontal="center" vertical="center"/>
    </xf>
    <xf numFmtId="2" fontId="14" fillId="0" borderId="29" xfId="1" applyNumberFormat="1" applyFont="1" applyFill="1" applyBorder="1" applyAlignment="1">
      <alignment horizontal="center" vertical="center"/>
    </xf>
    <xf numFmtId="11" fontId="14" fillId="0" borderId="28" xfId="1" applyNumberFormat="1" applyFont="1" applyFill="1" applyBorder="1" applyAlignment="1">
      <alignment horizontal="center" vertical="center"/>
    </xf>
    <xf numFmtId="11" fontId="14" fillId="0" borderId="29" xfId="1" applyNumberFormat="1" applyFont="1" applyFill="1" applyBorder="1" applyAlignment="1">
      <alignment horizontal="center" vertical="center"/>
    </xf>
    <xf numFmtId="2" fontId="14" fillId="0" borderId="28" xfId="0" applyNumberFormat="1" applyFont="1" applyBorder="1" applyAlignment="1">
      <alignment horizontal="center"/>
    </xf>
    <xf numFmtId="2" fontId="14" fillId="0" borderId="29" xfId="0" applyNumberFormat="1" applyFont="1" applyBorder="1" applyAlignment="1">
      <alignment horizontal="center"/>
    </xf>
    <xf numFmtId="2" fontId="14" fillId="0" borderId="5" xfId="1" applyNumberFormat="1" applyFont="1" applyFill="1" applyBorder="1" applyAlignment="1">
      <alignment horizontal="center" vertical="center"/>
    </xf>
    <xf numFmtId="11" fontId="14" fillId="0" borderId="4" xfId="1" applyNumberFormat="1" applyFont="1" applyFill="1" applyBorder="1" applyAlignment="1">
      <alignment horizontal="center" vertical="center"/>
    </xf>
    <xf numFmtId="11" fontId="14" fillId="0" borderId="5" xfId="1" applyNumberFormat="1" applyFont="1" applyFill="1" applyBorder="1" applyAlignment="1">
      <alignment horizontal="center" vertical="center"/>
    </xf>
    <xf numFmtId="2" fontId="14" fillId="0" borderId="4" xfId="0" applyNumberFormat="1" applyFont="1" applyBorder="1" applyAlignment="1">
      <alignment horizontal="center"/>
    </xf>
    <xf numFmtId="2" fontId="14" fillId="0" borderId="7" xfId="1" applyNumberFormat="1" applyFont="1" applyFill="1" applyBorder="1" applyAlignment="1">
      <alignment horizontal="center" vertical="center"/>
    </xf>
    <xf numFmtId="11" fontId="14" fillId="0" borderId="6" xfId="1" applyNumberFormat="1" applyFont="1" applyFill="1" applyBorder="1" applyAlignment="1">
      <alignment horizontal="center" vertical="center"/>
    </xf>
    <xf numFmtId="11" fontId="14" fillId="0" borderId="7" xfId="1" applyNumberFormat="1" applyFont="1" applyFill="1" applyBorder="1" applyAlignment="1">
      <alignment horizontal="center" vertical="center"/>
    </xf>
    <xf numFmtId="2" fontId="14" fillId="0" borderId="6" xfId="0" applyNumberFormat="1" applyFont="1" applyBorder="1" applyAlignment="1">
      <alignment horizontal="center"/>
    </xf>
    <xf numFmtId="0" fontId="19" fillId="0" borderId="1" xfId="0" applyFont="1" applyBorder="1"/>
    <xf numFmtId="0" fontId="72" fillId="0" borderId="0" xfId="0" applyFont="1"/>
    <xf numFmtId="165" fontId="14" fillId="0" borderId="29" xfId="0" applyNumberFormat="1" applyFont="1" applyBorder="1" applyAlignment="1">
      <alignment horizontal="center" vertical="center"/>
    </xf>
    <xf numFmtId="165" fontId="14" fillId="0" borderId="6" xfId="0" applyNumberFormat="1" applyFont="1" applyBorder="1" applyAlignment="1">
      <alignment horizontal="center"/>
    </xf>
    <xf numFmtId="0" fontId="19" fillId="0" borderId="29" xfId="0" applyFont="1" applyBorder="1" applyAlignment="1">
      <alignment horizontal="center" vertical="center" wrapText="1"/>
    </xf>
    <xf numFmtId="0" fontId="19" fillId="0" borderId="28" xfId="0" applyFont="1" applyBorder="1" applyAlignment="1">
      <alignment horizontal="center" vertical="center" wrapText="1"/>
    </xf>
    <xf numFmtId="165" fontId="14" fillId="0" borderId="7" xfId="0" applyNumberFormat="1" applyFont="1" applyBorder="1" applyAlignment="1">
      <alignment horizontal="center"/>
    </xf>
    <xf numFmtId="174" fontId="0" fillId="2" borderId="0" xfId="0" applyNumberFormat="1" applyFill="1" applyAlignment="1">
      <alignment horizontal="center"/>
    </xf>
    <xf numFmtId="165" fontId="0" fillId="0" borderId="28" xfId="0" applyNumberFormat="1" applyBorder="1" applyAlignment="1">
      <alignment horizontal="center"/>
    </xf>
    <xf numFmtId="165" fontId="0" fillId="0" borderId="2" xfId="0" applyNumberFormat="1" applyBorder="1" applyAlignment="1">
      <alignment horizontal="center"/>
    </xf>
    <xf numFmtId="165" fontId="0" fillId="0" borderId="29" xfId="0" applyNumberFormat="1" applyBorder="1" applyAlignment="1">
      <alignment horizontal="center"/>
    </xf>
    <xf numFmtId="165" fontId="0" fillId="0" borderId="3" xfId="0" applyNumberFormat="1" applyBorder="1" applyAlignment="1">
      <alignment horizontal="center"/>
    </xf>
    <xf numFmtId="165" fontId="0" fillId="0" borderId="7" xfId="0" applyNumberFormat="1" applyBorder="1" applyAlignment="1">
      <alignment horizontal="center"/>
    </xf>
    <xf numFmtId="165" fontId="73" fillId="2" borderId="3" xfId="0" applyNumberFormat="1" applyFont="1" applyFill="1" applyBorder="1" applyAlignment="1">
      <alignment horizontal="center"/>
    </xf>
    <xf numFmtId="165" fontId="73" fillId="2" borderId="6" xfId="0" applyNumberFormat="1" applyFont="1" applyFill="1" applyBorder="1" applyAlignment="1">
      <alignment horizontal="center"/>
    </xf>
    <xf numFmtId="0" fontId="14" fillId="10" borderId="0" xfId="0" applyFont="1" applyFill="1" applyAlignment="1">
      <alignment vertical="center" wrapText="1"/>
    </xf>
    <xf numFmtId="0" fontId="14" fillId="0" borderId="2" xfId="0" applyFont="1" applyBorder="1" applyAlignment="1">
      <alignment vertical="center"/>
    </xf>
    <xf numFmtId="165" fontId="42" fillId="0" borderId="2" xfId="0" applyNumberFormat="1" applyFont="1" applyBorder="1" applyAlignment="1">
      <alignment horizontal="center" vertical="center"/>
    </xf>
    <xf numFmtId="165" fontId="42" fillId="0" borderId="0" xfId="0" applyNumberFormat="1" applyFont="1" applyAlignment="1">
      <alignment horizontal="center" vertical="center"/>
    </xf>
    <xf numFmtId="165" fontId="42" fillId="0" borderId="3" xfId="0" applyNumberFormat="1" applyFont="1" applyBorder="1" applyAlignment="1">
      <alignment horizontal="center" vertical="center"/>
    </xf>
    <xf numFmtId="0" fontId="13" fillId="0" borderId="0" xfId="0" applyFont="1" applyAlignment="1">
      <alignment vertical="center"/>
    </xf>
    <xf numFmtId="2" fontId="74" fillId="0" borderId="2" xfId="0" applyNumberFormat="1" applyFont="1" applyBorder="1" applyAlignment="1">
      <alignment horizontal="center" vertical="center"/>
    </xf>
    <xf numFmtId="2" fontId="74" fillId="0" borderId="0" xfId="0" applyNumberFormat="1" applyFont="1" applyAlignment="1">
      <alignment horizontal="center" vertical="center"/>
    </xf>
    <xf numFmtId="2" fontId="74" fillId="0" borderId="3" xfId="0" applyNumberFormat="1" applyFont="1" applyBorder="1" applyAlignment="1">
      <alignment horizontal="center" vertical="center"/>
    </xf>
    <xf numFmtId="2" fontId="75" fillId="0" borderId="0" xfId="0" applyNumberFormat="1" applyFont="1" applyAlignment="1">
      <alignment horizontal="center" vertical="center"/>
    </xf>
    <xf numFmtId="2" fontId="75" fillId="0" borderId="3" xfId="0" applyNumberFormat="1" applyFont="1" applyBorder="1" applyAlignment="1">
      <alignment horizontal="center" vertical="center"/>
    </xf>
    <xf numFmtId="0" fontId="74" fillId="0" borderId="2" xfId="0" applyFont="1" applyBorder="1" applyAlignment="1">
      <alignment horizontal="center" vertical="center"/>
    </xf>
    <xf numFmtId="0" fontId="74" fillId="0" borderId="0" xfId="0" applyFont="1" applyAlignment="1">
      <alignment horizontal="center" vertical="center"/>
    </xf>
    <xf numFmtId="0" fontId="74" fillId="0" borderId="3" xfId="0" applyFont="1" applyBorder="1" applyAlignment="1">
      <alignment horizontal="center" vertical="center"/>
    </xf>
    <xf numFmtId="165" fontId="74" fillId="0" borderId="2" xfId="0" applyNumberFormat="1" applyFont="1" applyBorder="1" applyAlignment="1">
      <alignment horizontal="center" vertical="center"/>
    </xf>
    <xf numFmtId="165" fontId="74" fillId="0" borderId="0" xfId="0" applyNumberFormat="1" applyFont="1" applyAlignment="1">
      <alignment horizontal="center" vertical="center"/>
    </xf>
    <xf numFmtId="165" fontId="74" fillId="0" borderId="3" xfId="0" applyNumberFormat="1" applyFont="1" applyBorder="1" applyAlignment="1">
      <alignment horizontal="center" vertical="center"/>
    </xf>
    <xf numFmtId="2" fontId="14" fillId="11" borderId="28" xfId="0" applyNumberFormat="1" applyFont="1" applyFill="1" applyBorder="1" applyAlignment="1">
      <alignment horizontal="center"/>
    </xf>
    <xf numFmtId="2" fontId="14" fillId="11" borderId="2" xfId="0" applyNumberFormat="1" applyFont="1" applyFill="1" applyBorder="1" applyAlignment="1">
      <alignment horizontal="center"/>
    </xf>
    <xf numFmtId="2" fontId="14" fillId="11" borderId="29" xfId="0" applyNumberFormat="1" applyFont="1" applyFill="1" applyBorder="1" applyAlignment="1">
      <alignment horizontal="center"/>
    </xf>
    <xf numFmtId="2" fontId="14" fillId="11" borderId="4" xfId="0" applyNumberFormat="1" applyFont="1" applyFill="1" applyBorder="1" applyAlignment="1">
      <alignment horizontal="center"/>
    </xf>
    <xf numFmtId="2" fontId="14" fillId="11" borderId="0" xfId="0" applyNumberFormat="1" applyFont="1" applyFill="1" applyAlignment="1">
      <alignment horizontal="center"/>
    </xf>
    <xf numFmtId="2" fontId="14" fillId="11" borderId="5" xfId="0" applyNumberFormat="1" applyFont="1" applyFill="1" applyBorder="1" applyAlignment="1">
      <alignment horizontal="center"/>
    </xf>
    <xf numFmtId="2" fontId="14" fillId="11" borderId="6" xfId="0" applyNumberFormat="1" applyFont="1" applyFill="1" applyBorder="1" applyAlignment="1">
      <alignment horizontal="center"/>
    </xf>
    <xf numFmtId="2" fontId="14" fillId="11" borderId="3" xfId="0" applyNumberFormat="1" applyFont="1" applyFill="1" applyBorder="1" applyAlignment="1">
      <alignment horizontal="center"/>
    </xf>
    <xf numFmtId="2" fontId="14" fillId="11" borderId="7" xfId="0" applyNumberFormat="1" applyFont="1" applyFill="1" applyBorder="1" applyAlignment="1">
      <alignment horizontal="center"/>
    </xf>
    <xf numFmtId="0" fontId="14" fillId="11" borderId="30" xfId="0" applyFont="1" applyFill="1" applyBorder="1"/>
    <xf numFmtId="0" fontId="14" fillId="11" borderId="33" xfId="0" applyFont="1" applyFill="1" applyBorder="1"/>
    <xf numFmtId="0" fontId="14" fillId="11" borderId="31" xfId="0" applyFont="1" applyFill="1" applyBorder="1"/>
    <xf numFmtId="9" fontId="74" fillId="0" borderId="2" xfId="1" applyFont="1" applyFill="1" applyBorder="1" applyAlignment="1">
      <alignment horizontal="center" vertical="center"/>
    </xf>
    <xf numFmtId="9" fontId="74" fillId="0" borderId="0" xfId="1" applyFont="1" applyFill="1" applyBorder="1" applyAlignment="1">
      <alignment horizontal="center" vertical="center"/>
    </xf>
    <xf numFmtId="9" fontId="74" fillId="0" borderId="3" xfId="1" applyFont="1" applyFill="1" applyBorder="1" applyAlignment="1">
      <alignment horizontal="center" vertical="center"/>
    </xf>
    <xf numFmtId="165" fontId="74" fillId="0" borderId="2" xfId="1" applyNumberFormat="1" applyFont="1" applyFill="1" applyBorder="1" applyAlignment="1">
      <alignment horizontal="center" vertical="center"/>
    </xf>
    <xf numFmtId="165" fontId="74" fillId="0" borderId="0" xfId="1" applyNumberFormat="1" applyFont="1" applyFill="1" applyBorder="1" applyAlignment="1">
      <alignment horizontal="center" vertical="center"/>
    </xf>
    <xf numFmtId="165" fontId="74" fillId="0" borderId="3" xfId="1" applyNumberFormat="1" applyFont="1" applyFill="1" applyBorder="1" applyAlignment="1">
      <alignment horizontal="center" vertical="center"/>
    </xf>
    <xf numFmtId="165" fontId="74" fillId="0" borderId="2" xfId="0" applyNumberFormat="1" applyFont="1" applyBorder="1" applyAlignment="1">
      <alignment horizontal="center"/>
    </xf>
    <xf numFmtId="165" fontId="74" fillId="0" borderId="3" xfId="0" applyNumberFormat="1" applyFont="1" applyBorder="1" applyAlignment="1">
      <alignment horizontal="center"/>
    </xf>
    <xf numFmtId="0" fontId="76" fillId="0" borderId="0" xfId="0" applyFont="1"/>
    <xf numFmtId="0" fontId="75" fillId="0" borderId="0" xfId="0" applyFont="1"/>
    <xf numFmtId="0" fontId="75" fillId="0" borderId="0" xfId="0" applyFont="1" applyAlignment="1">
      <alignment horizontal="left" wrapText="1"/>
    </xf>
    <xf numFmtId="0" fontId="75" fillId="0" borderId="0" xfId="0" applyFont="1" applyAlignment="1">
      <alignment horizontal="center" vertical="center"/>
    </xf>
    <xf numFmtId="0" fontId="78" fillId="0" borderId="0" xfId="0" applyFont="1" applyAlignment="1">
      <alignment vertical="center"/>
    </xf>
    <xf numFmtId="0" fontId="79" fillId="0" borderId="32" xfId="0" applyFont="1" applyBorder="1" applyAlignment="1">
      <alignment horizontal="center" vertical="center" wrapText="1"/>
    </xf>
    <xf numFmtId="0" fontId="78" fillId="0" borderId="0" xfId="0" applyFont="1"/>
    <xf numFmtId="0" fontId="75" fillId="0" borderId="7" xfId="0" applyFont="1" applyBorder="1" applyAlignment="1">
      <alignment vertical="center"/>
    </xf>
    <xf numFmtId="0" fontId="79" fillId="2" borderId="30" xfId="0" applyFont="1" applyFill="1" applyBorder="1" applyAlignment="1">
      <alignment horizontal="center" vertical="center" wrapText="1"/>
    </xf>
    <xf numFmtId="0" fontId="82" fillId="0" borderId="0" xfId="0" applyFont="1" applyAlignment="1">
      <alignment vertical="center" wrapText="1"/>
    </xf>
    <xf numFmtId="0" fontId="79" fillId="0" borderId="30" xfId="0" applyFont="1" applyBorder="1" applyAlignment="1">
      <alignment horizontal="center" vertical="center" wrapText="1"/>
    </xf>
    <xf numFmtId="0" fontId="75" fillId="0" borderId="2" xfId="0" applyFont="1" applyBorder="1" applyAlignment="1">
      <alignment horizontal="center" vertical="center"/>
    </xf>
    <xf numFmtId="0" fontId="75" fillId="0" borderId="2" xfId="0" applyFont="1" applyBorder="1" applyAlignment="1">
      <alignment horizontal="center" vertical="center" wrapText="1"/>
    </xf>
    <xf numFmtId="0" fontId="77" fillId="0" borderId="2" xfId="0" applyFont="1" applyBorder="1" applyAlignment="1">
      <alignment horizontal="center" vertical="center" wrapText="1"/>
    </xf>
    <xf numFmtId="0" fontId="75" fillId="2" borderId="28" xfId="0" applyFont="1" applyFill="1" applyBorder="1" applyAlignment="1">
      <alignment horizontal="center" vertical="center" wrapText="1"/>
    </xf>
    <xf numFmtId="0" fontId="75" fillId="2" borderId="2" xfId="0" applyFont="1" applyFill="1" applyBorder="1" applyAlignment="1">
      <alignment horizontal="center" vertical="center" wrapText="1"/>
    </xf>
    <xf numFmtId="0" fontId="75" fillId="2" borderId="29" xfId="0" applyFont="1" applyFill="1" applyBorder="1" applyAlignment="1">
      <alignment horizontal="center" vertical="center" wrapText="1"/>
    </xf>
    <xf numFmtId="0" fontId="75" fillId="0" borderId="31" xfId="0" applyFont="1" applyBorder="1"/>
    <xf numFmtId="0" fontId="75" fillId="0" borderId="29" xfId="0" applyFont="1" applyBorder="1" applyAlignment="1">
      <alignment horizontal="center" vertical="center" wrapText="1"/>
    </xf>
    <xf numFmtId="0" fontId="75" fillId="0" borderId="3" xfId="0" applyFont="1" applyBorder="1" applyAlignment="1">
      <alignment horizontal="center" vertical="center"/>
    </xf>
    <xf numFmtId="0" fontId="75" fillId="0" borderId="3" xfId="0" applyFont="1" applyBorder="1" applyAlignment="1">
      <alignment horizontal="center" vertical="center" wrapText="1"/>
    </xf>
    <xf numFmtId="0" fontId="77" fillId="0" borderId="3" xfId="0" applyFont="1" applyBorder="1" applyAlignment="1">
      <alignment horizontal="center" vertical="center" wrapText="1"/>
    </xf>
    <xf numFmtId="0" fontId="76" fillId="0" borderId="16" xfId="0" applyFont="1" applyBorder="1" applyAlignment="1">
      <alignment horizontal="center" vertical="center"/>
    </xf>
    <xf numFmtId="0" fontId="76" fillId="0" borderId="17" xfId="0" applyFont="1" applyBorder="1" applyAlignment="1">
      <alignment horizontal="center" vertical="center"/>
    </xf>
    <xf numFmtId="0" fontId="76" fillId="0" borderId="1" xfId="0" applyFont="1" applyBorder="1" applyAlignment="1">
      <alignment horizontal="center" vertical="center"/>
    </xf>
    <xf numFmtId="0" fontId="76" fillId="0" borderId="32" xfId="0" applyFont="1" applyBorder="1" applyAlignment="1">
      <alignment horizontal="center" vertical="center"/>
    </xf>
    <xf numFmtId="0" fontId="75" fillId="0" borderId="0" xfId="0" applyFont="1" applyAlignment="1">
      <alignment horizontal="center" vertical="center" wrapText="1"/>
    </xf>
    <xf numFmtId="165" fontId="75" fillId="0" borderId="5" xfId="0" applyNumberFormat="1" applyFont="1" applyBorder="1" applyAlignment="1">
      <alignment horizontal="center" vertical="center"/>
    </xf>
    <xf numFmtId="2" fontId="75" fillId="9" borderId="4" xfId="0" applyNumberFormat="1" applyFont="1" applyFill="1" applyBorder="1" applyAlignment="1">
      <alignment horizontal="center" vertical="center"/>
    </xf>
    <xf numFmtId="2" fontId="75" fillId="9" borderId="0" xfId="0" applyNumberFormat="1" applyFont="1" applyFill="1" applyAlignment="1">
      <alignment horizontal="center" vertical="center"/>
    </xf>
    <xf numFmtId="2" fontId="75" fillId="9" borderId="5" xfId="0" applyNumberFormat="1" applyFont="1" applyFill="1" applyBorder="1" applyAlignment="1">
      <alignment horizontal="center" vertical="center"/>
    </xf>
    <xf numFmtId="2" fontId="75" fillId="0" borderId="33" xfId="0" applyNumberFormat="1" applyFont="1" applyBorder="1" applyAlignment="1">
      <alignment horizontal="center" vertical="center"/>
    </xf>
    <xf numFmtId="2" fontId="75" fillId="0" borderId="5" xfId="0" applyNumberFormat="1" applyFont="1" applyBorder="1" applyAlignment="1">
      <alignment horizontal="center" vertical="center"/>
    </xf>
    <xf numFmtId="165" fontId="75" fillId="0" borderId="7" xfId="0" applyNumberFormat="1" applyFont="1" applyBorder="1" applyAlignment="1">
      <alignment horizontal="center" vertical="center"/>
    </xf>
    <xf numFmtId="2" fontId="75" fillId="9" borderId="6" xfId="0" applyNumberFormat="1" applyFont="1" applyFill="1" applyBorder="1" applyAlignment="1">
      <alignment horizontal="center" vertical="center"/>
    </xf>
    <xf numFmtId="2" fontId="75" fillId="9" borderId="3" xfId="0" applyNumberFormat="1" applyFont="1" applyFill="1" applyBorder="1" applyAlignment="1">
      <alignment horizontal="center" vertical="center"/>
    </xf>
    <xf numFmtId="2" fontId="75" fillId="9" borderId="7" xfId="0" applyNumberFormat="1" applyFont="1" applyFill="1" applyBorder="1" applyAlignment="1">
      <alignment horizontal="center" vertical="center"/>
    </xf>
    <xf numFmtId="2" fontId="75" fillId="0" borderId="31" xfId="0" applyNumberFormat="1" applyFont="1" applyBorder="1" applyAlignment="1">
      <alignment horizontal="center" vertical="center"/>
    </xf>
    <xf numFmtId="2" fontId="75" fillId="0" borderId="7" xfId="0" applyNumberFormat="1" applyFont="1" applyBorder="1" applyAlignment="1">
      <alignment horizontal="center" vertical="center"/>
    </xf>
    <xf numFmtId="2" fontId="75" fillId="0" borderId="33" xfId="5" applyNumberFormat="1" applyFont="1" applyFill="1" applyBorder="1" applyAlignment="1">
      <alignment horizontal="center" vertical="center"/>
    </xf>
    <xf numFmtId="2" fontId="75" fillId="0" borderId="0" xfId="5" applyNumberFormat="1" applyFont="1" applyFill="1" applyBorder="1" applyAlignment="1">
      <alignment horizontal="center" vertical="center"/>
    </xf>
    <xf numFmtId="2" fontId="75" fillId="0" borderId="5" xfId="5" applyNumberFormat="1" applyFont="1" applyFill="1" applyBorder="1" applyAlignment="1">
      <alignment horizontal="center" vertical="center"/>
    </xf>
    <xf numFmtId="0" fontId="79" fillId="0" borderId="2" xfId="0" applyFont="1" applyBorder="1" applyAlignment="1">
      <alignment vertical="center" wrapText="1"/>
    </xf>
    <xf numFmtId="0" fontId="75" fillId="0" borderId="2" xfId="0" applyFont="1" applyBorder="1"/>
    <xf numFmtId="0" fontId="85" fillId="0" borderId="0" xfId="0" applyFont="1" applyAlignment="1">
      <alignment horizontal="left" vertical="center"/>
    </xf>
    <xf numFmtId="0" fontId="75" fillId="0" borderId="3" xfId="0" applyFont="1" applyBorder="1" applyAlignment="1">
      <alignment horizontal="left" vertical="center"/>
    </xf>
    <xf numFmtId="0" fontId="75" fillId="0" borderId="3" xfId="0" applyFont="1" applyBorder="1"/>
    <xf numFmtId="0" fontId="76" fillId="0" borderId="28" xfId="0" applyFont="1" applyBorder="1" applyAlignment="1">
      <alignment horizontal="left" vertical="center"/>
    </xf>
    <xf numFmtId="165" fontId="75" fillId="0" borderId="2" xfId="0" applyNumberFormat="1" applyFont="1" applyBorder="1" applyAlignment="1">
      <alignment horizontal="center"/>
    </xf>
    <xf numFmtId="2" fontId="75" fillId="0" borderId="2" xfId="0" applyNumberFormat="1" applyFont="1" applyBorder="1" applyAlignment="1">
      <alignment horizontal="center"/>
    </xf>
    <xf numFmtId="2" fontId="79" fillId="0" borderId="2" xfId="0" applyNumberFormat="1" applyFont="1" applyBorder="1" applyAlignment="1">
      <alignment horizontal="center"/>
    </xf>
    <xf numFmtId="2" fontId="75" fillId="4" borderId="2" xfId="0" applyNumberFormat="1" applyFont="1" applyFill="1" applyBorder="1" applyAlignment="1">
      <alignment horizontal="center"/>
    </xf>
    <xf numFmtId="2" fontId="75" fillId="4" borderId="29" xfId="0" applyNumberFormat="1" applyFont="1" applyFill="1" applyBorder="1" applyAlignment="1">
      <alignment horizontal="center"/>
    </xf>
    <xf numFmtId="0" fontId="76" fillId="0" borderId="4" xfId="0" applyFont="1" applyBorder="1" applyAlignment="1">
      <alignment horizontal="left"/>
    </xf>
    <xf numFmtId="2" fontId="78" fillId="0" borderId="0" xfId="0" applyNumberFormat="1" applyFont="1" applyAlignment="1">
      <alignment horizontal="center"/>
    </xf>
    <xf numFmtId="2" fontId="89" fillId="0" borderId="0" xfId="0" applyNumberFormat="1" applyFont="1" applyAlignment="1">
      <alignment horizontal="center"/>
    </xf>
    <xf numFmtId="2" fontId="75" fillId="0" borderId="0" xfId="0" applyNumberFormat="1" applyFont="1"/>
    <xf numFmtId="2" fontId="78" fillId="0" borderId="5" xfId="0" applyNumberFormat="1" applyFont="1" applyBorder="1" applyAlignment="1">
      <alignment horizontal="center"/>
    </xf>
    <xf numFmtId="0" fontId="88" fillId="0" borderId="6" xfId="0" applyFont="1" applyBorder="1" applyAlignment="1">
      <alignment horizontal="left"/>
    </xf>
    <xf numFmtId="2" fontId="78" fillId="0" borderId="3" xfId="0" applyNumberFormat="1" applyFont="1" applyBorder="1" applyAlignment="1">
      <alignment horizontal="center"/>
    </xf>
    <xf numFmtId="2" fontId="75" fillId="0" borderId="3" xfId="0" applyNumberFormat="1" applyFont="1" applyBorder="1"/>
    <xf numFmtId="2" fontId="78" fillId="0" borderId="7" xfId="0" applyNumberFormat="1" applyFont="1" applyBorder="1" applyAlignment="1">
      <alignment horizontal="center"/>
    </xf>
    <xf numFmtId="0" fontId="90" fillId="0" borderId="4" xfId="0" applyFont="1" applyBorder="1" applyAlignment="1">
      <alignment horizontal="left"/>
    </xf>
    <xf numFmtId="2" fontId="75" fillId="0" borderId="29" xfId="0" applyNumberFormat="1" applyFont="1" applyBorder="1" applyAlignment="1">
      <alignment horizontal="center"/>
    </xf>
    <xf numFmtId="0" fontId="90" fillId="0" borderId="6" xfId="0" applyFont="1" applyBorder="1" applyAlignment="1">
      <alignment horizontal="left"/>
    </xf>
    <xf numFmtId="2" fontId="75" fillId="0" borderId="3" xfId="0" applyNumberFormat="1" applyFont="1" applyBorder="1" applyAlignment="1">
      <alignment horizontal="center"/>
    </xf>
    <xf numFmtId="2" fontId="75" fillId="0" borderId="7" xfId="0" applyNumberFormat="1" applyFont="1" applyBorder="1" applyAlignment="1">
      <alignment horizontal="center"/>
    </xf>
    <xf numFmtId="0" fontId="90" fillId="0" borderId="0" xfId="0" applyFont="1" applyAlignment="1">
      <alignment horizontal="left"/>
    </xf>
    <xf numFmtId="2" fontId="75" fillId="0" borderId="0" xfId="0" applyNumberFormat="1" applyFont="1" applyAlignment="1">
      <alignment horizontal="center"/>
    </xf>
    <xf numFmtId="0" fontId="43" fillId="0" borderId="0" xfId="0" applyFont="1" applyAlignment="1">
      <alignment horizontal="left" vertical="center"/>
    </xf>
    <xf numFmtId="2" fontId="14" fillId="0" borderId="6" xfId="0" applyNumberFormat="1" applyFont="1" applyBorder="1" applyAlignment="1">
      <alignment horizontal="center" vertical="center"/>
    </xf>
    <xf numFmtId="165" fontId="74" fillId="0" borderId="0" xfId="0" applyNumberFormat="1" applyFont="1" applyAlignment="1">
      <alignment horizontal="center"/>
    </xf>
    <xf numFmtId="167" fontId="0" fillId="0" borderId="0" xfId="1" applyNumberFormat="1" applyFont="1" applyAlignment="1">
      <alignment horizontal="center"/>
    </xf>
    <xf numFmtId="0" fontId="21" fillId="0" borderId="30" xfId="0" applyFont="1" applyBorder="1" applyAlignment="1">
      <alignment horizontal="center"/>
    </xf>
    <xf numFmtId="9" fontId="21" fillId="0" borderId="31" xfId="0" applyNumberFormat="1" applyFont="1" applyBorder="1" applyAlignment="1">
      <alignment horizontal="center" wrapText="1"/>
    </xf>
    <xf numFmtId="0" fontId="21" fillId="0" borderId="33" xfId="0" applyFont="1" applyBorder="1" applyAlignment="1">
      <alignment horizontal="center"/>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10" fontId="21" fillId="0" borderId="28" xfId="1" applyNumberFormat="1" applyFont="1" applyBorder="1" applyAlignment="1">
      <alignment horizontal="center"/>
    </xf>
    <xf numFmtId="10" fontId="21" fillId="0" borderId="29" xfId="1" applyNumberFormat="1" applyFont="1" applyBorder="1" applyAlignment="1">
      <alignment horizontal="center"/>
    </xf>
    <xf numFmtId="10" fontId="21" fillId="0" borderId="4" xfId="1" applyNumberFormat="1" applyFont="1" applyBorder="1" applyAlignment="1">
      <alignment horizontal="center"/>
    </xf>
    <xf numFmtId="10" fontId="21" fillId="0" borderId="5" xfId="1" applyNumberFormat="1" applyFont="1" applyBorder="1" applyAlignment="1">
      <alignment horizontal="center"/>
    </xf>
    <xf numFmtId="10" fontId="21" fillId="0" borderId="6" xfId="1" applyNumberFormat="1" applyFont="1" applyBorder="1" applyAlignment="1">
      <alignment horizontal="center"/>
    </xf>
    <xf numFmtId="10" fontId="21" fillId="0" borderId="7" xfId="1" applyNumberFormat="1" applyFont="1" applyBorder="1" applyAlignment="1">
      <alignment horizontal="center"/>
    </xf>
    <xf numFmtId="0" fontId="21" fillId="0" borderId="32" xfId="0" applyFont="1" applyBorder="1" applyAlignment="1">
      <alignment horizontal="center"/>
    </xf>
    <xf numFmtId="0" fontId="91" fillId="0" borderId="17" xfId="0" applyFont="1" applyBorder="1" applyAlignment="1">
      <alignment horizontal="left" wrapText="1"/>
    </xf>
    <xf numFmtId="0" fontId="92" fillId="0" borderId="1" xfId="0" applyFont="1" applyBorder="1" applyAlignment="1">
      <alignment horizontal="right"/>
    </xf>
    <xf numFmtId="0" fontId="92" fillId="0" borderId="17" xfId="0" applyFont="1" applyBorder="1" applyAlignment="1">
      <alignment horizontal="center"/>
    </xf>
    <xf numFmtId="0" fontId="92" fillId="0" borderId="1" xfId="0" applyFont="1" applyBorder="1" applyAlignment="1">
      <alignment horizontal="center"/>
    </xf>
    <xf numFmtId="0" fontId="92" fillId="0" borderId="16" xfId="0" applyFont="1" applyBorder="1" applyAlignment="1">
      <alignment horizontal="center"/>
    </xf>
    <xf numFmtId="0" fontId="93" fillId="0" borderId="0" xfId="0" applyFont="1"/>
    <xf numFmtId="0" fontId="19" fillId="0" borderId="17" xfId="0" applyFont="1" applyBorder="1" applyAlignment="1">
      <alignment horizontal="center" vertical="center" wrapText="1"/>
    </xf>
    <xf numFmtId="0" fontId="13" fillId="0" borderId="17" xfId="0" applyFont="1" applyBorder="1" applyAlignment="1">
      <alignment horizontal="center" vertical="center"/>
    </xf>
    <xf numFmtId="0" fontId="13" fillId="0" borderId="1" xfId="0" applyFont="1" applyBorder="1" applyAlignment="1">
      <alignment horizontal="center" vertical="center"/>
    </xf>
    <xf numFmtId="0" fontId="13" fillId="0" borderId="16" xfId="0" applyFont="1" applyBorder="1" applyAlignment="1">
      <alignment horizontal="center" vertical="center"/>
    </xf>
    <xf numFmtId="0" fontId="14" fillId="0" borderId="0" xfId="0" applyFont="1" applyAlignment="1">
      <alignment horizontal="left" vertical="center" wrapText="1"/>
    </xf>
    <xf numFmtId="0" fontId="48" fillId="0" borderId="0" xfId="0" applyFont="1" applyAlignment="1">
      <alignment horizontal="left" wrapText="1"/>
    </xf>
    <xf numFmtId="0" fontId="14" fillId="0" borderId="17" xfId="0" applyFont="1" applyBorder="1" applyAlignment="1">
      <alignment horizontal="center"/>
    </xf>
    <xf numFmtId="0" fontId="14" fillId="0" borderId="1" xfId="0" applyFont="1" applyBorder="1" applyAlignment="1">
      <alignment horizontal="center"/>
    </xf>
    <xf numFmtId="0" fontId="14" fillId="0" borderId="16" xfId="0" applyFont="1" applyBorder="1" applyAlignment="1">
      <alignment horizontal="center"/>
    </xf>
    <xf numFmtId="0" fontId="36" fillId="0" borderId="0" xfId="0" applyFont="1" applyAlignment="1">
      <alignment vertical="center" wrapText="1"/>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21" fillId="0" borderId="0" xfId="0" applyFont="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26" fillId="0" borderId="0" xfId="0" applyFont="1" applyAlignment="1">
      <alignment horizontal="center" vertical="center" wrapText="1"/>
    </xf>
    <xf numFmtId="0" fontId="22" fillId="0" borderId="1" xfId="0" applyFont="1" applyBorder="1" applyAlignment="1">
      <alignment horizontal="center" vertical="center"/>
    </xf>
    <xf numFmtId="0" fontId="30" fillId="0" borderId="18"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14" fillId="0" borderId="0" xfId="0" applyFont="1" applyAlignment="1">
      <alignment horizontal="left" wrapText="1"/>
    </xf>
    <xf numFmtId="0" fontId="14" fillId="0" borderId="2" xfId="0" applyFont="1" applyBorder="1" applyAlignment="1">
      <alignment horizontal="center" vertical="center"/>
    </xf>
    <xf numFmtId="0" fontId="14" fillId="0" borderId="0" xfId="0" applyFont="1" applyAlignment="1">
      <alignment horizontal="center" vertical="center"/>
    </xf>
    <xf numFmtId="0" fontId="4" fillId="0" borderId="17" xfId="7" applyBorder="1" applyAlignment="1">
      <alignment horizontal="center" vertical="center"/>
    </xf>
    <xf numFmtId="0" fontId="4" fillId="0" borderId="16" xfId="7" applyBorder="1" applyAlignment="1">
      <alignment horizontal="center" vertical="center"/>
    </xf>
    <xf numFmtId="0" fontId="4" fillId="0" borderId="1" xfId="7" applyBorder="1" applyAlignment="1">
      <alignment horizontal="center" vertical="center"/>
    </xf>
    <xf numFmtId="0" fontId="4" fillId="2" borderId="34" xfId="7" applyFill="1" applyBorder="1" applyAlignment="1">
      <alignment horizontal="center" vertical="center" wrapText="1"/>
    </xf>
    <xf numFmtId="0" fontId="4" fillId="2" borderId="35" xfId="7" applyFill="1" applyBorder="1" applyAlignment="1">
      <alignment horizontal="center" vertical="center" wrapText="1"/>
    </xf>
    <xf numFmtId="0" fontId="4" fillId="0" borderId="55" xfId="7" applyBorder="1" applyAlignment="1">
      <alignment horizontal="center" vertical="center" wrapText="1"/>
    </xf>
    <xf numFmtId="0" fontId="4" fillId="0" borderId="56" xfId="7" applyBorder="1" applyAlignment="1">
      <alignment horizontal="center" vertical="center" wrapText="1"/>
    </xf>
    <xf numFmtId="0" fontId="3" fillId="2" borderId="34" xfId="7" applyFont="1" applyFill="1" applyBorder="1" applyAlignment="1">
      <alignment horizontal="center" vertical="center" wrapText="1"/>
    </xf>
    <xf numFmtId="0" fontId="3" fillId="0" borderId="55" xfId="7"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center" vertical="center" wrapText="1"/>
    </xf>
    <xf numFmtId="0" fontId="14" fillId="0" borderId="4" xfId="0" applyFont="1" applyBorder="1" applyAlignment="1">
      <alignment horizontal="center"/>
    </xf>
    <xf numFmtId="0" fontId="14" fillId="0" borderId="0" xfId="0" applyFont="1" applyAlignment="1">
      <alignment horizontal="center"/>
    </xf>
    <xf numFmtId="0" fontId="14" fillId="0" borderId="5" xfId="0" applyFont="1" applyBorder="1" applyAlignment="1">
      <alignment horizont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 xfId="0" applyFont="1" applyBorder="1" applyAlignment="1">
      <alignment horizontal="left" wrapText="1"/>
    </xf>
    <xf numFmtId="0" fontId="14" fillId="0" borderId="1" xfId="0" applyFont="1" applyBorder="1" applyAlignment="1">
      <alignment horizontal="center" wrapText="1"/>
    </xf>
    <xf numFmtId="0" fontId="5" fillId="0" borderId="28" xfId="6" applyBorder="1" applyAlignment="1">
      <alignment horizontal="center" vertical="center" wrapText="1"/>
    </xf>
    <xf numFmtId="0" fontId="5" fillId="0" borderId="2" xfId="6" applyBorder="1" applyAlignment="1">
      <alignment horizontal="center" vertical="center" wrapText="1"/>
    </xf>
    <xf numFmtId="0" fontId="5" fillId="0" borderId="29" xfId="6" applyBorder="1" applyAlignment="1">
      <alignment horizontal="center" vertical="center" wrapText="1"/>
    </xf>
    <xf numFmtId="0" fontId="5" fillId="0" borderId="17" xfId="6" applyBorder="1" applyAlignment="1">
      <alignment horizontal="center" vertical="center" wrapText="1"/>
    </xf>
    <xf numFmtId="0" fontId="5" fillId="0" borderId="1" xfId="6" applyBorder="1" applyAlignment="1">
      <alignment horizontal="center" vertical="center" wrapText="1"/>
    </xf>
    <xf numFmtId="0" fontId="5" fillId="0" borderId="16" xfId="6" applyBorder="1" applyAlignment="1">
      <alignment horizontal="center" vertical="center" wrapText="1"/>
    </xf>
    <xf numFmtId="0" fontId="19" fillId="0" borderId="1" xfId="0" applyFont="1" applyBorder="1" applyAlignment="1">
      <alignment horizontal="center"/>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7" xfId="0" applyFont="1" applyBorder="1" applyAlignment="1">
      <alignment horizontal="center" vertical="center"/>
    </xf>
    <xf numFmtId="0" fontId="19" fillId="0" borderId="1" xfId="0" applyFont="1" applyBorder="1" applyAlignment="1">
      <alignment horizontal="center" vertical="center"/>
    </xf>
    <xf numFmtId="0" fontId="19" fillId="0" borderId="16" xfId="0" applyFont="1" applyBorder="1" applyAlignment="1">
      <alignment horizontal="center" vertical="center"/>
    </xf>
    <xf numFmtId="0" fontId="19" fillId="0" borderId="28" xfId="0" applyFont="1" applyBorder="1" applyAlignment="1">
      <alignment horizontal="center" vertical="center"/>
    </xf>
    <xf numFmtId="0" fontId="19" fillId="0" borderId="2" xfId="0" applyFont="1" applyBorder="1" applyAlignment="1">
      <alignment horizontal="center" vertical="center"/>
    </xf>
    <xf numFmtId="0" fontId="19" fillId="0" borderId="29" xfId="0" applyFont="1" applyBorder="1" applyAlignment="1">
      <alignment horizontal="center" vertical="center"/>
    </xf>
    <xf numFmtId="0" fontId="14" fillId="0" borderId="3" xfId="0" applyFont="1" applyBorder="1" applyAlignment="1">
      <alignment horizontal="center" vertical="center" wrapText="1"/>
    </xf>
    <xf numFmtId="0" fontId="14" fillId="0" borderId="28" xfId="0" applyFont="1" applyBorder="1" applyAlignment="1">
      <alignment horizontal="left" vertical="center" wrapText="1"/>
    </xf>
    <xf numFmtId="0" fontId="14" fillId="0" borderId="29"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4" fillId="0" borderId="3" xfId="0" applyFont="1" applyBorder="1" applyAlignment="1">
      <alignment horizontal="center" vertical="center"/>
    </xf>
    <xf numFmtId="0" fontId="19" fillId="0" borderId="4" xfId="0" applyFont="1" applyBorder="1" applyAlignment="1">
      <alignment horizontal="center" vertical="center"/>
    </xf>
    <xf numFmtId="0" fontId="19" fillId="0" borderId="0" xfId="0" applyFont="1" applyAlignment="1">
      <alignment horizontal="center" vertical="center"/>
    </xf>
    <xf numFmtId="0" fontId="19" fillId="0" borderId="5" xfId="0" applyFont="1" applyBorder="1" applyAlignment="1">
      <alignment horizontal="center" vertical="center"/>
    </xf>
    <xf numFmtId="0" fontId="75" fillId="0" borderId="0" xfId="0" applyFont="1" applyAlignment="1">
      <alignment horizontal="left" vertical="center" wrapText="1"/>
    </xf>
    <xf numFmtId="0" fontId="79" fillId="0" borderId="32" xfId="0" applyFont="1" applyBorder="1" applyAlignment="1">
      <alignment horizontal="center" vertical="center" wrapText="1"/>
    </xf>
    <xf numFmtId="0" fontId="75" fillId="2" borderId="6" xfId="0" applyFont="1" applyFill="1" applyBorder="1" applyAlignment="1">
      <alignment horizontal="center" vertical="center" wrapText="1"/>
    </xf>
    <xf numFmtId="0" fontId="75" fillId="2" borderId="3" xfId="0" applyFont="1" applyFill="1" applyBorder="1" applyAlignment="1">
      <alignment horizontal="center" vertical="center" wrapText="1"/>
    </xf>
    <xf numFmtId="0" fontId="75" fillId="2" borderId="7" xfId="0" applyFont="1" applyFill="1" applyBorder="1" applyAlignment="1">
      <alignment horizontal="center" vertical="center" wrapText="1"/>
    </xf>
    <xf numFmtId="0" fontId="75" fillId="0" borderId="6" xfId="0" applyFont="1" applyBorder="1" applyAlignment="1">
      <alignment horizontal="center" vertical="center" wrapText="1"/>
    </xf>
    <xf numFmtId="0" fontId="75" fillId="0" borderId="3" xfId="0" applyFont="1" applyBorder="1" applyAlignment="1">
      <alignment horizontal="center" vertical="center" wrapText="1"/>
    </xf>
    <xf numFmtId="0" fontId="75" fillId="0" borderId="7" xfId="0" applyFont="1" applyBorder="1" applyAlignment="1">
      <alignment horizontal="center" vertical="center" wrapText="1"/>
    </xf>
    <xf numFmtId="0" fontId="79" fillId="0" borderId="31" xfId="0" applyFont="1" applyBorder="1" applyAlignment="1">
      <alignment horizontal="center" vertical="center" wrapText="1"/>
    </xf>
  </cellXfs>
  <cellStyles count="8">
    <cellStyle name="Comma" xfId="5" builtinId="3"/>
    <cellStyle name="Normal" xfId="0" builtinId="0"/>
    <cellStyle name="Normal 2" xfId="2" xr:uid="{00000000-0005-0000-0000-000002000000}"/>
    <cellStyle name="Normal 3" xfId="3" xr:uid="{00000000-0005-0000-0000-000003000000}"/>
    <cellStyle name="Normal 4" xfId="4" xr:uid="{00000000-0005-0000-0000-000004000000}"/>
    <cellStyle name="Normal 5" xfId="6" xr:uid="{00000000-0005-0000-0000-000005000000}"/>
    <cellStyle name="Normal 6" xfId="7" xr:uid="{00000000-0005-0000-0000-00000600000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00FF00"/>
      <color rgb="FFFF00FF"/>
      <color rgb="FF3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5229000778182067"/>
          <c:y val="0.13872739865850103"/>
          <c:w val="0.80959182801508089"/>
          <c:h val="0.75387321376494609"/>
        </c:manualLayout>
      </c:layout>
      <c:scatterChart>
        <c:scatterStyle val="lineMarker"/>
        <c:varyColors val="0"/>
        <c:ser>
          <c:idx val="0"/>
          <c:order val="0"/>
          <c:tx>
            <c:v>PSHA</c:v>
          </c:tx>
          <c:spPr>
            <a:ln w="25400" cap="rnd">
              <a:noFill/>
              <a:round/>
            </a:ln>
            <a:effectLst/>
          </c:spPr>
          <c:marker>
            <c:symbol val="circle"/>
            <c:size val="5"/>
            <c:spPr>
              <a:solidFill>
                <a:schemeClr val="tx1"/>
              </a:solidFill>
              <a:ln w="9525">
                <a:solidFill>
                  <a:schemeClr val="tx1"/>
                </a:solidFill>
              </a:ln>
              <a:effectLst/>
            </c:spPr>
          </c:marker>
          <c:yVal>
            <c:numRef>
              <c:f>('T1'!$E$7:$E$10,'T1'!$G$7:$G$10)</c:f>
              <c:numCache>
                <c:formatCode>0.0%</c:formatCode>
                <c:ptCount val="8"/>
                <c:pt idx="0">
                  <c:v>0.135280897067629</c:v>
                </c:pt>
                <c:pt idx="1">
                  <c:v>0.22525026237050799</c:v>
                </c:pt>
                <c:pt idx="2">
                  <c:v>0.15320110678736401</c:v>
                </c:pt>
                <c:pt idx="3">
                  <c:v>0.105708613025798</c:v>
                </c:pt>
                <c:pt idx="4">
                  <c:v>0.239184690642122</c:v>
                </c:pt>
                <c:pt idx="5">
                  <c:v>0.36874918184495797</c:v>
                </c:pt>
                <c:pt idx="6">
                  <c:v>0.25145635106100001</c:v>
                </c:pt>
                <c:pt idx="7">
                  <c:v>0.18762923631545</c:v>
                </c:pt>
              </c:numCache>
            </c:numRef>
          </c:yVal>
          <c:smooth val="0"/>
          <c:extLst>
            <c:ext xmlns:c16="http://schemas.microsoft.com/office/drawing/2014/chart" uri="{C3380CC4-5D6E-409C-BE32-E72D297353CC}">
              <c16:uniqueId val="{00000000-A300-489B-906E-6C801044E07E}"/>
            </c:ext>
          </c:extLst>
        </c:ser>
        <c:ser>
          <c:idx val="1"/>
          <c:order val="1"/>
          <c:tx>
            <c:v>IS (1893)</c:v>
          </c:tx>
          <c:spPr>
            <a:ln w="25400" cap="rnd">
              <a:noFill/>
              <a:round/>
            </a:ln>
            <a:effectLst/>
          </c:spPr>
          <c:marker>
            <c:symbol val="circle"/>
            <c:size val="5"/>
            <c:spPr>
              <a:noFill/>
              <a:ln w="9525">
                <a:solidFill>
                  <a:schemeClr val="tx1"/>
                </a:solidFill>
              </a:ln>
              <a:effectLst/>
            </c:spPr>
          </c:marker>
          <c:yVal>
            <c:numRef>
              <c:f>('T1'!$D$7:$D$10,'T1'!$F$7:$F$10)</c:f>
              <c:numCache>
                <c:formatCode>0.0%</c:formatCode>
                <c:ptCount val="8"/>
                <c:pt idx="0">
                  <c:v>0.12</c:v>
                </c:pt>
                <c:pt idx="1">
                  <c:v>0.3</c:v>
                </c:pt>
                <c:pt idx="2">
                  <c:v>0.19814527554856956</c:v>
                </c:pt>
                <c:pt idx="3">
                  <c:v>0.13180043092594149</c:v>
                </c:pt>
                <c:pt idx="4">
                  <c:v>0.18</c:v>
                </c:pt>
                <c:pt idx="5">
                  <c:v>0.44999999999999996</c:v>
                </c:pt>
                <c:pt idx="6">
                  <c:v>0.29721791332285435</c:v>
                </c:pt>
                <c:pt idx="7">
                  <c:v>0.19770064638891224</c:v>
                </c:pt>
              </c:numCache>
            </c:numRef>
          </c:yVal>
          <c:smooth val="0"/>
          <c:extLst>
            <c:ext xmlns:c16="http://schemas.microsoft.com/office/drawing/2014/chart" uri="{C3380CC4-5D6E-409C-BE32-E72D297353CC}">
              <c16:uniqueId val="{00000001-A300-489B-906E-6C801044E07E}"/>
            </c:ext>
          </c:extLst>
        </c:ser>
        <c:dLbls>
          <c:showLegendKey val="0"/>
          <c:showVal val="0"/>
          <c:showCatName val="0"/>
          <c:showSerName val="0"/>
          <c:showPercent val="0"/>
          <c:showBubbleSize val="0"/>
        </c:dLbls>
        <c:axId val="672529848"/>
        <c:axId val="672530176"/>
      </c:scatterChart>
      <c:valAx>
        <c:axId val="672529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72530176"/>
        <c:crosses val="autoZero"/>
        <c:crossBetween val="midCat"/>
      </c:valAx>
      <c:valAx>
        <c:axId val="67253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Intensity Measure</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72529848"/>
        <c:crosses val="autoZero"/>
        <c:crossBetween val="midCat"/>
      </c:valAx>
      <c:spPr>
        <a:noFill/>
        <a:ln>
          <a:noFill/>
        </a:ln>
        <a:effectLst/>
      </c:spPr>
    </c:plotArea>
    <c:legend>
      <c:legendPos val="r"/>
      <c:layout>
        <c:manualLayout>
          <c:xMode val="edge"/>
          <c:yMode val="edge"/>
          <c:x val="0.75223679252102849"/>
          <c:y val="0.15861949547973167"/>
          <c:w val="0.14640109524620462"/>
          <c:h val="0.11093821877672498"/>
        </c:manualLayout>
      </c:layout>
      <c:overlay val="0"/>
      <c:spPr>
        <a:noFill/>
        <a:ln>
          <a:solidFill>
            <a:sysClr val="windowText" lastClr="000000"/>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mn-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DS1_DamLim!$T$9</c:f>
              <c:strCache>
                <c:ptCount val="1"/>
                <c:pt idx="0">
                  <c:v>deltay_eff</c:v>
                </c:pt>
              </c:strCache>
            </c:strRef>
          </c:tx>
          <c:spPr>
            <a:ln w="19050" cap="rnd">
              <a:noFill/>
              <a:round/>
            </a:ln>
            <a:effectLst/>
          </c:spPr>
          <c:marker>
            <c:symbol val="circle"/>
            <c:size val="5"/>
            <c:spPr>
              <a:solidFill>
                <a:schemeClr val="accent1"/>
              </a:solidFill>
              <a:ln w="9525">
                <a:solidFill>
                  <a:schemeClr val="accent1"/>
                </a:solidFill>
              </a:ln>
              <a:effectLst/>
            </c:spPr>
          </c:marker>
          <c:xVal>
            <c:numRef>
              <c:f>DS1_DamLim!$H$10:$H$15</c:f>
              <c:numCache>
                <c:formatCode>0.00%</c:formatCode>
                <c:ptCount val="6"/>
                <c:pt idx="0">
                  <c:v>7.6439999999999998E-3</c:v>
                </c:pt>
                <c:pt idx="1">
                  <c:v>8.822E-3</c:v>
                </c:pt>
                <c:pt idx="2">
                  <c:v>7.7250000000000001E-3</c:v>
                </c:pt>
                <c:pt idx="3">
                  <c:v>9.4719999999999995E-3</c:v>
                </c:pt>
                <c:pt idx="4">
                  <c:v>9.2709999999999997E-3</c:v>
                </c:pt>
                <c:pt idx="5">
                  <c:v>9.3369999999999998E-3</c:v>
                </c:pt>
              </c:numCache>
            </c:numRef>
          </c:xVal>
          <c:yVal>
            <c:numRef>
              <c:f>DS1_DamLim!$T$10:$T$15</c:f>
              <c:numCache>
                <c:formatCode>0.00%</c:formatCode>
                <c:ptCount val="6"/>
                <c:pt idx="0">
                  <c:v>9.2110000000000004E-3</c:v>
                </c:pt>
                <c:pt idx="1">
                  <c:v>1.0208999999999999E-2</c:v>
                </c:pt>
                <c:pt idx="2">
                  <c:v>9.1299999999999992E-3</c:v>
                </c:pt>
                <c:pt idx="3">
                  <c:v>1.0170999999999999E-2</c:v>
                </c:pt>
                <c:pt idx="4">
                  <c:v>1.0266000000000001E-2</c:v>
                </c:pt>
                <c:pt idx="5">
                  <c:v>9.9220000000000003E-3</c:v>
                </c:pt>
              </c:numCache>
            </c:numRef>
          </c:yVal>
          <c:smooth val="0"/>
          <c:extLst>
            <c:ext xmlns:c16="http://schemas.microsoft.com/office/drawing/2014/chart" uri="{C3380CC4-5D6E-409C-BE32-E72D297353CC}">
              <c16:uniqueId val="{00000000-53FC-4C02-8086-B63ED6FB559F}"/>
            </c:ext>
          </c:extLst>
        </c:ser>
        <c:ser>
          <c:idx val="1"/>
          <c:order val="1"/>
          <c:spPr>
            <a:ln w="6350" cap="rnd">
              <a:solidFill>
                <a:schemeClr val="tx1"/>
              </a:solidFill>
              <a:prstDash val="sysDash"/>
              <a:round/>
            </a:ln>
            <a:effectLst/>
          </c:spPr>
          <c:marker>
            <c:symbol val="none"/>
          </c:marker>
          <c:xVal>
            <c:numRef>
              <c:f>DS1_DamLim!$X$28:$Y$28</c:f>
              <c:numCache>
                <c:formatCode>General</c:formatCode>
                <c:ptCount val="2"/>
                <c:pt idx="0">
                  <c:v>0</c:v>
                </c:pt>
                <c:pt idx="1">
                  <c:v>1.2E-2</c:v>
                </c:pt>
              </c:numCache>
            </c:numRef>
          </c:xVal>
          <c:yVal>
            <c:numRef>
              <c:f>DS1_DamLim!$X$29:$Y$29</c:f>
              <c:numCache>
                <c:formatCode>General</c:formatCode>
                <c:ptCount val="2"/>
                <c:pt idx="0">
                  <c:v>0</c:v>
                </c:pt>
                <c:pt idx="1">
                  <c:v>1.2E-2</c:v>
                </c:pt>
              </c:numCache>
            </c:numRef>
          </c:yVal>
          <c:smooth val="0"/>
          <c:extLst>
            <c:ext xmlns:c16="http://schemas.microsoft.com/office/drawing/2014/chart" uri="{C3380CC4-5D6E-409C-BE32-E72D297353CC}">
              <c16:uniqueId val="{00000001-53FC-4C02-8086-B63ED6FB559F}"/>
            </c:ext>
          </c:extLst>
        </c:ser>
        <c:dLbls>
          <c:showLegendKey val="0"/>
          <c:showVal val="0"/>
          <c:showCatName val="0"/>
          <c:showSerName val="0"/>
          <c:showPercent val="0"/>
          <c:showBubbleSize val="0"/>
        </c:dLbls>
        <c:axId val="488649000"/>
        <c:axId val="225574552"/>
      </c:scatterChart>
      <c:valAx>
        <c:axId val="488649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574552"/>
        <c:crosses val="autoZero"/>
        <c:crossBetween val="midCat"/>
      </c:valAx>
      <c:valAx>
        <c:axId val="225574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490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25618449742991"/>
          <c:y val="4.9697103884433255E-2"/>
          <c:w val="0.71309092244061367"/>
          <c:h val="0.7693999696119429"/>
        </c:manualLayout>
      </c:layout>
      <c:scatterChart>
        <c:scatterStyle val="lineMarker"/>
        <c:varyColors val="0"/>
        <c:ser>
          <c:idx val="0"/>
          <c:order val="0"/>
          <c:tx>
            <c:strRef>
              <c:f>'T3'!$B$6</c:f>
              <c:strCache>
                <c:ptCount val="1"/>
                <c:pt idx="0">
                  <c:v>DS4</c:v>
                </c:pt>
              </c:strCache>
            </c:strRef>
          </c:tx>
          <c:spPr>
            <a:ln w="19050" cap="rnd">
              <a:noFill/>
              <a:round/>
            </a:ln>
            <a:effectLst/>
          </c:spPr>
          <c:marker>
            <c:symbol val="circle"/>
            <c:size val="5"/>
            <c:spPr>
              <a:solidFill>
                <a:schemeClr val="tx1"/>
              </a:solidFill>
              <a:ln w="9525">
                <a:solidFill>
                  <a:schemeClr val="tx1"/>
                </a:solidFill>
              </a:ln>
              <a:effectLst/>
            </c:spPr>
          </c:marker>
          <c:dPt>
            <c:idx val="1"/>
            <c:marker>
              <c:symbol val="circle"/>
              <c:size val="5"/>
              <c:spPr>
                <a:solidFill>
                  <a:schemeClr val="tx1"/>
                </a:solidFill>
                <a:ln w="9525">
                  <a:solidFill>
                    <a:schemeClr val="tx1"/>
                  </a:solidFill>
                </a:ln>
                <a:effectLst/>
              </c:spPr>
            </c:marker>
            <c:bubble3D val="0"/>
            <c:spPr>
              <a:ln w="25400" cap="rnd">
                <a:noFill/>
                <a:round/>
              </a:ln>
              <a:effectLst/>
            </c:spPr>
            <c:extLst>
              <c:ext xmlns:c16="http://schemas.microsoft.com/office/drawing/2014/chart" uri="{C3380CC4-5D6E-409C-BE32-E72D297353CC}">
                <c16:uniqueId val="{00000001-C35E-4E6C-AC6E-9411AF36D777}"/>
              </c:ext>
            </c:extLst>
          </c:dPt>
          <c:xVal>
            <c:numRef>
              <c:f>'T3'!$C$8:$C$13</c:f>
              <c:numCache>
                <c:formatCode>0.00</c:formatCode>
                <c:ptCount val="6"/>
                <c:pt idx="0">
                  <c:v>0.57832164173848499</c:v>
                </c:pt>
                <c:pt idx="1">
                  <c:v>0.630612330737233</c:v>
                </c:pt>
                <c:pt idx="2">
                  <c:v>0.69834178950793502</c:v>
                </c:pt>
                <c:pt idx="3">
                  <c:v>0.66714154082785704</c:v>
                </c:pt>
                <c:pt idx="4">
                  <c:v>0.77663312662320005</c:v>
                </c:pt>
                <c:pt idx="5">
                  <c:v>0.72001109075949998</c:v>
                </c:pt>
              </c:numCache>
            </c:numRef>
          </c:xVal>
          <c:yVal>
            <c:numRef>
              <c:f>'T3'!$K$8:$K$13</c:f>
              <c:numCache>
                <c:formatCode>0.00</c:formatCode>
                <c:ptCount val="6"/>
                <c:pt idx="0">
                  <c:v>0.65716776994297699</c:v>
                </c:pt>
                <c:pt idx="1">
                  <c:v>0.49882182131809799</c:v>
                </c:pt>
                <c:pt idx="2">
                  <c:v>0.66648260728285602</c:v>
                </c:pt>
                <c:pt idx="3">
                  <c:v>0.68233968900983499</c:v>
                </c:pt>
                <c:pt idx="4">
                  <c:v>0.61891176604253695</c:v>
                </c:pt>
                <c:pt idx="5">
                  <c:v>0.51163873691012995</c:v>
                </c:pt>
              </c:numCache>
            </c:numRef>
          </c:yVal>
          <c:smooth val="0"/>
          <c:extLst>
            <c:ext xmlns:c16="http://schemas.microsoft.com/office/drawing/2014/chart" uri="{C3380CC4-5D6E-409C-BE32-E72D297353CC}">
              <c16:uniqueId val="{00000002-C35E-4E6C-AC6E-9411AF36D777}"/>
            </c:ext>
          </c:extLst>
        </c:ser>
        <c:ser>
          <c:idx val="1"/>
          <c:order val="1"/>
          <c:tx>
            <c:strRef>
              <c:f>'T3'!$D$6</c:f>
              <c:strCache>
                <c:ptCount val="1"/>
                <c:pt idx="0">
                  <c:v>DS3</c:v>
                </c:pt>
              </c:strCache>
            </c:strRef>
          </c:tx>
          <c:spPr>
            <a:ln w="25400" cap="rnd">
              <a:noFill/>
              <a:round/>
            </a:ln>
            <a:effectLst/>
          </c:spPr>
          <c:marker>
            <c:symbol val="circle"/>
            <c:size val="5"/>
            <c:spPr>
              <a:noFill/>
              <a:ln w="9525">
                <a:solidFill>
                  <a:schemeClr val="tx1"/>
                </a:solidFill>
              </a:ln>
              <a:effectLst/>
            </c:spPr>
          </c:marker>
          <c:xVal>
            <c:numRef>
              <c:f>'T3'!$E$8:$E$13</c:f>
              <c:numCache>
                <c:formatCode>0.00</c:formatCode>
                <c:ptCount val="6"/>
                <c:pt idx="0">
                  <c:v>0.59823663063672505</c:v>
                </c:pt>
                <c:pt idx="1">
                  <c:v>0.46404777047518603</c:v>
                </c:pt>
                <c:pt idx="2">
                  <c:v>0.69810111423592003</c:v>
                </c:pt>
                <c:pt idx="3">
                  <c:v>0.56400352130344</c:v>
                </c:pt>
                <c:pt idx="4">
                  <c:v>0.65933253744445197</c:v>
                </c:pt>
                <c:pt idx="5">
                  <c:v>0.66621753313194298</c:v>
                </c:pt>
              </c:numCache>
            </c:numRef>
          </c:xVal>
          <c:yVal>
            <c:numRef>
              <c:f>'T3'!$M$8:$M$13</c:f>
              <c:numCache>
                <c:formatCode>0.00</c:formatCode>
                <c:ptCount val="6"/>
                <c:pt idx="0">
                  <c:v>0.62925058825566105</c:v>
                </c:pt>
                <c:pt idx="1">
                  <c:v>0.405767622351209</c:v>
                </c:pt>
                <c:pt idx="2">
                  <c:v>0.66666371267324698</c:v>
                </c:pt>
                <c:pt idx="3">
                  <c:v>0.54086641994775098</c:v>
                </c:pt>
                <c:pt idx="4">
                  <c:v>0.470868909869192</c:v>
                </c:pt>
                <c:pt idx="5">
                  <c:v>0.45801031947895698</c:v>
                </c:pt>
              </c:numCache>
            </c:numRef>
          </c:yVal>
          <c:smooth val="0"/>
          <c:extLst>
            <c:ext xmlns:c16="http://schemas.microsoft.com/office/drawing/2014/chart" uri="{C3380CC4-5D6E-409C-BE32-E72D297353CC}">
              <c16:uniqueId val="{00000003-C35E-4E6C-AC6E-9411AF36D777}"/>
            </c:ext>
          </c:extLst>
        </c:ser>
        <c:ser>
          <c:idx val="2"/>
          <c:order val="2"/>
          <c:tx>
            <c:strRef>
              <c:f>'T3'!$F$6</c:f>
              <c:strCache>
                <c:ptCount val="1"/>
                <c:pt idx="0">
                  <c:v>DS2</c:v>
                </c:pt>
              </c:strCache>
            </c:strRef>
          </c:tx>
          <c:spPr>
            <a:ln w="25400" cap="rnd">
              <a:noFill/>
              <a:round/>
            </a:ln>
            <a:effectLst/>
          </c:spPr>
          <c:marker>
            <c:symbol val="square"/>
            <c:size val="5"/>
            <c:spPr>
              <a:noFill/>
              <a:ln w="9525">
                <a:solidFill>
                  <a:schemeClr val="tx1"/>
                </a:solidFill>
              </a:ln>
              <a:effectLst/>
            </c:spPr>
          </c:marker>
          <c:xVal>
            <c:numRef>
              <c:f>'T3'!$G$8:$G$13</c:f>
              <c:numCache>
                <c:formatCode>0.00</c:formatCode>
                <c:ptCount val="6"/>
                <c:pt idx="0">
                  <c:v>0.57409682847242705</c:v>
                </c:pt>
                <c:pt idx="1">
                  <c:v>0.51424208091500001</c:v>
                </c:pt>
                <c:pt idx="2">
                  <c:v>0.52684653851005303</c:v>
                </c:pt>
                <c:pt idx="3">
                  <c:v>0.44964274029212298</c:v>
                </c:pt>
                <c:pt idx="4">
                  <c:v>0.58933044534117496</c:v>
                </c:pt>
                <c:pt idx="5">
                  <c:v>0.61209651282344801</c:v>
                </c:pt>
              </c:numCache>
            </c:numRef>
          </c:xVal>
          <c:yVal>
            <c:numRef>
              <c:f>'T3'!$O$8:$O$13</c:f>
              <c:numCache>
                <c:formatCode>0.00</c:formatCode>
                <c:ptCount val="6"/>
                <c:pt idx="0">
                  <c:v>0.56830428538789102</c:v>
                </c:pt>
                <c:pt idx="1">
                  <c:v>0.42331489455120103</c:v>
                </c:pt>
                <c:pt idx="2">
                  <c:v>0.52205703192867603</c:v>
                </c:pt>
                <c:pt idx="3">
                  <c:v>0.39616235647081699</c:v>
                </c:pt>
                <c:pt idx="4">
                  <c:v>0.38013760912266698</c:v>
                </c:pt>
                <c:pt idx="5">
                  <c:v>0.389793426426569</c:v>
                </c:pt>
              </c:numCache>
            </c:numRef>
          </c:yVal>
          <c:smooth val="0"/>
          <c:extLst>
            <c:ext xmlns:c16="http://schemas.microsoft.com/office/drawing/2014/chart" uri="{C3380CC4-5D6E-409C-BE32-E72D297353CC}">
              <c16:uniqueId val="{00000004-C35E-4E6C-AC6E-9411AF36D777}"/>
            </c:ext>
          </c:extLst>
        </c:ser>
        <c:ser>
          <c:idx val="4"/>
          <c:order val="3"/>
          <c:tx>
            <c:strRef>
              <c:f>'T3'!$H$6</c:f>
              <c:strCache>
                <c:ptCount val="1"/>
                <c:pt idx="0">
                  <c:v>DS1</c:v>
                </c:pt>
              </c:strCache>
            </c:strRef>
          </c:tx>
          <c:spPr>
            <a:ln w="25400" cap="rnd">
              <a:noFill/>
              <a:round/>
            </a:ln>
            <a:effectLst/>
          </c:spPr>
          <c:marker>
            <c:symbol val="triangle"/>
            <c:size val="5"/>
            <c:spPr>
              <a:solidFill>
                <a:schemeClr val="tx1"/>
              </a:solidFill>
              <a:ln w="9525">
                <a:solidFill>
                  <a:schemeClr val="tx1"/>
                </a:solidFill>
              </a:ln>
              <a:effectLst/>
            </c:spPr>
          </c:marker>
          <c:xVal>
            <c:numRef>
              <c:f>'T3'!$I$8:$I$13</c:f>
              <c:numCache>
                <c:formatCode>0.00</c:formatCode>
                <c:ptCount val="6"/>
                <c:pt idx="0">
                  <c:v>0.530949930905395</c:v>
                </c:pt>
                <c:pt idx="1">
                  <c:v>0.58569809104829795</c:v>
                </c:pt>
                <c:pt idx="2">
                  <c:v>0.62859949132499604</c:v>
                </c:pt>
                <c:pt idx="3">
                  <c:v>0.59384794643282801</c:v>
                </c:pt>
                <c:pt idx="4">
                  <c:v>0.73531854868222801</c:v>
                </c:pt>
                <c:pt idx="5">
                  <c:v>0.78718679669046798</c:v>
                </c:pt>
              </c:numCache>
            </c:numRef>
          </c:xVal>
          <c:yVal>
            <c:numRef>
              <c:f>'T3'!$Q$8:$Q$13</c:f>
              <c:numCache>
                <c:formatCode>0.00</c:formatCode>
                <c:ptCount val="6"/>
                <c:pt idx="0">
                  <c:v>0.50062116082068298</c:v>
                </c:pt>
                <c:pt idx="1">
                  <c:v>0.45844116877964503</c:v>
                </c:pt>
                <c:pt idx="2">
                  <c:v>0.59962191048819502</c:v>
                </c:pt>
                <c:pt idx="3">
                  <c:v>0.50102440479696297</c:v>
                </c:pt>
                <c:pt idx="4">
                  <c:v>0.54209667428598696</c:v>
                </c:pt>
                <c:pt idx="5">
                  <c:v>0.54976224043242305</c:v>
                </c:pt>
              </c:numCache>
            </c:numRef>
          </c:yVal>
          <c:smooth val="0"/>
          <c:extLst>
            <c:ext xmlns:c16="http://schemas.microsoft.com/office/drawing/2014/chart" uri="{C3380CC4-5D6E-409C-BE32-E72D297353CC}">
              <c16:uniqueId val="{00000002-6FE0-41D8-A720-B916664A752E}"/>
            </c:ext>
          </c:extLst>
        </c:ser>
        <c:ser>
          <c:idx val="3"/>
          <c:order val="4"/>
          <c:spPr>
            <a:ln w="9525" cap="rnd">
              <a:solidFill>
                <a:schemeClr val="tx1"/>
              </a:solidFill>
              <a:prstDash val="dash"/>
              <a:round/>
            </a:ln>
            <a:effectLst/>
          </c:spPr>
          <c:marker>
            <c:symbol val="none"/>
          </c:marker>
          <c:xVal>
            <c:numLit>
              <c:formatCode>General</c:formatCode>
              <c:ptCount val="2"/>
              <c:pt idx="0">
                <c:v>0.25</c:v>
              </c:pt>
              <c:pt idx="1">
                <c:v>0.75</c:v>
              </c:pt>
            </c:numLit>
          </c:xVal>
          <c:yVal>
            <c:numLit>
              <c:formatCode>General</c:formatCode>
              <c:ptCount val="2"/>
              <c:pt idx="0">
                <c:v>0.25</c:v>
              </c:pt>
              <c:pt idx="1">
                <c:v>0.75</c:v>
              </c:pt>
            </c:numLit>
          </c:yVal>
          <c:smooth val="0"/>
          <c:extLst>
            <c:ext xmlns:c16="http://schemas.microsoft.com/office/drawing/2014/chart" uri="{C3380CC4-5D6E-409C-BE32-E72D297353CC}">
              <c16:uniqueId val="{00000005-C35E-4E6C-AC6E-9411AF36D777}"/>
            </c:ext>
          </c:extLst>
        </c:ser>
        <c:dLbls>
          <c:showLegendKey val="0"/>
          <c:showVal val="0"/>
          <c:showCatName val="0"/>
          <c:showSerName val="0"/>
          <c:showPercent val="0"/>
          <c:showBubbleSize val="0"/>
        </c:dLbls>
        <c:axId val="700662104"/>
        <c:axId val="700663416"/>
      </c:scatterChart>
      <c:valAx>
        <c:axId val="700662104"/>
        <c:scaling>
          <c:orientation val="minMax"/>
          <c:max val="0.75000000000000011"/>
          <c:min val="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beta_RTR,ag</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00663416"/>
        <c:crosses val="autoZero"/>
        <c:crossBetween val="midCat"/>
        <c:majorUnit val="0.1"/>
      </c:valAx>
      <c:valAx>
        <c:axId val="700663416"/>
        <c:scaling>
          <c:orientation val="minMax"/>
          <c:max val="0.75000000000000011"/>
          <c:min val="0.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beta_RTR,SaTa</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00662104"/>
        <c:crosses val="autoZero"/>
        <c:crossBetween val="midCat"/>
      </c:valAx>
      <c:spPr>
        <a:noFill/>
        <a:ln>
          <a:noFill/>
        </a:ln>
        <a:effectLst/>
      </c:spPr>
    </c:plotArea>
    <c:legend>
      <c:legendPos val="r"/>
      <c:legendEntry>
        <c:idx val="4"/>
        <c:delete val="1"/>
      </c:legendEntry>
      <c:layout>
        <c:manualLayout>
          <c:xMode val="edge"/>
          <c:yMode val="edge"/>
          <c:x val="0.79305753583300209"/>
          <c:y val="0.53685000946025252"/>
          <c:w val="8.8769095259153608E-2"/>
          <c:h val="0.2586700887120719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IO</c:v>
          </c:tx>
          <c:spPr>
            <a:ln w="19050" cap="rnd">
              <a:noFill/>
              <a:round/>
            </a:ln>
            <a:effectLst/>
          </c:spPr>
          <c:marker>
            <c:symbol val="square"/>
            <c:size val="8"/>
            <c:spPr>
              <a:solidFill>
                <a:schemeClr val="tx1"/>
              </a:solidFill>
              <a:ln w="9525">
                <a:solidFill>
                  <a:schemeClr val="tx1"/>
                </a:solidFill>
              </a:ln>
              <a:effectLst/>
            </c:spPr>
          </c:marker>
          <c:xVal>
            <c:numRef>
              <c:f>ConsqModel!$Q$37:$Q$42</c:f>
              <c:numCache>
                <c:formatCode>0.00</c:formatCode>
                <c:ptCount val="6"/>
                <c:pt idx="0">
                  <c:v>1</c:v>
                </c:pt>
                <c:pt idx="1">
                  <c:v>1.2314739772959993</c:v>
                </c:pt>
                <c:pt idx="2">
                  <c:v>1.2205391446376495</c:v>
                </c:pt>
                <c:pt idx="3">
                  <c:v>2.0689776431882825</c:v>
                </c:pt>
                <c:pt idx="4">
                  <c:v>1.3023728208225238</c:v>
                </c:pt>
                <c:pt idx="5">
                  <c:v>1.1300891944615676</c:v>
                </c:pt>
              </c:numCache>
            </c:numRef>
          </c:xVal>
          <c:yVal>
            <c:numRef>
              <c:f>ConsqModel!$R$37:$R$42</c:f>
              <c:numCache>
                <c:formatCode>0.00</c:formatCode>
                <c:ptCount val="6"/>
                <c:pt idx="0">
                  <c:v>1</c:v>
                </c:pt>
                <c:pt idx="1">
                  <c:v>0.56251290978491042</c:v>
                </c:pt>
                <c:pt idx="2">
                  <c:v>0.61874007039628842</c:v>
                </c:pt>
                <c:pt idx="3">
                  <c:v>1.103345938937135</c:v>
                </c:pt>
                <c:pt idx="4">
                  <c:v>0.87028534125657864</c:v>
                </c:pt>
                <c:pt idx="5">
                  <c:v>0.69050418444234496</c:v>
                </c:pt>
              </c:numCache>
            </c:numRef>
          </c:yVal>
          <c:smooth val="0"/>
          <c:extLst>
            <c:ext xmlns:c16="http://schemas.microsoft.com/office/drawing/2014/chart" uri="{C3380CC4-5D6E-409C-BE32-E72D297353CC}">
              <c16:uniqueId val="{00000000-7519-4AAB-920C-91EC6804716D}"/>
            </c:ext>
          </c:extLst>
        </c:ser>
        <c:ser>
          <c:idx val="1"/>
          <c:order val="1"/>
          <c:tx>
            <c:v>EAL</c:v>
          </c:tx>
          <c:spPr>
            <a:ln w="25400" cap="rnd">
              <a:noFill/>
              <a:round/>
            </a:ln>
            <a:effectLst/>
          </c:spPr>
          <c:marker>
            <c:symbol val="circle"/>
            <c:size val="7"/>
            <c:spPr>
              <a:noFill/>
              <a:ln w="9525">
                <a:solidFill>
                  <a:schemeClr val="tx1"/>
                </a:solidFill>
              </a:ln>
              <a:effectLst/>
            </c:spPr>
          </c:marker>
          <c:xVal>
            <c:numRef>
              <c:f>ConsqModel!$Q$37:$Q$42</c:f>
              <c:numCache>
                <c:formatCode>0.00</c:formatCode>
                <c:ptCount val="6"/>
                <c:pt idx="0">
                  <c:v>1</c:v>
                </c:pt>
                <c:pt idx="1">
                  <c:v>1.2314739772959993</c:v>
                </c:pt>
                <c:pt idx="2">
                  <c:v>1.2205391446376495</c:v>
                </c:pt>
                <c:pt idx="3">
                  <c:v>2.0689776431882825</c:v>
                </c:pt>
                <c:pt idx="4">
                  <c:v>1.3023728208225238</c:v>
                </c:pt>
                <c:pt idx="5">
                  <c:v>1.1300891944615676</c:v>
                </c:pt>
              </c:numCache>
            </c:numRef>
          </c:xVal>
          <c:yVal>
            <c:numRef>
              <c:f>ConsqModel!$P$37:$P$42</c:f>
              <c:numCache>
                <c:formatCode>0.00</c:formatCode>
                <c:ptCount val="6"/>
                <c:pt idx="0">
                  <c:v>1</c:v>
                </c:pt>
                <c:pt idx="1">
                  <c:v>0.77014641224732183</c:v>
                </c:pt>
                <c:pt idx="2">
                  <c:v>0.7294772022657926</c:v>
                </c:pt>
                <c:pt idx="3">
                  <c:v>1.3561191226142204</c:v>
                </c:pt>
                <c:pt idx="4">
                  <c:v>1.1892413154436881</c:v>
                </c:pt>
                <c:pt idx="5">
                  <c:v>0.78060959029968591</c:v>
                </c:pt>
              </c:numCache>
            </c:numRef>
          </c:yVal>
          <c:smooth val="0"/>
          <c:extLst>
            <c:ext xmlns:c16="http://schemas.microsoft.com/office/drawing/2014/chart" uri="{C3380CC4-5D6E-409C-BE32-E72D297353CC}">
              <c16:uniqueId val="{00000001-7519-4AAB-920C-91EC6804716D}"/>
            </c:ext>
          </c:extLst>
        </c:ser>
        <c:ser>
          <c:idx val="2"/>
          <c:order val="2"/>
          <c:spPr>
            <a:ln w="12700" cap="rnd">
              <a:solidFill>
                <a:schemeClr val="tx1"/>
              </a:solidFill>
              <a:prstDash val="dash"/>
              <a:round/>
            </a:ln>
            <a:effectLst/>
          </c:spPr>
          <c:marker>
            <c:symbol val="none"/>
          </c:marker>
          <c:xVal>
            <c:numLit>
              <c:formatCode>General</c:formatCode>
              <c:ptCount val="2"/>
              <c:pt idx="0">
                <c:v>0</c:v>
              </c:pt>
              <c:pt idx="1">
                <c:v>2</c:v>
              </c:pt>
            </c:numLit>
          </c:xVal>
          <c:yVal>
            <c:numLit>
              <c:formatCode>General</c:formatCode>
              <c:ptCount val="2"/>
              <c:pt idx="0">
                <c:v>0</c:v>
              </c:pt>
              <c:pt idx="1">
                <c:v>2</c:v>
              </c:pt>
            </c:numLit>
          </c:yVal>
          <c:smooth val="0"/>
          <c:extLst>
            <c:ext xmlns:c16="http://schemas.microsoft.com/office/drawing/2014/chart" uri="{C3380CC4-5D6E-409C-BE32-E72D297353CC}">
              <c16:uniqueId val="{00000002-7519-4AAB-920C-91EC6804716D}"/>
            </c:ext>
          </c:extLst>
        </c:ser>
        <c:dLbls>
          <c:showLegendKey val="0"/>
          <c:showVal val="0"/>
          <c:showCatName val="0"/>
          <c:showSerName val="0"/>
          <c:showPercent val="0"/>
          <c:showBubbleSize val="0"/>
        </c:dLbls>
        <c:axId val="495509384"/>
        <c:axId val="495509056"/>
      </c:scatterChart>
      <c:valAx>
        <c:axId val="495509384"/>
        <c:scaling>
          <c:orientation val="minMax"/>
          <c:max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Normalized</a:t>
                </a:r>
                <a:r>
                  <a:rPr lang="en-US" baseline="0"/>
                  <a:t> </a:t>
                </a:r>
                <a:r>
                  <a:rPr lang="el-GR" i="1" baseline="0"/>
                  <a:t>λ</a:t>
                </a:r>
                <a:r>
                  <a:rPr lang="en-US" i="1" baseline="-25000"/>
                  <a:t>collapse</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495509056"/>
        <c:crosses val="autoZero"/>
        <c:crossBetween val="midCat"/>
      </c:valAx>
      <c:valAx>
        <c:axId val="495509056"/>
        <c:scaling>
          <c:orientation val="minMax"/>
          <c:max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Normalized Objectives</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495509384"/>
        <c:crosses val="autoZero"/>
        <c:crossBetween val="midCat"/>
        <c:majorUnit val="0.5"/>
      </c:valAx>
      <c:spPr>
        <a:noFill/>
        <a:ln>
          <a:solidFill>
            <a:schemeClr val="tx1"/>
          </a:solid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0452669187276707E-2"/>
          <c:y val="0.17171296296296296"/>
          <c:w val="0.85425624660353572"/>
          <c:h val="0.72088764946048411"/>
        </c:manualLayout>
      </c:layout>
      <c:scatterChart>
        <c:scatterStyle val="lineMarker"/>
        <c:varyColors val="0"/>
        <c:ser>
          <c:idx val="1"/>
          <c:order val="0"/>
          <c:tx>
            <c:strRef>
              <c:f>'im_lb recomm'!$A$5</c:f>
              <c:strCache>
                <c:ptCount val="1"/>
                <c:pt idx="0">
                  <c:v>ag</c:v>
                </c:pt>
              </c:strCache>
            </c:strRef>
          </c:tx>
          <c:spPr>
            <a:ln w="19050" cap="rnd">
              <a:solidFill>
                <a:schemeClr val="tx1"/>
              </a:solidFill>
              <a:prstDash val="solid"/>
              <a:round/>
            </a:ln>
            <a:effectLst/>
          </c:spPr>
          <c:marker>
            <c:symbol val="circle"/>
            <c:size val="6"/>
            <c:spPr>
              <a:noFill/>
              <a:ln w="9525">
                <a:solidFill>
                  <a:schemeClr val="tx1"/>
                </a:solidFill>
              </a:ln>
              <a:effectLst/>
            </c:spPr>
          </c:marker>
          <c:xVal>
            <c:numRef>
              <c:f>'im_lb recomm'!$C$4:$F$4</c:f>
              <c:numCache>
                <c:formatCode>General</c:formatCode>
                <c:ptCount val="4"/>
                <c:pt idx="0">
                  <c:v>44</c:v>
                </c:pt>
                <c:pt idx="1">
                  <c:v>33</c:v>
                </c:pt>
                <c:pt idx="2">
                  <c:v>22</c:v>
                </c:pt>
                <c:pt idx="3">
                  <c:v>11</c:v>
                </c:pt>
              </c:numCache>
            </c:numRef>
          </c:xVal>
          <c:yVal>
            <c:numRef>
              <c:f>'im_lb recomm'!$K$25:$N$25</c:f>
              <c:numCache>
                <c:formatCode>0.00</c:formatCode>
                <c:ptCount val="4"/>
                <c:pt idx="0">
                  <c:v>1</c:v>
                </c:pt>
                <c:pt idx="1">
                  <c:v>0.88483611225603864</c:v>
                </c:pt>
                <c:pt idx="2">
                  <c:v>0.76363414769708493</c:v>
                </c:pt>
                <c:pt idx="3">
                  <c:v>0.60407209949486163</c:v>
                </c:pt>
              </c:numCache>
            </c:numRef>
          </c:yVal>
          <c:smooth val="0"/>
          <c:extLst>
            <c:ext xmlns:c16="http://schemas.microsoft.com/office/drawing/2014/chart" uri="{C3380CC4-5D6E-409C-BE32-E72D297353CC}">
              <c16:uniqueId val="{00000000-A516-4DF9-BCC2-F30635145997}"/>
            </c:ext>
          </c:extLst>
        </c:ser>
        <c:ser>
          <c:idx val="0"/>
          <c:order val="1"/>
          <c:tx>
            <c:strRef>
              <c:f>'im_lb recomm'!$A$27</c:f>
              <c:strCache>
                <c:ptCount val="1"/>
                <c:pt idx="0">
                  <c:v>Sa(Togm)</c:v>
                </c:pt>
              </c:strCache>
            </c:strRef>
          </c:tx>
          <c:spPr>
            <a:ln w="19050" cap="rnd">
              <a:solidFill>
                <a:schemeClr val="tx1"/>
              </a:solidFill>
              <a:prstDash val="dash"/>
              <a:round/>
            </a:ln>
            <a:effectLst/>
          </c:spPr>
          <c:marker>
            <c:symbol val="circle"/>
            <c:size val="6"/>
            <c:spPr>
              <a:solidFill>
                <a:schemeClr val="tx1"/>
              </a:solidFill>
              <a:ln w="9525">
                <a:solidFill>
                  <a:schemeClr val="tx1"/>
                </a:solidFill>
              </a:ln>
              <a:effectLst/>
            </c:spPr>
          </c:marker>
          <c:xVal>
            <c:numRef>
              <c:f>'im_lb recomm'!$C$4:$F$4</c:f>
              <c:numCache>
                <c:formatCode>General</c:formatCode>
                <c:ptCount val="4"/>
                <c:pt idx="0">
                  <c:v>44</c:v>
                </c:pt>
                <c:pt idx="1">
                  <c:v>33</c:v>
                </c:pt>
                <c:pt idx="2">
                  <c:v>22</c:v>
                </c:pt>
                <c:pt idx="3">
                  <c:v>11</c:v>
                </c:pt>
              </c:numCache>
            </c:numRef>
          </c:xVal>
          <c:yVal>
            <c:numRef>
              <c:f>'im_lb recomm'!$K$47:$N$47</c:f>
              <c:numCache>
                <c:formatCode>0.00</c:formatCode>
                <c:ptCount val="4"/>
                <c:pt idx="0">
                  <c:v>1</c:v>
                </c:pt>
                <c:pt idx="1">
                  <c:v>0.94582845200551757</c:v>
                </c:pt>
                <c:pt idx="2">
                  <c:v>0.87290379552649955</c:v>
                </c:pt>
                <c:pt idx="3">
                  <c:v>0.7495866842243083</c:v>
                </c:pt>
              </c:numCache>
            </c:numRef>
          </c:yVal>
          <c:smooth val="0"/>
          <c:extLst>
            <c:ext xmlns:c16="http://schemas.microsoft.com/office/drawing/2014/chart" uri="{C3380CC4-5D6E-409C-BE32-E72D297353CC}">
              <c16:uniqueId val="{00000001-A516-4DF9-BCC2-F30635145997}"/>
            </c:ext>
          </c:extLst>
        </c:ser>
        <c:dLbls>
          <c:showLegendKey val="0"/>
          <c:showVal val="0"/>
          <c:showCatName val="0"/>
          <c:showSerName val="0"/>
          <c:showPercent val="0"/>
          <c:showBubbleSize val="0"/>
        </c:dLbls>
        <c:axId val="679950728"/>
        <c:axId val="679950072"/>
      </c:scatterChart>
      <c:valAx>
        <c:axId val="679950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79950072"/>
        <c:crosses val="autoZero"/>
        <c:crossBetween val="midCat"/>
      </c:valAx>
      <c:valAx>
        <c:axId val="679950072"/>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79950728"/>
        <c:crosses val="autoZero"/>
        <c:crossBetween val="midCat"/>
        <c:majorUnit val="0.1"/>
      </c:valAx>
      <c:spPr>
        <a:noFill/>
        <a:ln>
          <a:noFill/>
        </a:ln>
        <a:effectLst/>
      </c:spPr>
    </c:plotArea>
    <c:legend>
      <c:legendPos val="r"/>
      <c:layout>
        <c:manualLayout>
          <c:xMode val="edge"/>
          <c:yMode val="edge"/>
          <c:x val="0.79363696278053353"/>
          <c:y val="0.48689741907261591"/>
          <c:w val="0.206363037219466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262217</xdr:colOff>
      <xdr:row>2</xdr:row>
      <xdr:rowOff>377637</xdr:rowOff>
    </xdr:from>
    <xdr:to>
      <xdr:col>28</xdr:col>
      <xdr:colOff>323850</xdr:colOff>
      <xdr:row>15</xdr:row>
      <xdr:rowOff>121023</xdr:rowOff>
    </xdr:to>
    <xdr:graphicFrame macro="">
      <xdr:nvGraphicFramePr>
        <xdr:cNvPr id="2" name="Chart 1">
          <a:extLst>
            <a:ext uri="{FF2B5EF4-FFF2-40B4-BE49-F238E27FC236}">
              <a16:creationId xmlns:a16="http://schemas.microsoft.com/office/drawing/2014/main" id="{2EB755D7-4154-4CF8-A12F-4306B5321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452437</xdr:colOff>
      <xdr:row>25</xdr:row>
      <xdr:rowOff>114300</xdr:rowOff>
    </xdr:from>
    <xdr:to>
      <xdr:col>23</xdr:col>
      <xdr:colOff>452437</xdr:colOff>
      <xdr:row>40</xdr:row>
      <xdr:rowOff>0</xdr:rowOff>
    </xdr:to>
    <xdr:graphicFrame macro="">
      <xdr:nvGraphicFramePr>
        <xdr:cNvPr id="2" name="Chart 1">
          <a:extLst>
            <a:ext uri="{FF2B5EF4-FFF2-40B4-BE49-F238E27FC236}">
              <a16:creationId xmlns:a16="http://schemas.microsoft.com/office/drawing/2014/main" id="{DC4EEE42-3747-47FE-B391-31E987BBD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702073</xdr:colOff>
      <xdr:row>15</xdr:row>
      <xdr:rowOff>33618</xdr:rowOff>
    </xdr:from>
    <xdr:to>
      <xdr:col>21</xdr:col>
      <xdr:colOff>840441</xdr:colOff>
      <xdr:row>31</xdr:row>
      <xdr:rowOff>173447</xdr:rowOff>
    </xdr:to>
    <xdr:graphicFrame macro="">
      <xdr:nvGraphicFramePr>
        <xdr:cNvPr id="4" name="Chart 3">
          <a:extLst>
            <a:ext uri="{FF2B5EF4-FFF2-40B4-BE49-F238E27FC236}">
              <a16:creationId xmlns:a16="http://schemas.microsoft.com/office/drawing/2014/main" id="{B114D678-D3E8-42C1-9444-9D6BFE4FF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319087</xdr:colOff>
      <xdr:row>42</xdr:row>
      <xdr:rowOff>66674</xdr:rowOff>
    </xdr:from>
    <xdr:to>
      <xdr:col>15</xdr:col>
      <xdr:colOff>681037</xdr:colOff>
      <xdr:row>59</xdr:row>
      <xdr:rowOff>104774</xdr:rowOff>
    </xdr:to>
    <xdr:graphicFrame macro="">
      <xdr:nvGraphicFramePr>
        <xdr:cNvPr id="2" name="Chart 1">
          <a:extLst>
            <a:ext uri="{FF2B5EF4-FFF2-40B4-BE49-F238E27FC236}">
              <a16:creationId xmlns:a16="http://schemas.microsoft.com/office/drawing/2014/main" id="{FFFFB8A7-E80C-4928-9D1C-6D4B7ED0A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4762</xdr:colOff>
      <xdr:row>4</xdr:row>
      <xdr:rowOff>200025</xdr:rowOff>
    </xdr:from>
    <xdr:to>
      <xdr:col>21</xdr:col>
      <xdr:colOff>461962</xdr:colOff>
      <xdr:row>18</xdr:row>
      <xdr:rowOff>85725</xdr:rowOff>
    </xdr:to>
    <xdr:graphicFrame macro="">
      <xdr:nvGraphicFramePr>
        <xdr:cNvPr id="2" name="Chart 1">
          <a:extLst>
            <a:ext uri="{FF2B5EF4-FFF2-40B4-BE49-F238E27FC236}">
              <a16:creationId xmlns:a16="http://schemas.microsoft.com/office/drawing/2014/main" id="{403DC70F-5A5D-42EB-94C9-40BC00848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20</xdr:col>
      <xdr:colOff>19050</xdr:colOff>
      <xdr:row>24</xdr:row>
      <xdr:rowOff>161925</xdr:rowOff>
    </xdr:from>
    <xdr:to>
      <xdr:col>27</xdr:col>
      <xdr:colOff>9525</xdr:colOff>
      <xdr:row>35</xdr:row>
      <xdr:rowOff>199723</xdr:rowOff>
    </xdr:to>
    <xdr:grpSp>
      <xdr:nvGrpSpPr>
        <xdr:cNvPr id="4" name="Group 3">
          <a:extLst>
            <a:ext uri="{FF2B5EF4-FFF2-40B4-BE49-F238E27FC236}">
              <a16:creationId xmlns:a16="http://schemas.microsoft.com/office/drawing/2014/main" id="{8985426C-8B2B-4417-845D-61D03750590C}"/>
            </a:ext>
          </a:extLst>
        </xdr:cNvPr>
        <xdr:cNvGrpSpPr/>
      </xdr:nvGrpSpPr>
      <xdr:grpSpPr>
        <a:xfrm>
          <a:off x="14811375" y="5924550"/>
          <a:ext cx="4219575" cy="2457148"/>
          <a:chOff x="11772900" y="533400"/>
          <a:chExt cx="4219575" cy="2457148"/>
        </a:xfrm>
      </xdr:grpSpPr>
      <xdr:pic>
        <xdr:nvPicPr>
          <xdr:cNvPr id="2" name="Picture 1">
            <a:extLst>
              <a:ext uri="{FF2B5EF4-FFF2-40B4-BE49-F238E27FC236}">
                <a16:creationId xmlns:a16="http://schemas.microsoft.com/office/drawing/2014/main" id="{C0793DCF-30EC-4421-B3B2-5E2101012A5F}"/>
              </a:ext>
            </a:extLst>
          </xdr:cNvPr>
          <xdr:cNvPicPr>
            <a:picLocks noChangeAspect="1"/>
          </xdr:cNvPicPr>
        </xdr:nvPicPr>
        <xdr:blipFill>
          <a:blip xmlns:r="http://schemas.openxmlformats.org/officeDocument/2006/relationships" r:embed="rId1"/>
          <a:stretch>
            <a:fillRect/>
          </a:stretch>
        </xdr:blipFill>
        <xdr:spPr>
          <a:xfrm>
            <a:off x="11782425" y="1019175"/>
            <a:ext cx="4210050" cy="1971373"/>
          </a:xfrm>
          <a:prstGeom prst="rect">
            <a:avLst/>
          </a:prstGeom>
          <a:ln>
            <a:solidFill>
              <a:schemeClr val="tx1"/>
            </a:solidFill>
          </a:ln>
        </xdr:spPr>
      </xdr:pic>
      <xdr:sp macro="" textlink="">
        <xdr:nvSpPr>
          <xdr:cNvPr id="3" name="TextBox 2">
            <a:extLst>
              <a:ext uri="{FF2B5EF4-FFF2-40B4-BE49-F238E27FC236}">
                <a16:creationId xmlns:a16="http://schemas.microsoft.com/office/drawing/2014/main" id="{3B8B3912-5501-4455-A6E6-FF01F01C9816}"/>
              </a:ext>
            </a:extLst>
          </xdr:cNvPr>
          <xdr:cNvSpPr txBox="1"/>
        </xdr:nvSpPr>
        <xdr:spPr>
          <a:xfrm>
            <a:off x="11772900" y="533400"/>
            <a:ext cx="3500438"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00FF"/>
                </a:solidFill>
              </a:rPr>
              <a:t>Silva et al (2020) Earthquake-induced loss assessment of steel buildings designed to Eurocode 8</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tabColor rgb="FFFFC000"/>
  </sheetPr>
  <dimension ref="A2:T28"/>
  <sheetViews>
    <sheetView tabSelected="1" zoomScale="115" zoomScaleNormal="115" workbookViewId="0">
      <selection activeCell="B3" sqref="B3:B6"/>
    </sheetView>
  </sheetViews>
  <sheetFormatPr defaultRowHeight="15.75" x14ac:dyDescent="0.25"/>
  <cols>
    <col min="1" max="1" width="14" style="13" customWidth="1"/>
    <col min="2" max="2" width="72.85546875" style="13" customWidth="1"/>
    <col min="3" max="3" width="9.140625" style="13"/>
    <col min="4" max="4" width="9" style="13" customWidth="1"/>
    <col min="5" max="5" width="71.140625" style="13" customWidth="1"/>
    <col min="6" max="7" width="9.140625" style="13"/>
    <col min="8" max="8" width="11.85546875" style="13" customWidth="1"/>
    <col min="9" max="16384" width="9.140625" style="13"/>
  </cols>
  <sheetData>
    <row r="2" spans="1:20" x14ac:dyDescent="0.25">
      <c r="E2" s="259"/>
      <c r="G2" s="265"/>
      <c r="H2" s="13" t="s">
        <v>293</v>
      </c>
    </row>
    <row r="3" spans="1:20" ht="31.5" x14ac:dyDescent="0.25">
      <c r="A3" s="260">
        <v>1</v>
      </c>
      <c r="B3" s="150" t="s">
        <v>97</v>
      </c>
      <c r="C3" s="53"/>
      <c r="D3" s="180">
        <v>1</v>
      </c>
      <c r="E3" s="151" t="s">
        <v>278</v>
      </c>
      <c r="F3" s="261"/>
      <c r="G3" s="263"/>
      <c r="H3" s="53" t="s">
        <v>294</v>
      </c>
      <c r="I3" s="53"/>
      <c r="J3" s="53"/>
      <c r="K3" s="53"/>
      <c r="L3" s="53"/>
      <c r="M3" s="53"/>
    </row>
    <row r="4" spans="1:20" ht="78.75" x14ac:dyDescent="0.25">
      <c r="A4" s="260">
        <v>2</v>
      </c>
      <c r="B4" s="150" t="s">
        <v>153</v>
      </c>
      <c r="C4" s="53"/>
      <c r="D4" s="180">
        <v>2</v>
      </c>
      <c r="E4" s="151" t="s">
        <v>277</v>
      </c>
      <c r="F4" s="150"/>
      <c r="G4" s="589"/>
      <c r="H4" s="53" t="s">
        <v>592</v>
      </c>
      <c r="I4" s="53"/>
      <c r="J4" s="53"/>
      <c r="K4" s="53"/>
    </row>
    <row r="5" spans="1:20" ht="31.5" x14ac:dyDescent="0.25">
      <c r="A5" s="260">
        <v>3</v>
      </c>
      <c r="B5" s="172" t="s">
        <v>123</v>
      </c>
      <c r="D5" s="180">
        <v>3</v>
      </c>
      <c r="E5" s="152" t="s">
        <v>154</v>
      </c>
      <c r="F5" s="172"/>
    </row>
    <row r="6" spans="1:20" ht="63" x14ac:dyDescent="0.25">
      <c r="A6" s="260">
        <v>4</v>
      </c>
      <c r="B6" s="172" t="s">
        <v>114</v>
      </c>
      <c r="C6" s="167"/>
      <c r="D6" s="180">
        <v>4</v>
      </c>
      <c r="E6" s="152" t="s">
        <v>156</v>
      </c>
      <c r="F6" s="172"/>
      <c r="G6" s="167"/>
      <c r="H6" s="167"/>
      <c r="I6" s="167"/>
      <c r="J6" s="167"/>
      <c r="K6" s="167"/>
      <c r="L6" s="167"/>
      <c r="M6" s="167"/>
      <c r="N6" s="167"/>
      <c r="O6" s="167"/>
      <c r="P6" s="167"/>
      <c r="Q6" s="167"/>
      <c r="R6" s="167"/>
      <c r="S6" s="167"/>
      <c r="T6" s="167"/>
    </row>
    <row r="7" spans="1:20" ht="47.25" x14ac:dyDescent="0.25">
      <c r="A7" s="260">
        <v>5</v>
      </c>
      <c r="B7" s="172" t="s">
        <v>145</v>
      </c>
      <c r="C7" s="167"/>
      <c r="D7" s="180">
        <v>5</v>
      </c>
      <c r="E7" s="152" t="s">
        <v>155</v>
      </c>
      <c r="F7" s="172"/>
      <c r="G7" s="167"/>
      <c r="H7" s="167"/>
      <c r="I7" s="167"/>
    </row>
    <row r="8" spans="1:20" ht="78.75" x14ac:dyDescent="0.25">
      <c r="A8" s="260">
        <v>6</v>
      </c>
      <c r="B8" s="172" t="s">
        <v>182</v>
      </c>
      <c r="C8" s="167"/>
      <c r="D8" s="180">
        <v>6</v>
      </c>
      <c r="E8" s="152" t="s">
        <v>161</v>
      </c>
      <c r="F8" s="172"/>
      <c r="G8" s="167"/>
      <c r="H8" s="167"/>
      <c r="I8" s="167"/>
    </row>
    <row r="9" spans="1:20" ht="105" x14ac:dyDescent="0.25">
      <c r="A9" s="260">
        <v>7</v>
      </c>
      <c r="B9" s="173" t="s">
        <v>291</v>
      </c>
      <c r="C9" s="167"/>
      <c r="D9" s="180">
        <v>7</v>
      </c>
      <c r="E9" s="152" t="s">
        <v>183</v>
      </c>
      <c r="F9" s="172"/>
      <c r="G9" s="167"/>
      <c r="H9" s="167"/>
    </row>
    <row r="10" spans="1:20" ht="31.5" x14ac:dyDescent="0.25">
      <c r="A10" s="260">
        <v>8</v>
      </c>
      <c r="B10" s="172" t="s">
        <v>292</v>
      </c>
      <c r="C10" s="167"/>
      <c r="D10" s="180"/>
      <c r="E10" s="152"/>
      <c r="F10" s="172"/>
      <c r="G10" s="167"/>
      <c r="H10" s="167"/>
    </row>
    <row r="11" spans="1:20" ht="31.5" x14ac:dyDescent="0.25">
      <c r="A11" s="260">
        <v>9</v>
      </c>
      <c r="B11" s="172" t="s">
        <v>132</v>
      </c>
      <c r="C11" s="262"/>
      <c r="D11" s="180"/>
      <c r="E11" s="152"/>
      <c r="F11" s="172"/>
      <c r="G11" s="262"/>
      <c r="H11" s="262"/>
      <c r="I11" s="262"/>
      <c r="J11" s="262"/>
      <c r="K11" s="262"/>
      <c r="L11" s="262"/>
    </row>
    <row r="12" spans="1:20" ht="31.5" x14ac:dyDescent="0.25">
      <c r="A12" s="260">
        <v>10</v>
      </c>
      <c r="B12" s="172" t="s">
        <v>262</v>
      </c>
      <c r="C12" s="167"/>
      <c r="D12" s="180"/>
      <c r="E12" s="152"/>
      <c r="F12" s="172"/>
      <c r="G12" s="167"/>
      <c r="H12" s="167"/>
      <c r="I12" s="167"/>
      <c r="J12" s="167"/>
      <c r="K12" s="167"/>
      <c r="L12" s="167"/>
      <c r="M12" s="167"/>
      <c r="N12" s="167"/>
      <c r="O12" s="167"/>
      <c r="P12" s="167"/>
    </row>
    <row r="13" spans="1:20" ht="31.5" x14ac:dyDescent="0.25">
      <c r="A13" s="260">
        <v>11</v>
      </c>
      <c r="B13" s="172" t="s">
        <v>268</v>
      </c>
      <c r="C13" s="167"/>
      <c r="F13" s="172"/>
      <c r="G13" s="167"/>
      <c r="H13" s="167"/>
    </row>
    <row r="14" spans="1:20" ht="31.5" x14ac:dyDescent="0.25">
      <c r="A14" s="260">
        <v>12</v>
      </c>
      <c r="B14" s="172" t="s">
        <v>269</v>
      </c>
      <c r="C14" s="167"/>
      <c r="D14" s="167"/>
      <c r="E14" s="153"/>
      <c r="F14" s="172"/>
      <c r="G14" s="167"/>
      <c r="H14" s="167"/>
      <c r="I14" s="167"/>
    </row>
    <row r="15" spans="1:20" ht="31.5" x14ac:dyDescent="0.25">
      <c r="A15" s="260">
        <v>13</v>
      </c>
      <c r="B15" s="172" t="s">
        <v>270</v>
      </c>
    </row>
    <row r="16" spans="1:20" ht="63" x14ac:dyDescent="0.25">
      <c r="A16" s="260">
        <v>14</v>
      </c>
      <c r="B16" s="172" t="s">
        <v>271</v>
      </c>
    </row>
    <row r="17" spans="1:5" ht="31.5" x14ac:dyDescent="0.25">
      <c r="A17" s="260">
        <v>15</v>
      </c>
      <c r="B17" s="172" t="s">
        <v>276</v>
      </c>
    </row>
    <row r="28" spans="1:5" x14ac:dyDescent="0.25">
      <c r="D28" s="167"/>
      <c r="E28" s="153"/>
    </row>
  </sheetData>
  <pageMargins left="0.7" right="0.7" top="0.75" bottom="0.75" header="0.3" footer="0.3"/>
  <pageSetup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FF00"/>
  </sheetPr>
  <dimension ref="A1:Y32"/>
  <sheetViews>
    <sheetView zoomScaleNormal="100" workbookViewId="0">
      <selection activeCell="A4" sqref="A4"/>
    </sheetView>
  </sheetViews>
  <sheetFormatPr defaultRowHeight="15.75" x14ac:dyDescent="0.25"/>
  <cols>
    <col min="1" max="1" width="7" style="13" customWidth="1"/>
    <col min="2" max="3" width="9.140625" style="13"/>
    <col min="4" max="4" width="10" style="13" customWidth="1"/>
    <col min="5" max="7" width="9.140625" style="13"/>
    <col min="8" max="8" width="2.85546875" style="13" customWidth="1"/>
    <col min="9" max="14" width="9.140625" style="13"/>
    <col min="15" max="15" width="11.42578125" style="13" customWidth="1"/>
    <col min="16" max="16384" width="9.140625" style="13"/>
  </cols>
  <sheetData>
    <row r="1" spans="1:22" x14ac:dyDescent="0.25">
      <c r="D1" s="34" t="s">
        <v>1</v>
      </c>
      <c r="E1" s="49">
        <f>(IF(D$1="III",0.16,IF(D$1="IV",0.24,IF(D$1="V",0.36)))/2)*(1/5)*MIN(2.5,1/C8)</f>
        <v>0.06</v>
      </c>
      <c r="F1" s="34" t="s">
        <v>2</v>
      </c>
      <c r="J1" s="274" t="s">
        <v>295</v>
      </c>
      <c r="K1" s="34"/>
      <c r="M1" s="34"/>
      <c r="N1" s="49"/>
    </row>
    <row r="2" spans="1:22" x14ac:dyDescent="0.25">
      <c r="A2" s="47" t="s">
        <v>290</v>
      </c>
    </row>
    <row r="3" spans="1:22" ht="46.5" customHeight="1" x14ac:dyDescent="0.25">
      <c r="A3" s="721" t="s">
        <v>634</v>
      </c>
      <c r="B3" s="721"/>
      <c r="C3" s="721"/>
      <c r="D3" s="721"/>
      <c r="E3" s="721"/>
      <c r="F3" s="721"/>
      <c r="G3" s="721"/>
      <c r="M3" s="53"/>
      <c r="N3" s="53"/>
      <c r="O3" s="53"/>
    </row>
    <row r="4" spans="1:22" x14ac:dyDescent="0.25">
      <c r="M4" s="160" t="s">
        <v>111</v>
      </c>
      <c r="N4" s="281">
        <v>2211</v>
      </c>
      <c r="O4" s="282">
        <v>2213</v>
      </c>
      <c r="P4" s="282">
        <v>2215</v>
      </c>
      <c r="Q4" s="282">
        <v>2219</v>
      </c>
      <c r="R4" s="282">
        <v>2221</v>
      </c>
      <c r="S4" s="282">
        <v>2223</v>
      </c>
    </row>
    <row r="5" spans="1:22" ht="34.5" x14ac:dyDescent="0.25">
      <c r="A5" s="55" t="s">
        <v>0</v>
      </c>
      <c r="B5" s="48" t="s">
        <v>85</v>
      </c>
      <c r="C5" s="6" t="s">
        <v>86</v>
      </c>
      <c r="D5" s="145" t="s">
        <v>98</v>
      </c>
      <c r="E5" s="145"/>
      <c r="F5" s="145" t="s">
        <v>99</v>
      </c>
      <c r="G5" s="145"/>
      <c r="M5" s="42" t="s">
        <v>298</v>
      </c>
      <c r="N5" s="42">
        <v>1.06</v>
      </c>
      <c r="O5" s="42">
        <v>1.72</v>
      </c>
      <c r="P5" s="42">
        <v>2.5499999999999998</v>
      </c>
      <c r="Q5" s="42">
        <v>0.96</v>
      </c>
      <c r="R5" s="42">
        <v>1.55</v>
      </c>
      <c r="S5" s="42">
        <v>2.39</v>
      </c>
    </row>
    <row r="6" spans="1:22" ht="31.5" x14ac:dyDescent="0.25">
      <c r="A6" s="3"/>
      <c r="B6" s="3"/>
      <c r="C6" s="3"/>
      <c r="D6" s="6" t="s">
        <v>169</v>
      </c>
      <c r="E6" s="6" t="s">
        <v>168</v>
      </c>
      <c r="F6" s="6" t="s">
        <v>169</v>
      </c>
      <c r="G6" s="6" t="s">
        <v>168</v>
      </c>
      <c r="H6" s="5"/>
      <c r="M6" s="277" t="s">
        <v>297</v>
      </c>
      <c r="N6" s="278">
        <v>2475</v>
      </c>
      <c r="O6" s="276"/>
      <c r="P6" s="276"/>
      <c r="Q6" s="276"/>
      <c r="R6" s="276"/>
      <c r="S6" s="276"/>
    </row>
    <row r="7" spans="1:22" s="3" customFormat="1" ht="21.95" customHeight="1" x14ac:dyDescent="0.25">
      <c r="A7" s="55">
        <v>1</v>
      </c>
      <c r="B7" s="55" t="s">
        <v>96</v>
      </c>
      <c r="C7" s="45">
        <v>0</v>
      </c>
      <c r="D7" s="79">
        <f>IF(D$1="III",0.16,IF(D$1="IV",0.24,IF(D$1="V",0.36)))/2</f>
        <v>0.12</v>
      </c>
      <c r="E7" s="79">
        <v>0.135280897067629</v>
      </c>
      <c r="F7" s="79">
        <f>IF(F$1="III",0.16,IF(F$1="IV",0.24,IF(F$1="V",0.36)))/2</f>
        <v>0.18</v>
      </c>
      <c r="G7" s="79">
        <v>0.239184690642122</v>
      </c>
      <c r="J7" s="45">
        <f>E7/D7</f>
        <v>1.1273408088969084</v>
      </c>
      <c r="K7" s="45">
        <f>G7/F7</f>
        <v>1.3288038369006778</v>
      </c>
      <c r="M7" s="280" t="s">
        <v>92</v>
      </c>
      <c r="N7" s="283">
        <v>0.22294071409313199</v>
      </c>
      <c r="O7" s="284">
        <v>0.18615054371447001</v>
      </c>
      <c r="P7" s="284">
        <v>0.16939871148218399</v>
      </c>
      <c r="Q7" s="284"/>
      <c r="R7" s="284"/>
      <c r="S7" s="285"/>
      <c r="T7" s="275" t="s">
        <v>296</v>
      </c>
      <c r="U7" s="13"/>
      <c r="V7" s="13"/>
    </row>
    <row r="8" spans="1:22" s="3" customFormat="1" ht="21.95" customHeight="1" x14ac:dyDescent="0.25">
      <c r="A8" s="42">
        <v>2</v>
      </c>
      <c r="B8" s="42">
        <v>2</v>
      </c>
      <c r="C8" s="44">
        <f>0.075*(4.5+(B8-1)*3.9)^0.75</f>
        <v>0.37005879296605043</v>
      </c>
      <c r="D8" s="51">
        <f>(IF(D$1="III",0.16,IF(D$1="IV",0.24,IF(D$1="V",0.36)))/2)*MIN(2.5,1/$C8)</f>
        <v>0.3</v>
      </c>
      <c r="E8" s="269">
        <v>0.22525026237050799</v>
      </c>
      <c r="F8" s="51">
        <f>(IF(F$1="III",0.16,IF(F$1="IV",0.24,IF(F$1="V",0.36)))/2)*MIN(2.5,1/$C8)</f>
        <v>0.44999999999999996</v>
      </c>
      <c r="G8" s="269">
        <v>0.36874918184495797</v>
      </c>
      <c r="J8" s="45">
        <f>E8/D8</f>
        <v>0.75083420790169331</v>
      </c>
      <c r="K8" s="45">
        <f>G8/F8</f>
        <v>0.81944262632212894</v>
      </c>
      <c r="M8" s="279" t="s">
        <v>93</v>
      </c>
      <c r="N8" s="286"/>
      <c r="O8" s="286"/>
      <c r="P8" s="286"/>
      <c r="Q8" s="286">
        <v>0.44156191325157101</v>
      </c>
      <c r="R8" s="286">
        <v>0.30295608383042899</v>
      </c>
      <c r="S8" s="287">
        <v>0.19386663173061799</v>
      </c>
      <c r="T8" s="275"/>
      <c r="U8" s="13"/>
      <c r="V8" s="13"/>
    </row>
    <row r="9" spans="1:22" s="3" customFormat="1" ht="21.95" customHeight="1" x14ac:dyDescent="0.25">
      <c r="A9" s="42">
        <v>3</v>
      </c>
      <c r="B9" s="42">
        <v>4</v>
      </c>
      <c r="C9" s="44">
        <f>0.075*(4.5+(B9-1)*3.9)^0.75</f>
        <v>0.60561625639459404</v>
      </c>
      <c r="D9" s="51">
        <f>(IF(D$1="III",0.16,IF(D$1="IV",0.24,IF(D$1="V",0.36)))/2)*MIN(2.5,1/$C9)</f>
        <v>0.19814527554856956</v>
      </c>
      <c r="E9" s="269">
        <v>0.15320110678736401</v>
      </c>
      <c r="F9" s="51">
        <f>(IF(F$1="III",0.16,IF(F$1="IV",0.24,IF(F$1="V",0.36)))/2)*MIN(2.5,1/$C9)</f>
        <v>0.29721791332285435</v>
      </c>
      <c r="G9" s="269">
        <v>0.25145635106100001</v>
      </c>
      <c r="J9" s="45">
        <f>E9/D9</f>
        <v>0.77317567306726531</v>
      </c>
      <c r="K9" s="45">
        <f>G9/F9</f>
        <v>0.84603363320115355</v>
      </c>
      <c r="M9" s="277" t="s">
        <v>297</v>
      </c>
      <c r="N9" s="278">
        <v>475</v>
      </c>
      <c r="O9" s="276"/>
      <c r="P9" s="276"/>
      <c r="Q9" s="276"/>
      <c r="R9" s="276"/>
      <c r="S9" s="276"/>
      <c r="T9" s="275"/>
      <c r="U9" s="13"/>
      <c r="V9" s="13"/>
    </row>
    <row r="10" spans="1:22" s="3" customFormat="1" ht="21.95" customHeight="1" x14ac:dyDescent="0.25">
      <c r="A10" s="14">
        <v>4</v>
      </c>
      <c r="B10" s="14">
        <v>7</v>
      </c>
      <c r="C10" s="46">
        <f>0.075*(4.5+(B10-1)*3.9)^0.75</f>
        <v>0.91046743289805976</v>
      </c>
      <c r="D10" s="52">
        <f>(IF(D$1="III",0.16,IF(D$1="IV",0.24,IF(D$1="V",0.36)))/2)*MIN(2.5,1/$C10)</f>
        <v>0.13180043092594149</v>
      </c>
      <c r="E10" s="270">
        <v>0.105708613025798</v>
      </c>
      <c r="F10" s="52">
        <f>(IF(F$1="III",0.16,IF(F$1="IV",0.24,IF(F$1="V",0.36)))/2)*MIN(2.5,1/$C10)</f>
        <v>0.19770064638891224</v>
      </c>
      <c r="G10" s="270">
        <v>0.18762923631545</v>
      </c>
      <c r="J10" s="45">
        <f>E10/D10</f>
        <v>0.8020354128067726</v>
      </c>
      <c r="K10" s="45">
        <f>G10/F10</f>
        <v>0.9490572729152843</v>
      </c>
      <c r="M10" s="280" t="s">
        <v>92</v>
      </c>
      <c r="N10" s="283">
        <v>9.0661451186038203E-2</v>
      </c>
      <c r="O10" s="284">
        <v>7.6309747163828795E-2</v>
      </c>
      <c r="P10" s="284">
        <v>7.06669308232835E-2</v>
      </c>
      <c r="Q10" s="284"/>
      <c r="R10" s="284"/>
      <c r="S10" s="285"/>
      <c r="T10" s="275"/>
      <c r="U10" s="13"/>
      <c r="V10" s="13"/>
    </row>
    <row r="11" spans="1:22" ht="18.75" x14ac:dyDescent="0.35">
      <c r="A11" s="13" t="s">
        <v>272</v>
      </c>
      <c r="B11" s="42"/>
      <c r="C11" s="44"/>
      <c r="D11" s="51"/>
      <c r="E11" s="44"/>
      <c r="F11" s="51"/>
      <c r="G11" s="44"/>
      <c r="H11" s="42"/>
      <c r="I11" s="51"/>
      <c r="J11" s="44"/>
      <c r="K11" s="44"/>
      <c r="M11" s="279" t="s">
        <v>93</v>
      </c>
      <c r="N11" s="286"/>
      <c r="O11" s="286"/>
      <c r="P11" s="286"/>
      <c r="Q11" s="286">
        <v>0.17865107017377099</v>
      </c>
      <c r="R11" s="286">
        <v>0.11148082762324001</v>
      </c>
      <c r="S11" s="287">
        <v>7.3967259468717905E-2</v>
      </c>
      <c r="T11" s="275"/>
    </row>
    <row r="12" spans="1:22" ht="18.75" x14ac:dyDescent="0.35">
      <c r="A12" s="13" t="s">
        <v>273</v>
      </c>
      <c r="M12" s="275"/>
      <c r="N12" s="276"/>
      <c r="O12" s="276"/>
      <c r="P12" s="276"/>
      <c r="Q12" s="276"/>
      <c r="R12" s="276"/>
      <c r="S12" s="276"/>
      <c r="T12" s="275"/>
    </row>
    <row r="13" spans="1:22" ht="16.5" customHeight="1" x14ac:dyDescent="0.25">
      <c r="A13" s="13" t="s">
        <v>274</v>
      </c>
      <c r="M13" s="10"/>
      <c r="N13" s="10"/>
      <c r="O13" s="10"/>
      <c r="P13" s="10"/>
      <c r="Q13" s="10"/>
      <c r="R13" s="10"/>
    </row>
    <row r="14" spans="1:22" x14ac:dyDescent="0.25">
      <c r="A14" s="13" t="s">
        <v>275</v>
      </c>
    </row>
    <row r="16" spans="1:22" ht="18.75" x14ac:dyDescent="0.35">
      <c r="A16" s="13" t="s">
        <v>88</v>
      </c>
    </row>
    <row r="17" spans="1:25" ht="15.75" customHeight="1" x14ac:dyDescent="0.35">
      <c r="A17" s="13" t="s">
        <v>89</v>
      </c>
    </row>
    <row r="18" spans="1:25" ht="18.75" x14ac:dyDescent="0.35">
      <c r="A18" s="13" t="s">
        <v>90</v>
      </c>
    </row>
    <row r="19" spans="1:25" x14ac:dyDescent="0.25">
      <c r="A19" s="23" t="s">
        <v>91</v>
      </c>
    </row>
    <row r="21" spans="1:25" x14ac:dyDescent="0.25">
      <c r="I21" s="13" t="s">
        <v>94</v>
      </c>
      <c r="J21" s="723">
        <v>225</v>
      </c>
      <c r="K21" s="724"/>
      <c r="L21" s="724"/>
      <c r="M21" s="725"/>
      <c r="N21" s="723">
        <v>475</v>
      </c>
      <c r="O21" s="724"/>
      <c r="P21" s="724"/>
      <c r="Q21" s="725"/>
      <c r="R21" s="723">
        <v>2475</v>
      </c>
      <c r="S21" s="724"/>
      <c r="T21" s="724"/>
      <c r="U21" s="725"/>
      <c r="W21" s="67" t="s">
        <v>44</v>
      </c>
      <c r="X21" s="266" t="s">
        <v>92</v>
      </c>
      <c r="Y21" s="66" t="s">
        <v>93</v>
      </c>
    </row>
    <row r="22" spans="1:25" x14ac:dyDescent="0.25">
      <c r="I22" s="13" t="s">
        <v>95</v>
      </c>
      <c r="J22" s="64">
        <v>0</v>
      </c>
      <c r="K22" s="36">
        <v>0.37</v>
      </c>
      <c r="L22" s="36">
        <v>0.61</v>
      </c>
      <c r="M22" s="65">
        <v>0.91</v>
      </c>
      <c r="N22" s="64">
        <f t="shared" ref="N22:U22" si="0">J22</f>
        <v>0</v>
      </c>
      <c r="O22" s="36">
        <f t="shared" si="0"/>
        <v>0.37</v>
      </c>
      <c r="P22" s="36">
        <f t="shared" si="0"/>
        <v>0.61</v>
      </c>
      <c r="Q22" s="65">
        <f t="shared" si="0"/>
        <v>0.91</v>
      </c>
      <c r="R22" s="64">
        <f t="shared" si="0"/>
        <v>0</v>
      </c>
      <c r="S22" s="36">
        <f t="shared" si="0"/>
        <v>0.37</v>
      </c>
      <c r="T22" s="36">
        <f t="shared" si="0"/>
        <v>0.61</v>
      </c>
      <c r="U22" s="65">
        <f t="shared" si="0"/>
        <v>0.91</v>
      </c>
      <c r="W22" s="267">
        <v>0</v>
      </c>
      <c r="X22" s="56">
        <v>0.135280897067629</v>
      </c>
      <c r="Y22" s="58">
        <v>0.239184690642122</v>
      </c>
    </row>
    <row r="23" spans="1:25" x14ac:dyDescent="0.25">
      <c r="I23" s="13" t="s">
        <v>92</v>
      </c>
      <c r="J23" s="56">
        <v>8.5190398378312104E-2</v>
      </c>
      <c r="K23" s="57">
        <v>0.14337226286309299</v>
      </c>
      <c r="L23" s="57">
        <v>0.10126806676972799</v>
      </c>
      <c r="M23" s="58">
        <v>6.8450207818106804E-2</v>
      </c>
      <c r="N23" s="70">
        <v>0.135280897067629</v>
      </c>
      <c r="O23" s="71">
        <v>0.22525026237050799</v>
      </c>
      <c r="P23" s="71">
        <v>0.15320110678736401</v>
      </c>
      <c r="Q23" s="72">
        <v>0.105708613025798</v>
      </c>
      <c r="R23" s="56">
        <v>0.332968628297861</v>
      </c>
      <c r="S23" s="57">
        <v>0.57411250562126304</v>
      </c>
      <c r="T23" s="57">
        <v>0.37995778931263402</v>
      </c>
      <c r="U23" s="58">
        <v>0.25678713147867099</v>
      </c>
      <c r="W23" s="268">
        <v>0.37</v>
      </c>
      <c r="X23" s="59">
        <v>0.22525026237050799</v>
      </c>
      <c r="Y23" s="60">
        <v>0.36874918184495797</v>
      </c>
    </row>
    <row r="24" spans="1:25" x14ac:dyDescent="0.25">
      <c r="I24" s="13" t="s">
        <v>93</v>
      </c>
      <c r="J24" s="61">
        <v>0.15318592592216901</v>
      </c>
      <c r="K24" s="62">
        <v>0.238545972885948</v>
      </c>
      <c r="L24" s="62">
        <v>0.16229291193690301</v>
      </c>
      <c r="M24" s="63">
        <v>0.11723899228638</v>
      </c>
      <c r="N24" s="271">
        <v>0.239184690642122</v>
      </c>
      <c r="O24" s="272">
        <v>0.36874918184495797</v>
      </c>
      <c r="P24" s="272">
        <v>0.25145635106100001</v>
      </c>
      <c r="Q24" s="273">
        <v>0.18762923631545</v>
      </c>
      <c r="R24" s="61">
        <v>0.52989336668586295</v>
      </c>
      <c r="S24" s="62">
        <v>0.84760062779825995</v>
      </c>
      <c r="T24" s="62">
        <v>0.59439745920395803</v>
      </c>
      <c r="U24" s="63">
        <v>0.46312476193972302</v>
      </c>
      <c r="W24" s="268">
        <v>0.61</v>
      </c>
      <c r="X24" s="59">
        <v>0.15320110678736401</v>
      </c>
      <c r="Y24" s="60">
        <v>0.25145635106100001</v>
      </c>
    </row>
    <row r="25" spans="1:25" x14ac:dyDescent="0.25">
      <c r="W25" s="64">
        <v>0.91</v>
      </c>
      <c r="X25" s="61">
        <v>0.105708613025798</v>
      </c>
      <c r="Y25" s="63">
        <v>0.18762923631545</v>
      </c>
    </row>
    <row r="28" spans="1:25" x14ac:dyDescent="0.25">
      <c r="H28" s="5"/>
      <c r="K28" s="68"/>
    </row>
    <row r="29" spans="1:25" x14ac:dyDescent="0.25">
      <c r="H29" s="42"/>
    </row>
    <row r="30" spans="1:25" x14ac:dyDescent="0.25">
      <c r="H30" s="42"/>
    </row>
    <row r="31" spans="1:25" x14ac:dyDescent="0.25">
      <c r="H31" s="42"/>
    </row>
    <row r="32" spans="1:25" x14ac:dyDescent="0.25">
      <c r="H32" s="42"/>
    </row>
  </sheetData>
  <mergeCells count="4">
    <mergeCell ref="A3:G3"/>
    <mergeCell ref="J21:M21"/>
    <mergeCell ref="N21:Q21"/>
    <mergeCell ref="R21:U2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FF00"/>
  </sheetPr>
  <dimension ref="A2:W20"/>
  <sheetViews>
    <sheetView zoomScaleNormal="100" workbookViewId="0">
      <selection activeCell="K16" sqref="K16"/>
    </sheetView>
  </sheetViews>
  <sheetFormatPr defaultRowHeight="15.75" x14ac:dyDescent="0.25"/>
  <cols>
    <col min="1" max="1" width="9.42578125" style="3" customWidth="1"/>
    <col min="2" max="3" width="9.140625" style="3"/>
    <col min="4" max="5" width="8.85546875" style="3" customWidth="1"/>
    <col min="6" max="8" width="9" style="3" customWidth="1"/>
    <col min="9" max="12" width="9.140625" style="3"/>
    <col min="13" max="13" width="9.42578125" style="3" customWidth="1"/>
    <col min="14" max="15" width="9.140625" style="3"/>
    <col min="16" max="17" width="8.85546875" style="3" customWidth="1"/>
    <col min="18" max="20" width="9" style="3" customWidth="1"/>
    <col min="21" max="16384" width="9.140625" style="3"/>
  </cols>
  <sheetData>
    <row r="2" spans="1:23" x14ac:dyDescent="0.25">
      <c r="A2" s="47" t="s">
        <v>289</v>
      </c>
    </row>
    <row r="3" spans="1:23" ht="33.75" customHeight="1" x14ac:dyDescent="0.25">
      <c r="A3" s="726" t="s">
        <v>105</v>
      </c>
      <c r="B3" s="726"/>
      <c r="C3" s="726"/>
      <c r="D3" s="726"/>
      <c r="E3" s="726"/>
      <c r="F3" s="726"/>
      <c r="G3" s="726"/>
      <c r="H3" s="726"/>
      <c r="I3" s="726"/>
      <c r="J3" s="726"/>
      <c r="K3" s="53"/>
      <c r="L3" s="53"/>
      <c r="M3" s="53"/>
      <c r="N3" s="53"/>
      <c r="O3" s="17"/>
      <c r="P3" s="77"/>
      <c r="Q3" s="77"/>
      <c r="R3" s="77"/>
      <c r="S3" s="77"/>
      <c r="T3" s="77"/>
      <c r="U3" s="77"/>
      <c r="V3" s="77"/>
      <c r="W3" s="77"/>
    </row>
    <row r="4" spans="1:23" x14ac:dyDescent="0.25">
      <c r="O4" s="17"/>
      <c r="P4" s="17"/>
      <c r="Q4" s="17"/>
    </row>
    <row r="5" spans="1:23" ht="34.5" x14ac:dyDescent="0.25">
      <c r="A5" s="6" t="s">
        <v>111</v>
      </c>
      <c r="B5" s="55" t="s">
        <v>102</v>
      </c>
      <c r="C5" s="48" t="s">
        <v>85</v>
      </c>
      <c r="D5" s="6" t="s">
        <v>86</v>
      </c>
      <c r="E5" s="6" t="s">
        <v>103</v>
      </c>
      <c r="F5" s="1" t="s">
        <v>170</v>
      </c>
      <c r="G5" s="1" t="s">
        <v>104</v>
      </c>
      <c r="H5" s="8" t="s">
        <v>50</v>
      </c>
      <c r="I5" s="42"/>
      <c r="J5" s="68"/>
      <c r="K5" s="5"/>
      <c r="L5" s="5"/>
      <c r="M5" s="2"/>
      <c r="N5" s="2"/>
      <c r="O5" s="68"/>
      <c r="P5" s="17"/>
      <c r="Q5" s="17"/>
      <c r="R5" s="17"/>
      <c r="S5" s="17"/>
    </row>
    <row r="6" spans="1:23" ht="21.95" customHeight="1" x14ac:dyDescent="0.25">
      <c r="A6" s="55">
        <v>2211</v>
      </c>
      <c r="B6" s="55" t="s">
        <v>1</v>
      </c>
      <c r="C6" s="55">
        <v>2</v>
      </c>
      <c r="D6" s="45">
        <v>0.37</v>
      </c>
      <c r="E6" s="45">
        <v>1.05599393839737</v>
      </c>
      <c r="F6" s="76">
        <v>6</v>
      </c>
      <c r="G6" s="76">
        <v>20.623522761121329</v>
      </c>
      <c r="H6" s="76">
        <v>3.4372537935202199</v>
      </c>
      <c r="I6" s="42"/>
      <c r="J6" s="42"/>
      <c r="K6" s="44"/>
      <c r="L6" s="44"/>
      <c r="M6"/>
      <c r="N6"/>
      <c r="O6"/>
      <c r="P6"/>
      <c r="Q6"/>
      <c r="R6"/>
      <c r="S6"/>
      <c r="T6"/>
      <c r="V6" s="20"/>
      <c r="W6" s="264"/>
    </row>
    <row r="7" spans="1:23" ht="21.95" customHeight="1" x14ac:dyDescent="0.25">
      <c r="A7" s="42">
        <v>2213</v>
      </c>
      <c r="B7" s="42" t="s">
        <v>1</v>
      </c>
      <c r="C7" s="42">
        <v>4</v>
      </c>
      <c r="D7" s="44">
        <v>0.61</v>
      </c>
      <c r="E7" s="44">
        <v>1.7219740687993099</v>
      </c>
      <c r="F7" s="74">
        <v>3.9629055109713915</v>
      </c>
      <c r="G7" s="74">
        <v>14.027746073974033</v>
      </c>
      <c r="H7" s="74">
        <v>3.5397629429058699</v>
      </c>
      <c r="I7" s="42"/>
      <c r="J7" s="42"/>
      <c r="K7" s="44"/>
      <c r="L7" s="44"/>
      <c r="M7"/>
      <c r="N7"/>
      <c r="O7"/>
      <c r="P7"/>
      <c r="Q7"/>
      <c r="R7"/>
      <c r="S7"/>
      <c r="T7"/>
      <c r="V7" s="20"/>
      <c r="W7" s="264"/>
    </row>
    <row r="8" spans="1:23" ht="21.95" customHeight="1" x14ac:dyDescent="0.25">
      <c r="A8" s="42">
        <v>2215</v>
      </c>
      <c r="B8" s="42" t="s">
        <v>1</v>
      </c>
      <c r="C8" s="42">
        <v>7</v>
      </c>
      <c r="D8" s="44">
        <f>0.075*(4.5+(C8-1)*3.9)^0.75</f>
        <v>0.91046743289805976</v>
      </c>
      <c r="E8" s="44">
        <v>2.5488963963729199</v>
      </c>
      <c r="F8" s="74">
        <v>2.6360086185188298</v>
      </c>
      <c r="G8" s="74">
        <v>8.8623678831854793</v>
      </c>
      <c r="H8" s="74">
        <v>3.36204055666754</v>
      </c>
      <c r="I8" s="42"/>
      <c r="J8" s="42"/>
      <c r="K8" s="44"/>
      <c r="L8" s="44"/>
      <c r="M8"/>
      <c r="N8"/>
      <c r="O8"/>
      <c r="P8"/>
      <c r="Q8"/>
      <c r="R8"/>
      <c r="S8"/>
      <c r="T8"/>
      <c r="V8" s="20"/>
      <c r="W8" s="264"/>
    </row>
    <row r="9" spans="1:23" ht="21.95" customHeight="1" x14ac:dyDescent="0.25">
      <c r="A9" s="55">
        <v>2219</v>
      </c>
      <c r="B9" s="55" t="s">
        <v>2</v>
      </c>
      <c r="C9" s="55">
        <v>2</v>
      </c>
      <c r="D9" s="45">
        <v>0.37</v>
      </c>
      <c r="E9" s="45">
        <v>0.95911008034855705</v>
      </c>
      <c r="F9" s="76">
        <v>9</v>
      </c>
      <c r="G9" s="76">
        <v>27.316708962826546</v>
      </c>
      <c r="H9" s="76">
        <v>3.0351898847585002</v>
      </c>
      <c r="I9" s="42"/>
      <c r="J9" s="42"/>
      <c r="K9" s="44"/>
      <c r="L9" s="44"/>
      <c r="M9"/>
      <c r="N9"/>
      <c r="O9"/>
      <c r="P9"/>
      <c r="Q9"/>
      <c r="R9"/>
      <c r="S9"/>
      <c r="T9"/>
      <c r="V9" s="20"/>
      <c r="W9" s="264"/>
    </row>
    <row r="10" spans="1:23" ht="21.95" customHeight="1" x14ac:dyDescent="0.25">
      <c r="A10" s="42">
        <v>2221</v>
      </c>
      <c r="B10" s="42" t="s">
        <v>2</v>
      </c>
      <c r="C10" s="42">
        <v>4</v>
      </c>
      <c r="D10" s="44">
        <v>0.61</v>
      </c>
      <c r="E10" s="44">
        <v>1.5476333532239701</v>
      </c>
      <c r="F10" s="74">
        <v>5.9443582664570869</v>
      </c>
      <c r="G10" s="74">
        <v>17.482240627138619</v>
      </c>
      <c r="H10" s="74">
        <v>2.9409803116658799</v>
      </c>
      <c r="I10" s="42"/>
      <c r="J10" s="42"/>
      <c r="K10" s="44"/>
      <c r="L10" s="44"/>
      <c r="M10" s="74"/>
      <c r="N10" s="74"/>
      <c r="O10" s="74"/>
      <c r="P10" s="17"/>
      <c r="Q10" s="17"/>
      <c r="R10" s="17"/>
      <c r="S10" s="17"/>
      <c r="V10" s="20"/>
      <c r="W10" s="264"/>
    </row>
    <row r="11" spans="1:23" ht="21.95" customHeight="1" x14ac:dyDescent="0.25">
      <c r="A11" s="14">
        <v>2223</v>
      </c>
      <c r="B11" s="14" t="s">
        <v>2</v>
      </c>
      <c r="C11" s="14">
        <v>7</v>
      </c>
      <c r="D11" s="46">
        <f>0.075*(4.5+(C11-1)*3.9)^0.75</f>
        <v>0.91046743289805976</v>
      </c>
      <c r="E11" s="46">
        <v>2.39268011066881</v>
      </c>
      <c r="F11" s="75">
        <v>3.9540129277782441</v>
      </c>
      <c r="G11" s="75">
        <v>10.958033963627466</v>
      </c>
      <c r="H11" s="75">
        <v>2.7713702923537999</v>
      </c>
      <c r="I11" s="42"/>
      <c r="J11" s="42"/>
      <c r="K11" s="44"/>
      <c r="L11" s="44"/>
      <c r="M11" s="74"/>
      <c r="N11" s="74"/>
      <c r="O11" s="74"/>
      <c r="P11" s="17"/>
      <c r="Q11" s="17"/>
      <c r="R11" s="17"/>
      <c r="S11" s="17"/>
      <c r="V11" s="20"/>
      <c r="W11" s="264"/>
    </row>
    <row r="12" spans="1:23" ht="21.95" customHeight="1" x14ac:dyDescent="0.25">
      <c r="A12" s="16" t="s">
        <v>106</v>
      </c>
      <c r="B12" s="42"/>
      <c r="C12" s="44"/>
      <c r="D12" s="44"/>
      <c r="E12" s="51"/>
      <c r="F12" s="44"/>
      <c r="G12" s="44"/>
      <c r="H12" s="17"/>
      <c r="I12" s="42"/>
      <c r="J12" s="42"/>
      <c r="K12" s="44"/>
      <c r="L12" s="44"/>
      <c r="M12" s="74"/>
      <c r="N12" s="74"/>
      <c r="O12" s="74"/>
      <c r="P12" s="17"/>
      <c r="Q12" s="17"/>
      <c r="R12" s="17"/>
      <c r="S12" s="17"/>
    </row>
    <row r="13" spans="1:23" ht="21.95" customHeight="1" x14ac:dyDescent="0.25">
      <c r="A13" s="16" t="s">
        <v>107</v>
      </c>
      <c r="I13" s="42"/>
      <c r="J13" s="42"/>
      <c r="K13" s="44"/>
      <c r="L13" s="44"/>
      <c r="M13" s="74"/>
      <c r="N13" s="74"/>
      <c r="O13" s="74"/>
      <c r="P13" s="17"/>
      <c r="Q13" s="17"/>
      <c r="R13" s="17"/>
      <c r="S13" s="17"/>
    </row>
    <row r="14" spans="1:23" ht="21.95" customHeight="1" x14ac:dyDescent="0.25">
      <c r="A14" s="16" t="s">
        <v>108</v>
      </c>
      <c r="I14" s="42"/>
      <c r="J14" s="42"/>
      <c r="K14" s="44"/>
      <c r="L14" s="44"/>
      <c r="M14" s="74"/>
      <c r="N14" s="74"/>
      <c r="O14" s="74"/>
      <c r="P14" s="17"/>
      <c r="Q14" s="17"/>
      <c r="R14" s="17"/>
      <c r="S14" s="17"/>
    </row>
    <row r="15" spans="1:23" ht="16.5" x14ac:dyDescent="0.25">
      <c r="A15" s="16" t="s">
        <v>171</v>
      </c>
      <c r="I15" s="17"/>
      <c r="J15" s="17"/>
      <c r="K15" s="17"/>
      <c r="L15" s="17"/>
      <c r="M15" s="17"/>
      <c r="N15" s="17"/>
      <c r="O15" s="17"/>
      <c r="P15" s="17"/>
      <c r="Q15" s="17"/>
      <c r="R15" s="17"/>
    </row>
    <row r="16" spans="1:23" ht="16.5" x14ac:dyDescent="0.25">
      <c r="A16" s="16" t="s">
        <v>109</v>
      </c>
      <c r="P16" s="17"/>
      <c r="Q16" s="17"/>
      <c r="R16" s="17"/>
    </row>
    <row r="17" spans="1:18" ht="16.5" x14ac:dyDescent="0.25">
      <c r="A17" s="78" t="s">
        <v>110</v>
      </c>
      <c r="P17" s="17"/>
      <c r="Q17" s="17"/>
      <c r="R17" s="17"/>
    </row>
    <row r="20" spans="1:18" x14ac:dyDescent="0.25">
      <c r="A20" s="16"/>
    </row>
  </sheetData>
  <mergeCells count="1">
    <mergeCell ref="A3: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B0F0"/>
  </sheetPr>
  <dimension ref="A1:AA31"/>
  <sheetViews>
    <sheetView workbookViewId="0"/>
  </sheetViews>
  <sheetFormatPr defaultRowHeight="15" x14ac:dyDescent="0.25"/>
  <cols>
    <col min="2" max="2" width="15.140625" customWidth="1"/>
    <col min="5" max="5" width="13.42578125" customWidth="1"/>
    <col min="17" max="17" width="13.7109375" customWidth="1"/>
  </cols>
  <sheetData>
    <row r="1" spans="1:27" x14ac:dyDescent="0.25">
      <c r="A1" t="s">
        <v>356</v>
      </c>
      <c r="B1" t="s">
        <v>358</v>
      </c>
    </row>
    <row r="4" spans="1:27" x14ac:dyDescent="0.25">
      <c r="E4" s="341" t="s">
        <v>355</v>
      </c>
    </row>
    <row r="5" spans="1:27" x14ac:dyDescent="0.25">
      <c r="E5" s="340" t="s">
        <v>354</v>
      </c>
    </row>
    <row r="6" spans="1:27" x14ac:dyDescent="0.25">
      <c r="E6" t="s">
        <v>352</v>
      </c>
      <c r="Q6" t="s">
        <v>353</v>
      </c>
    </row>
    <row r="8" spans="1:27" x14ac:dyDescent="0.25">
      <c r="E8" t="s">
        <v>334</v>
      </c>
      <c r="Q8" t="s">
        <v>334</v>
      </c>
    </row>
    <row r="9" spans="1:27" x14ac:dyDescent="0.25">
      <c r="E9" t="s">
        <v>335</v>
      </c>
      <c r="F9" t="s">
        <v>336</v>
      </c>
      <c r="G9" t="s">
        <v>337</v>
      </c>
      <c r="H9" s="342" t="s">
        <v>338</v>
      </c>
      <c r="I9" t="s">
        <v>339</v>
      </c>
      <c r="J9" t="s">
        <v>340</v>
      </c>
      <c r="K9" t="s">
        <v>341</v>
      </c>
      <c r="L9" t="s">
        <v>342</v>
      </c>
      <c r="M9" t="s">
        <v>343</v>
      </c>
      <c r="N9" t="s">
        <v>344</v>
      </c>
      <c r="O9" t="s">
        <v>345</v>
      </c>
      <c r="Q9" t="s">
        <v>335</v>
      </c>
      <c r="R9" t="s">
        <v>336</v>
      </c>
      <c r="S9" t="s">
        <v>337</v>
      </c>
      <c r="T9" s="342" t="s">
        <v>338</v>
      </c>
      <c r="U9" t="s">
        <v>339</v>
      </c>
      <c r="V9" t="s">
        <v>340</v>
      </c>
      <c r="W9" t="s">
        <v>341</v>
      </c>
      <c r="X9" t="s">
        <v>342</v>
      </c>
      <c r="Y9" t="s">
        <v>343</v>
      </c>
      <c r="Z9" t="s">
        <v>344</v>
      </c>
      <c r="AA9" t="s">
        <v>345</v>
      </c>
    </row>
    <row r="10" spans="1:27" x14ac:dyDescent="0.25">
      <c r="E10" t="s">
        <v>346</v>
      </c>
      <c r="F10">
        <v>810.1</v>
      </c>
      <c r="G10">
        <v>976.2</v>
      </c>
      <c r="H10" s="344">
        <v>7.6439999999999998E-3</v>
      </c>
      <c r="I10" s="339">
        <v>0.04</v>
      </c>
      <c r="J10">
        <v>0</v>
      </c>
      <c r="K10">
        <v>3.4953999999999999E-2</v>
      </c>
      <c r="L10">
        <v>0</v>
      </c>
      <c r="M10">
        <v>970.3</v>
      </c>
      <c r="N10">
        <v>4.57</v>
      </c>
      <c r="O10">
        <v>4.92</v>
      </c>
      <c r="Q10" t="s">
        <v>346</v>
      </c>
      <c r="R10">
        <v>829</v>
      </c>
      <c r="S10">
        <v>976.2</v>
      </c>
      <c r="T10" s="343">
        <v>9.2110000000000004E-3</v>
      </c>
      <c r="U10" s="339">
        <v>0.04</v>
      </c>
      <c r="V10">
        <v>4.5352000000000003E-2</v>
      </c>
      <c r="W10">
        <v>3.4953999999999999E-2</v>
      </c>
      <c r="X10">
        <v>1.7916999999999999E-2</v>
      </c>
      <c r="Y10">
        <v>970.3</v>
      </c>
      <c r="Z10">
        <v>3.79</v>
      </c>
      <c r="AA10">
        <v>4.92</v>
      </c>
    </row>
    <row r="11" spans="1:27" x14ac:dyDescent="0.25">
      <c r="E11" t="s">
        <v>347</v>
      </c>
      <c r="F11">
        <v>1138</v>
      </c>
      <c r="G11">
        <v>1323.9</v>
      </c>
      <c r="H11" s="344">
        <v>8.822E-3</v>
      </c>
      <c r="I11" s="339">
        <v>0.04</v>
      </c>
      <c r="J11">
        <v>0</v>
      </c>
      <c r="K11">
        <v>2.1912999999999998E-2</v>
      </c>
      <c r="L11">
        <v>0</v>
      </c>
      <c r="M11">
        <v>1310</v>
      </c>
      <c r="N11">
        <v>2.48</v>
      </c>
      <c r="O11">
        <v>2.6</v>
      </c>
      <c r="Q11" t="s">
        <v>347</v>
      </c>
      <c r="R11">
        <v>1121.5999999999999</v>
      </c>
      <c r="S11">
        <v>1323.9</v>
      </c>
      <c r="T11" s="343">
        <v>1.0208999999999999E-2</v>
      </c>
      <c r="U11" s="339">
        <v>0.04</v>
      </c>
      <c r="V11">
        <v>2.6563E-2</v>
      </c>
      <c r="W11">
        <v>2.1912999999999998E-2</v>
      </c>
      <c r="X11">
        <v>1.9751999999999999E-2</v>
      </c>
      <c r="Y11">
        <v>1310</v>
      </c>
      <c r="Z11">
        <v>2.15</v>
      </c>
      <c r="AA11">
        <v>2.6</v>
      </c>
    </row>
    <row r="12" spans="1:27" x14ac:dyDescent="0.25">
      <c r="E12" t="s">
        <v>348</v>
      </c>
      <c r="F12">
        <v>1259.5999999999999</v>
      </c>
      <c r="G12">
        <v>1489.4</v>
      </c>
      <c r="H12" s="344">
        <v>7.7250000000000001E-3</v>
      </c>
      <c r="I12" s="339">
        <v>0.04</v>
      </c>
      <c r="J12">
        <v>0</v>
      </c>
      <c r="K12">
        <v>2.6263999999999999E-2</v>
      </c>
      <c r="L12">
        <v>0</v>
      </c>
      <c r="M12">
        <v>1396.3</v>
      </c>
      <c r="N12">
        <v>3.4</v>
      </c>
      <c r="O12">
        <v>3.72</v>
      </c>
      <c r="Q12" t="s">
        <v>348</v>
      </c>
      <c r="R12">
        <v>1254.5999999999999</v>
      </c>
      <c r="S12">
        <v>1489.4</v>
      </c>
      <c r="T12" s="343">
        <v>9.1299999999999992E-3</v>
      </c>
      <c r="U12" s="339">
        <v>0.04</v>
      </c>
      <c r="V12">
        <v>3.3945000000000003E-2</v>
      </c>
      <c r="W12">
        <v>2.6263999999999999E-2</v>
      </c>
      <c r="X12">
        <v>1.6483999999999999E-2</v>
      </c>
      <c r="Y12">
        <v>1396.3</v>
      </c>
      <c r="Z12">
        <v>2.88</v>
      </c>
      <c r="AA12">
        <v>3.72</v>
      </c>
    </row>
    <row r="13" spans="1:27" x14ac:dyDescent="0.25">
      <c r="E13" t="s">
        <v>349</v>
      </c>
      <c r="F13">
        <v>1209.8</v>
      </c>
      <c r="G13">
        <v>1299.0999999999999</v>
      </c>
      <c r="H13" s="344">
        <v>9.4719999999999995E-3</v>
      </c>
      <c r="I13" s="339">
        <v>0.04</v>
      </c>
      <c r="J13">
        <v>0</v>
      </c>
      <c r="K13">
        <v>3.7045000000000002E-2</v>
      </c>
      <c r="L13">
        <v>0</v>
      </c>
      <c r="M13">
        <v>1297.4000000000001</v>
      </c>
      <c r="N13">
        <v>3.91</v>
      </c>
      <c r="O13">
        <v>5.55</v>
      </c>
      <c r="Q13" t="s">
        <v>349</v>
      </c>
      <c r="R13">
        <v>1079</v>
      </c>
      <c r="S13">
        <v>1299.0999999999999</v>
      </c>
      <c r="T13" s="343">
        <v>1.0170999999999999E-2</v>
      </c>
      <c r="U13" s="339">
        <v>0.04</v>
      </c>
      <c r="V13">
        <v>5.6410000000000002E-2</v>
      </c>
      <c r="W13">
        <v>3.7045000000000002E-2</v>
      </c>
      <c r="X13">
        <v>4.1794999999999999E-2</v>
      </c>
      <c r="Y13">
        <v>1297.4000000000001</v>
      </c>
      <c r="Z13">
        <v>3.64</v>
      </c>
      <c r="AA13">
        <v>5.55</v>
      </c>
    </row>
    <row r="14" spans="1:27" x14ac:dyDescent="0.25">
      <c r="E14" t="s">
        <v>350</v>
      </c>
      <c r="F14">
        <v>1521.7</v>
      </c>
      <c r="G14">
        <v>1685.2</v>
      </c>
      <c r="H14" s="344">
        <v>9.2709999999999997E-3</v>
      </c>
      <c r="I14" s="339">
        <v>0.04</v>
      </c>
      <c r="J14">
        <v>0</v>
      </c>
      <c r="K14">
        <v>2.1343000000000001E-2</v>
      </c>
      <c r="L14">
        <v>0</v>
      </c>
      <c r="M14">
        <v>1679.9</v>
      </c>
      <c r="N14">
        <v>2.2999999999999998</v>
      </c>
      <c r="O14">
        <v>2.66</v>
      </c>
      <c r="Q14" t="s">
        <v>350</v>
      </c>
      <c r="R14">
        <v>1487.4</v>
      </c>
      <c r="S14">
        <v>1685.2</v>
      </c>
      <c r="T14" s="343">
        <v>1.0266000000000001E-2</v>
      </c>
      <c r="U14" s="339">
        <v>0.04</v>
      </c>
      <c r="V14">
        <v>2.7321999999999999E-2</v>
      </c>
      <c r="W14">
        <v>2.1343000000000001E-2</v>
      </c>
      <c r="X14">
        <v>1.9283000000000002E-2</v>
      </c>
      <c r="Y14">
        <v>1679.9</v>
      </c>
      <c r="Z14">
        <v>2.08</v>
      </c>
      <c r="AA14">
        <v>2.66</v>
      </c>
    </row>
    <row r="15" spans="1:27" x14ac:dyDescent="0.25">
      <c r="E15" t="s">
        <v>351</v>
      </c>
      <c r="F15">
        <v>1757.9</v>
      </c>
      <c r="G15">
        <v>1870.7</v>
      </c>
      <c r="H15" s="344">
        <v>9.3369999999999998E-3</v>
      </c>
      <c r="I15" s="339">
        <v>0.04</v>
      </c>
      <c r="J15">
        <v>0</v>
      </c>
      <c r="K15">
        <v>2.7664000000000001E-2</v>
      </c>
      <c r="L15">
        <v>0</v>
      </c>
      <c r="M15">
        <v>1838.7</v>
      </c>
      <c r="N15">
        <v>2.96</v>
      </c>
      <c r="O15">
        <v>4.12</v>
      </c>
      <c r="Q15" t="s">
        <v>351</v>
      </c>
      <c r="R15">
        <v>1655.8</v>
      </c>
      <c r="S15">
        <v>1870.7</v>
      </c>
      <c r="T15" s="343">
        <v>9.9220000000000003E-3</v>
      </c>
      <c r="U15" s="339">
        <v>0.04</v>
      </c>
      <c r="V15">
        <v>4.0869000000000003E-2</v>
      </c>
      <c r="W15">
        <v>2.7664000000000001E-2</v>
      </c>
      <c r="X15">
        <v>2.2322999999999999E-2</v>
      </c>
      <c r="Y15">
        <v>1838.7</v>
      </c>
      <c r="Z15">
        <v>2.79</v>
      </c>
      <c r="AA15">
        <v>4.12</v>
      </c>
    </row>
    <row r="16" spans="1:27" x14ac:dyDescent="0.25">
      <c r="E16" t="s">
        <v>334</v>
      </c>
      <c r="H16" s="342"/>
      <c r="Q16" t="s">
        <v>334</v>
      </c>
      <c r="T16" s="342"/>
    </row>
    <row r="17" spans="2:27" x14ac:dyDescent="0.25">
      <c r="E17" t="s">
        <v>346</v>
      </c>
      <c r="F17">
        <v>810.1</v>
      </c>
      <c r="G17">
        <v>976.2</v>
      </c>
      <c r="H17" s="343">
        <v>7.6439999999999998E-3</v>
      </c>
      <c r="I17" s="339">
        <v>0.02</v>
      </c>
      <c r="J17">
        <v>0</v>
      </c>
      <c r="K17">
        <v>1.9963000000000002E-2</v>
      </c>
      <c r="L17">
        <v>0</v>
      </c>
      <c r="M17">
        <v>976.1</v>
      </c>
      <c r="N17">
        <v>2.61</v>
      </c>
      <c r="O17">
        <v>4.92</v>
      </c>
      <c r="Q17" t="s">
        <v>346</v>
      </c>
      <c r="R17">
        <v>829</v>
      </c>
      <c r="S17">
        <v>976.2</v>
      </c>
      <c r="T17" s="343">
        <v>9.2110000000000004E-3</v>
      </c>
      <c r="U17" s="339">
        <v>0.02</v>
      </c>
      <c r="V17">
        <v>4.5352000000000003E-2</v>
      </c>
      <c r="W17">
        <v>1.9963000000000002E-2</v>
      </c>
      <c r="X17">
        <v>1.7916999999999999E-2</v>
      </c>
      <c r="Y17">
        <v>976.1</v>
      </c>
      <c r="Z17">
        <v>2.17</v>
      </c>
      <c r="AA17">
        <v>4.92</v>
      </c>
    </row>
    <row r="18" spans="2:27" x14ac:dyDescent="0.25">
      <c r="E18" t="s">
        <v>347</v>
      </c>
      <c r="F18">
        <v>1138</v>
      </c>
      <c r="G18">
        <v>1323.9</v>
      </c>
      <c r="H18" s="343">
        <v>8.822E-3</v>
      </c>
      <c r="I18" s="339">
        <v>0.02</v>
      </c>
      <c r="J18">
        <v>0</v>
      </c>
      <c r="K18">
        <v>1.4763E-2</v>
      </c>
      <c r="L18">
        <v>0</v>
      </c>
      <c r="M18">
        <v>1284.9000000000001</v>
      </c>
      <c r="N18">
        <v>1.67</v>
      </c>
      <c r="O18">
        <v>2.6</v>
      </c>
      <c r="Q18" t="s">
        <v>347</v>
      </c>
      <c r="R18">
        <v>1121.5999999999999</v>
      </c>
      <c r="S18">
        <v>1323.9</v>
      </c>
      <c r="T18" s="343">
        <v>1.0208999999999999E-2</v>
      </c>
      <c r="U18" s="339">
        <v>0.02</v>
      </c>
      <c r="V18">
        <v>2.6563E-2</v>
      </c>
      <c r="W18">
        <v>1.4763E-2</v>
      </c>
      <c r="X18">
        <v>1.9751999999999999E-2</v>
      </c>
      <c r="Y18">
        <v>1284.9000000000001</v>
      </c>
      <c r="Z18">
        <v>1.45</v>
      </c>
      <c r="AA18">
        <v>2.6</v>
      </c>
    </row>
    <row r="19" spans="2:27" x14ac:dyDescent="0.25">
      <c r="E19" t="s">
        <v>348</v>
      </c>
      <c r="F19">
        <v>1259.5999999999999</v>
      </c>
      <c r="G19">
        <v>1489.4</v>
      </c>
      <c r="H19" s="343">
        <v>7.7250000000000001E-3</v>
      </c>
      <c r="I19" s="339">
        <v>0.02</v>
      </c>
      <c r="J19">
        <v>0</v>
      </c>
      <c r="K19">
        <v>1.4166E-2</v>
      </c>
      <c r="L19">
        <v>0</v>
      </c>
      <c r="M19">
        <v>1476.7</v>
      </c>
      <c r="N19">
        <v>1.83</v>
      </c>
      <c r="O19">
        <v>3.72</v>
      </c>
      <c r="Q19" t="s">
        <v>348</v>
      </c>
      <c r="R19">
        <v>1254.5999999999999</v>
      </c>
      <c r="S19">
        <v>1489.4</v>
      </c>
      <c r="T19" s="343">
        <v>9.1299999999999992E-3</v>
      </c>
      <c r="U19" s="339">
        <v>0.02</v>
      </c>
      <c r="V19">
        <v>3.3945000000000003E-2</v>
      </c>
      <c r="W19">
        <v>1.4166E-2</v>
      </c>
      <c r="X19">
        <v>1.6483999999999999E-2</v>
      </c>
      <c r="Y19">
        <v>1476.7</v>
      </c>
      <c r="Z19">
        <v>1.55</v>
      </c>
      <c r="AA19">
        <v>3.72</v>
      </c>
    </row>
    <row r="20" spans="2:27" x14ac:dyDescent="0.25">
      <c r="E20" t="s">
        <v>349</v>
      </c>
      <c r="F20">
        <v>1209.8</v>
      </c>
      <c r="G20">
        <v>1299.0999999999999</v>
      </c>
      <c r="H20" s="343">
        <v>9.4719999999999995E-3</v>
      </c>
      <c r="I20" s="339">
        <v>0.02</v>
      </c>
      <c r="J20">
        <v>0</v>
      </c>
      <c r="K20">
        <v>1.6622000000000001E-2</v>
      </c>
      <c r="L20">
        <v>0</v>
      </c>
      <c r="M20">
        <v>1233.3</v>
      </c>
      <c r="N20">
        <v>1.75</v>
      </c>
      <c r="O20">
        <v>5.55</v>
      </c>
      <c r="Q20" t="s">
        <v>349</v>
      </c>
      <c r="R20">
        <v>1079</v>
      </c>
      <c r="S20">
        <v>1299.0999999999999</v>
      </c>
      <c r="T20" s="343">
        <v>1.0170999999999999E-2</v>
      </c>
      <c r="U20" s="339">
        <v>0.02</v>
      </c>
      <c r="V20">
        <v>5.6410000000000002E-2</v>
      </c>
      <c r="W20">
        <v>1.6622000000000001E-2</v>
      </c>
      <c r="X20">
        <v>4.1794999999999999E-2</v>
      </c>
      <c r="Y20">
        <v>1233.3</v>
      </c>
      <c r="Z20">
        <v>1.63</v>
      </c>
      <c r="AA20">
        <v>5.55</v>
      </c>
    </row>
    <row r="21" spans="2:27" x14ac:dyDescent="0.25">
      <c r="E21" t="s">
        <v>350</v>
      </c>
      <c r="F21">
        <v>1521.7</v>
      </c>
      <c r="G21">
        <v>1685.2</v>
      </c>
      <c r="H21" s="343">
        <v>9.2709999999999997E-3</v>
      </c>
      <c r="I21" s="339">
        <v>0.02</v>
      </c>
      <c r="J21">
        <v>0</v>
      </c>
      <c r="K21">
        <v>1.4322E-2</v>
      </c>
      <c r="L21">
        <v>0</v>
      </c>
      <c r="M21">
        <v>1645.1</v>
      </c>
      <c r="N21">
        <v>1.54</v>
      </c>
      <c r="O21">
        <v>2.66</v>
      </c>
      <c r="Q21" t="s">
        <v>350</v>
      </c>
      <c r="R21">
        <v>1487.4</v>
      </c>
      <c r="S21">
        <v>1685.2</v>
      </c>
      <c r="T21" s="343">
        <v>1.0266000000000001E-2</v>
      </c>
      <c r="U21" s="339">
        <v>0.02</v>
      </c>
      <c r="V21">
        <v>2.7321999999999999E-2</v>
      </c>
      <c r="W21">
        <v>1.4322E-2</v>
      </c>
      <c r="X21">
        <v>1.9283000000000002E-2</v>
      </c>
      <c r="Y21">
        <v>1645.1</v>
      </c>
      <c r="Z21">
        <v>1.4</v>
      </c>
      <c r="AA21">
        <v>2.66</v>
      </c>
    </row>
    <row r="22" spans="2:27" x14ac:dyDescent="0.25">
      <c r="E22" t="s">
        <v>351</v>
      </c>
      <c r="F22">
        <v>1757.9</v>
      </c>
      <c r="G22">
        <v>1870.7</v>
      </c>
      <c r="H22" s="343">
        <v>9.3369999999999998E-3</v>
      </c>
      <c r="I22" s="339">
        <v>0.02</v>
      </c>
      <c r="J22">
        <v>0</v>
      </c>
      <c r="K22">
        <v>1.4508999999999999E-2</v>
      </c>
      <c r="L22">
        <v>0</v>
      </c>
      <c r="M22">
        <v>1844.4</v>
      </c>
      <c r="N22">
        <v>1.55</v>
      </c>
      <c r="O22">
        <v>4.12</v>
      </c>
      <c r="Q22" t="s">
        <v>351</v>
      </c>
      <c r="R22">
        <v>1655.8</v>
      </c>
      <c r="S22">
        <v>1870.7</v>
      </c>
      <c r="T22" s="343">
        <v>9.9220000000000003E-3</v>
      </c>
      <c r="U22" s="339">
        <v>0.02</v>
      </c>
      <c r="V22">
        <v>4.0869000000000003E-2</v>
      </c>
      <c r="W22">
        <v>1.4508999999999999E-2</v>
      </c>
      <c r="X22">
        <v>2.2322999999999999E-2</v>
      </c>
      <c r="Y22">
        <v>1844.4</v>
      </c>
      <c r="Z22">
        <v>1.46</v>
      </c>
      <c r="AA22">
        <v>4.12</v>
      </c>
    </row>
    <row r="23" spans="2:27" x14ac:dyDescent="0.25">
      <c r="T23" s="342"/>
      <c r="U23" s="339"/>
    </row>
    <row r="24" spans="2:27" x14ac:dyDescent="0.25">
      <c r="D24" t="s">
        <v>370</v>
      </c>
      <c r="F24" t="s">
        <v>379</v>
      </c>
    </row>
    <row r="25" spans="2:27" ht="15.75" x14ac:dyDescent="0.25">
      <c r="B25" s="211" t="s">
        <v>335</v>
      </c>
      <c r="C25" s="386" t="s">
        <v>338</v>
      </c>
      <c r="D25" s="383" t="s">
        <v>385</v>
      </c>
      <c r="E25" s="384" t="s">
        <v>384</v>
      </c>
      <c r="F25" s="383" t="s">
        <v>385</v>
      </c>
      <c r="G25" s="385" t="s">
        <v>384</v>
      </c>
    </row>
    <row r="26" spans="2:27" ht="15.75" x14ac:dyDescent="0.25">
      <c r="B26" s="387" t="s">
        <v>314</v>
      </c>
      <c r="C26" s="388">
        <v>7.6439367175954896E-3</v>
      </c>
      <c r="D26" s="378">
        <v>0.38330260145158501</v>
      </c>
      <c r="E26" s="376">
        <v>0.565321993093993</v>
      </c>
      <c r="F26" s="378">
        <v>0.305125890662791</v>
      </c>
      <c r="G26" s="379">
        <v>0.50062116082068298</v>
      </c>
    </row>
    <row r="27" spans="2:27" ht="15.75" x14ac:dyDescent="0.25">
      <c r="B27" s="387" t="s">
        <v>316</v>
      </c>
      <c r="C27" s="388">
        <v>8.8224287490096497E-3</v>
      </c>
      <c r="D27" s="378">
        <v>0.33871499106172598</v>
      </c>
      <c r="E27" s="376">
        <v>0.47458744135707398</v>
      </c>
      <c r="F27" s="378">
        <v>0.28380346137517998</v>
      </c>
      <c r="G27" s="379">
        <v>0.45844116877964503</v>
      </c>
    </row>
    <row r="28" spans="2:27" ht="15.75" x14ac:dyDescent="0.25">
      <c r="B28" s="387" t="s">
        <v>318</v>
      </c>
      <c r="C28" s="388">
        <v>7.7252424647698903E-3</v>
      </c>
      <c r="D28" s="378">
        <v>0.24773145734160301</v>
      </c>
      <c r="E28" s="376">
        <v>0.61559385649354204</v>
      </c>
      <c r="F28" s="378">
        <v>0.20162887645095001</v>
      </c>
      <c r="G28" s="379">
        <v>0.59962191048819502</v>
      </c>
      <c r="X28">
        <v>0</v>
      </c>
      <c r="Y28">
        <v>1.2E-2</v>
      </c>
    </row>
    <row r="29" spans="2:27" ht="15.75" x14ac:dyDescent="0.25">
      <c r="B29" s="387" t="s">
        <v>320</v>
      </c>
      <c r="C29" s="388">
        <v>9.4716800521674402E-3</v>
      </c>
      <c r="D29" s="378">
        <v>0.60153965269550103</v>
      </c>
      <c r="E29" s="376">
        <v>0.58780574842314803</v>
      </c>
      <c r="F29" s="378">
        <v>0.48513557362253301</v>
      </c>
      <c r="G29" s="379">
        <v>0.50102440479696297</v>
      </c>
      <c r="X29">
        <v>0</v>
      </c>
      <c r="Y29">
        <v>1.2E-2</v>
      </c>
    </row>
    <row r="30" spans="2:27" ht="15.75" x14ac:dyDescent="0.25">
      <c r="B30" s="387" t="s">
        <v>322</v>
      </c>
      <c r="C30" s="388">
        <v>9.2707076319957504E-3</v>
      </c>
      <c r="D30" s="378">
        <v>0.48625665508802202</v>
      </c>
      <c r="E30" s="376">
        <v>0.64162911786089505</v>
      </c>
      <c r="F30" s="378">
        <v>0.38222350320627702</v>
      </c>
      <c r="G30" s="379">
        <v>0.54209667428598696</v>
      </c>
    </row>
    <row r="31" spans="2:27" ht="15.75" x14ac:dyDescent="0.25">
      <c r="B31" s="389" t="s">
        <v>324</v>
      </c>
      <c r="C31" s="390">
        <v>9.3368281438262098E-3</v>
      </c>
      <c r="D31" s="380">
        <v>0.41219684283024699</v>
      </c>
      <c r="E31" s="381">
        <v>0.57400969245674105</v>
      </c>
      <c r="F31" s="380">
        <v>0.33481713841606903</v>
      </c>
      <c r="G31" s="382">
        <v>0.54976224043242305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rgb="FF00B0F0"/>
  </sheetPr>
  <dimension ref="A1:AI106"/>
  <sheetViews>
    <sheetView zoomScaleNormal="100" workbookViewId="0">
      <pane ySplit="6" topLeftCell="A7" activePane="bottomLeft" state="frozen"/>
      <selection activeCell="A3" sqref="A3:F3"/>
      <selection pane="bottomLeft" activeCell="A7" sqref="A7:A8"/>
    </sheetView>
  </sheetViews>
  <sheetFormatPr defaultRowHeight="15" x14ac:dyDescent="0.25"/>
  <cols>
    <col min="1" max="3" width="9.140625" style="16"/>
    <col min="4" max="4" width="6" style="16" customWidth="1"/>
    <col min="5" max="5" width="5.7109375" style="16" bestFit="1" customWidth="1"/>
    <col min="6" max="6" width="5.85546875" style="16" customWidth="1"/>
    <col min="7" max="7" width="9.140625" style="16"/>
    <col min="8" max="8" width="9.28515625" style="16" bestFit="1" customWidth="1"/>
    <col min="9" max="9" width="10" style="16" bestFit="1" customWidth="1"/>
    <col min="10" max="10" width="6.85546875" style="16" bestFit="1" customWidth="1"/>
    <col min="11" max="11" width="8.7109375" style="16" bestFit="1" customWidth="1"/>
    <col min="12" max="12" width="9.28515625" style="16" bestFit="1" customWidth="1"/>
    <col min="13" max="13" width="7.7109375" style="16" bestFit="1" customWidth="1"/>
    <col min="14" max="14" width="11.140625" style="16" bestFit="1" customWidth="1"/>
    <col min="15" max="15" width="6.140625" style="16" bestFit="1" customWidth="1"/>
    <col min="16" max="23" width="9.140625" style="16"/>
    <col min="24" max="24" width="9.85546875" style="16" bestFit="1" customWidth="1"/>
    <col min="25" max="26" width="9.140625" style="16"/>
    <col min="27" max="27" width="10.85546875" style="16" customWidth="1"/>
    <col min="28" max="28" width="14.85546875" style="16" bestFit="1" customWidth="1"/>
    <col min="29" max="32" width="9.140625" style="16"/>
    <col min="33" max="33" width="9.5703125" style="16" customWidth="1"/>
    <col min="34" max="34" width="9.140625" style="16" customWidth="1"/>
    <col min="35" max="16384" width="9.140625" style="16"/>
  </cols>
  <sheetData>
    <row r="1" spans="1:35" ht="15.75" thickBot="1" x14ac:dyDescent="0.3">
      <c r="F1" s="80" t="s">
        <v>21</v>
      </c>
      <c r="T1" s="733" t="s">
        <v>33</v>
      </c>
      <c r="U1" s="733"/>
      <c r="V1" s="733"/>
      <c r="W1" s="733"/>
      <c r="Z1" s="733" t="s">
        <v>17</v>
      </c>
      <c r="AA1" s="733"/>
      <c r="AB1" s="733"/>
      <c r="AC1" s="733"/>
      <c r="AD1" s="733"/>
    </row>
    <row r="2" spans="1:35" ht="15" customHeight="1" x14ac:dyDescent="0.25">
      <c r="C2" s="81"/>
      <c r="D2" s="82"/>
      <c r="E2" s="82"/>
      <c r="F2" s="82"/>
      <c r="G2" s="82"/>
      <c r="H2" s="82"/>
      <c r="I2" s="82"/>
      <c r="J2" s="82"/>
      <c r="K2" s="82"/>
      <c r="L2" s="82"/>
      <c r="M2" s="82"/>
      <c r="N2" s="82"/>
      <c r="O2" s="82"/>
      <c r="P2" s="83"/>
      <c r="T2" s="733"/>
      <c r="U2" s="733"/>
      <c r="V2" s="733"/>
      <c r="W2" s="733"/>
      <c r="Z2" s="733"/>
      <c r="AA2" s="733"/>
      <c r="AB2" s="733"/>
      <c r="AC2" s="733"/>
      <c r="AD2" s="733"/>
    </row>
    <row r="3" spans="1:35" ht="15.75" x14ac:dyDescent="0.25">
      <c r="C3" s="84"/>
      <c r="D3" s="47" t="s">
        <v>412</v>
      </c>
      <c r="E3" s="3"/>
      <c r="F3" s="3"/>
      <c r="G3" s="3"/>
      <c r="H3" s="3"/>
      <c r="I3" s="3"/>
      <c r="J3" s="3"/>
      <c r="K3" s="3"/>
      <c r="L3" s="3"/>
      <c r="M3" s="3"/>
      <c r="N3" s="3"/>
      <c r="O3" s="3"/>
      <c r="P3" s="85"/>
      <c r="T3" s="733"/>
      <c r="U3" s="733"/>
      <c r="V3" s="733"/>
      <c r="W3" s="733"/>
      <c r="Z3" s="733"/>
      <c r="AA3" s="733"/>
      <c r="AB3" s="733"/>
      <c r="AC3" s="733"/>
      <c r="AD3" s="733"/>
    </row>
    <row r="4" spans="1:35" ht="16.5" thickBot="1" x14ac:dyDescent="0.3">
      <c r="C4" s="84"/>
      <c r="D4" s="23" t="s">
        <v>123</v>
      </c>
      <c r="E4" s="23"/>
      <c r="F4" s="3"/>
      <c r="G4" s="3"/>
      <c r="H4" s="3"/>
      <c r="I4" s="3"/>
      <c r="J4" s="3"/>
      <c r="K4" s="3"/>
      <c r="L4" s="3"/>
      <c r="M4" s="3"/>
      <c r="N4" s="3"/>
      <c r="O4" s="3"/>
      <c r="P4" s="85"/>
      <c r="T4" s="733"/>
      <c r="U4" s="733"/>
      <c r="V4" s="733"/>
      <c r="W4" s="733"/>
      <c r="X4" s="86"/>
      <c r="Z4" s="733"/>
      <c r="AA4" s="733"/>
      <c r="AB4" s="733"/>
      <c r="AC4" s="733"/>
      <c r="AD4" s="733"/>
      <c r="AG4" s="87" t="s">
        <v>29</v>
      </c>
      <c r="AH4" s="16">
        <v>4500</v>
      </c>
    </row>
    <row r="5" spans="1:35" ht="21" thickTop="1" x14ac:dyDescent="0.25">
      <c r="C5" s="84"/>
      <c r="D5" s="3"/>
      <c r="E5" s="3"/>
      <c r="F5" s="3"/>
      <c r="G5" s="3"/>
      <c r="H5" s="3"/>
      <c r="I5" s="3"/>
      <c r="J5" s="3"/>
      <c r="K5" s="3"/>
      <c r="L5" s="3"/>
      <c r="M5" s="3"/>
      <c r="N5" s="3"/>
      <c r="O5" s="3"/>
      <c r="P5" s="85"/>
      <c r="S5" s="727" t="s">
        <v>42</v>
      </c>
      <c r="T5" s="728"/>
      <c r="U5" s="728"/>
      <c r="V5" s="728"/>
      <c r="W5" s="728"/>
      <c r="X5" s="728"/>
      <c r="Y5" s="728"/>
      <c r="Z5" s="728"/>
      <c r="AA5" s="728"/>
      <c r="AB5" s="728"/>
      <c r="AC5" s="728"/>
      <c r="AD5" s="728"/>
      <c r="AE5" s="728"/>
      <c r="AF5" s="728"/>
      <c r="AG5" s="729"/>
      <c r="AI5" s="86" t="s">
        <v>32</v>
      </c>
    </row>
    <row r="6" spans="1:35" ht="50.25" x14ac:dyDescent="0.25">
      <c r="A6" s="16" t="s">
        <v>30</v>
      </c>
      <c r="B6" s="16" t="s">
        <v>19</v>
      </c>
      <c r="C6" s="84"/>
      <c r="D6" s="1" t="s">
        <v>111</v>
      </c>
      <c r="E6" s="1" t="s">
        <v>122</v>
      </c>
      <c r="F6" s="41" t="s">
        <v>101</v>
      </c>
      <c r="G6" s="1" t="s">
        <v>6</v>
      </c>
      <c r="H6" s="1" t="s">
        <v>46</v>
      </c>
      <c r="I6" s="1" t="s">
        <v>43</v>
      </c>
      <c r="J6" s="1" t="s">
        <v>28</v>
      </c>
      <c r="K6" s="1" t="s">
        <v>47</v>
      </c>
      <c r="L6" s="1" t="s">
        <v>7</v>
      </c>
      <c r="M6" s="41" t="s">
        <v>8</v>
      </c>
      <c r="N6" s="41" t="s">
        <v>48</v>
      </c>
      <c r="O6" s="1" t="s">
        <v>49</v>
      </c>
      <c r="P6" s="85"/>
      <c r="S6" s="31" t="s">
        <v>12</v>
      </c>
      <c r="T6" s="24" t="s">
        <v>11</v>
      </c>
      <c r="U6" s="734" t="s">
        <v>13</v>
      </c>
      <c r="V6" s="734"/>
      <c r="W6" s="54" t="s">
        <v>14</v>
      </c>
      <c r="X6" s="25" t="s">
        <v>37</v>
      </c>
      <c r="Y6" s="26" t="s">
        <v>11</v>
      </c>
      <c r="Z6" s="27" t="s">
        <v>15</v>
      </c>
      <c r="AA6" s="28" t="s">
        <v>18</v>
      </c>
      <c r="AB6" s="54" t="s">
        <v>11</v>
      </c>
      <c r="AC6" s="54" t="s">
        <v>8</v>
      </c>
      <c r="AD6" s="29" t="s">
        <v>38</v>
      </c>
      <c r="AE6" s="25" t="s">
        <v>39</v>
      </c>
      <c r="AF6" s="30" t="s">
        <v>31</v>
      </c>
      <c r="AG6" s="32" t="s">
        <v>40</v>
      </c>
    </row>
    <row r="7" spans="1:35" ht="21.95" customHeight="1" x14ac:dyDescent="0.25">
      <c r="A7" s="730">
        <v>8200</v>
      </c>
      <c r="B7" s="730">
        <v>3</v>
      </c>
      <c r="C7" s="84"/>
      <c r="D7" s="731">
        <v>2211</v>
      </c>
      <c r="E7" s="731" t="s">
        <v>1</v>
      </c>
      <c r="F7" s="731">
        <v>2</v>
      </c>
      <c r="G7" s="3" t="s">
        <v>9</v>
      </c>
      <c r="H7" s="42">
        <v>40</v>
      </c>
      <c r="I7" s="42" t="s">
        <v>24</v>
      </c>
      <c r="J7" s="120">
        <v>2.2588439030255501E-2</v>
      </c>
      <c r="K7" s="120">
        <v>6.9813170079773184E-3</v>
      </c>
      <c r="L7" s="44">
        <v>0.16840932101965447</v>
      </c>
      <c r="M7" s="44">
        <v>1.1761269156034451</v>
      </c>
      <c r="N7" s="97">
        <v>4.517596805802989E-2</v>
      </c>
      <c r="O7" s="97">
        <v>0.1</v>
      </c>
      <c r="P7" s="85"/>
      <c r="Q7" s="86"/>
      <c r="S7" s="88" t="s">
        <v>61</v>
      </c>
      <c r="T7" s="89" t="s">
        <v>34</v>
      </c>
      <c r="U7" s="90" t="e">
        <f ca="1">INDIRECT(CONCATENATE("'[",S7,"]",T7,IF(B7=3,"'!Q",IF(B7=5,"'!Z")),9*F7))</f>
        <v>#REF!</v>
      </c>
      <c r="V7" s="90" t="e">
        <f ca="1">INDIRECT(CONCATENATE("'[",S7,"]",T7,IF(B7=3,"'!Q",IF(B7=5,"'!Z")),1+9*F7))</f>
        <v>#REF!</v>
      </c>
      <c r="W7" s="91" t="e">
        <f ca="1">INDIRECT(CONCATENATE("'[",S7,"]",T7,IF(B7=3,"'!Q",IF(B7=5,"'!Z")),2+9*F7))</f>
        <v>#REF!</v>
      </c>
      <c r="X7" s="92" t="e">
        <f ca="1">INDIRECT(CONCATENATE("'[",S7,"]",T7,IF(B7=3,"'!Q",IF(B7=5,"'!Z")),4+9*F7))</f>
        <v>#REF!</v>
      </c>
      <c r="Y7" s="93" t="s">
        <v>16</v>
      </c>
      <c r="Z7" s="94" t="e">
        <f ca="1">INDIRECT(CONCATENATE("'[",S7,"]",Y7,"'!E",115+F7))</f>
        <v>#REF!</v>
      </c>
      <c r="AA7" s="93">
        <f>14+(B7+2)*F7*2-(B7-3)+(B7-1)/2</f>
        <v>35</v>
      </c>
      <c r="AB7" s="16" t="s">
        <v>20</v>
      </c>
      <c r="AC7" s="16" t="e">
        <f ca="1">INDIRECT(CONCATENATE("'[",S7,"]",AB7,"'!H",AA7))</f>
        <v>#REF!</v>
      </c>
      <c r="AD7" s="16" t="e">
        <f ca="1">INDIRECT(CONCATENATE("'[",S7,"]",AB7,"'!I",AA7))</f>
        <v>#REF!</v>
      </c>
      <c r="AE7" s="95" t="e">
        <f ca="1">INDIRECT(CONCATENATE("'[",S7,"]",AB7,"'!K",AA7))</f>
        <v>#REF!</v>
      </c>
      <c r="AF7" s="40" t="e">
        <f ca="1">(4500-V8)/2/V7</f>
        <v>#REF!</v>
      </c>
      <c r="AG7" s="96" t="e">
        <f t="shared" ref="AG7:AG18" ca="1" si="0">MIN(0.8, MAX(0.35,-0.02+0.98*Z7+0.09*AF7))</f>
        <v>#REF!</v>
      </c>
    </row>
    <row r="8" spans="1:35" ht="21.95" customHeight="1" x14ac:dyDescent="0.25">
      <c r="A8" s="730"/>
      <c r="B8" s="730"/>
      <c r="C8" s="84"/>
      <c r="D8" s="731"/>
      <c r="E8" s="731"/>
      <c r="F8" s="731"/>
      <c r="G8" s="3" t="s">
        <v>10</v>
      </c>
      <c r="H8" s="42">
        <v>40</v>
      </c>
      <c r="I8" s="42" t="s">
        <v>23</v>
      </c>
      <c r="J8" s="120">
        <v>9.0118829262975791E-3</v>
      </c>
      <c r="K8" s="120">
        <v>4.5957012532513546E-3</v>
      </c>
      <c r="L8" s="44">
        <v>0</v>
      </c>
      <c r="M8" s="44">
        <v>1.2053361505771532</v>
      </c>
      <c r="N8" s="97">
        <v>5.7737912553630387E-2</v>
      </c>
      <c r="O8" s="97">
        <v>0.1</v>
      </c>
      <c r="P8" s="85"/>
      <c r="Q8" s="86"/>
      <c r="S8" s="88"/>
      <c r="T8" s="89"/>
      <c r="U8" s="90" t="e">
        <f ca="1">INDIRECT(CONCATENATE("'[",S7,"]",T7,IF(B7=3,"'!R",IF(B7=5,"'!AA")),-2+9*F7))</f>
        <v>#REF!</v>
      </c>
      <c r="V8" s="90" t="e">
        <f ca="1">INDIRECT(CONCATENATE("'[",S7,"]",T7,IF(B7=3,"'!S",IF(B7=5,"'!AB")),-2+9*F7))</f>
        <v>#REF!</v>
      </c>
      <c r="W8" s="91" t="e">
        <f ca="1">INDIRECT(CONCATENATE("'[",S7,"]",T7,IF(B7=3,"'!T",IF(B7=5,"'!AC")),-2+9*F7))</f>
        <v>#REF!</v>
      </c>
      <c r="X8" s="92" t="e">
        <f ca="1">INDIRECT(CONCATENATE("'[",S7,"]",T7,IF(B7=3,"'!V",IF(B7=5,"'!AE")),-2+9*F7))</f>
        <v>#REF!</v>
      </c>
      <c r="Y8" s="93"/>
      <c r="Z8" s="94">
        <v>0</v>
      </c>
      <c r="AA8" s="93">
        <f>AA7+(2*B7+1)*F7+(5-B7)+(B7-1)/2</f>
        <v>52</v>
      </c>
      <c r="AC8" s="16" t="e">
        <f ca="1">INDIRECT(CONCATENATE("'[",S7,"]",AB7,"'!H",AA8))</f>
        <v>#REF!</v>
      </c>
      <c r="AD8" s="16" t="e">
        <f ca="1">INDIRECT(CONCATENATE("'[",S7,"]",AB7,"'!I",AA8))</f>
        <v>#REF!</v>
      </c>
      <c r="AE8" s="95" t="e">
        <f ca="1">INDIRECT(CONCATENATE("'[",S7,"]",AB7,"'!K",AA8))</f>
        <v>#REF!</v>
      </c>
      <c r="AF8" s="40" t="e">
        <f ca="1">(A7-V7)/2/V8</f>
        <v>#REF!</v>
      </c>
      <c r="AG8" s="96" t="e">
        <f t="shared" ca="1" si="0"/>
        <v>#REF!</v>
      </c>
    </row>
    <row r="9" spans="1:35" ht="21.95" customHeight="1" x14ac:dyDescent="0.25">
      <c r="A9" s="730">
        <v>8200</v>
      </c>
      <c r="B9" s="730">
        <v>3</v>
      </c>
      <c r="C9" s="84"/>
      <c r="D9" s="731">
        <v>2213</v>
      </c>
      <c r="E9" s="731" t="s">
        <v>1</v>
      </c>
      <c r="F9" s="731">
        <v>4</v>
      </c>
      <c r="G9" s="3" t="s">
        <v>9</v>
      </c>
      <c r="H9" s="42">
        <v>40</v>
      </c>
      <c r="I9" s="42" t="s">
        <v>25</v>
      </c>
      <c r="J9" s="120">
        <v>3.5789023509694928E-2</v>
      </c>
      <c r="K9" s="120">
        <v>6.2831853071795866E-3</v>
      </c>
      <c r="L9" s="44">
        <v>0.2738713115603939</v>
      </c>
      <c r="M9" s="44">
        <v>1.1581969064411697</v>
      </c>
      <c r="N9" s="97">
        <v>4.3419335612490596E-2</v>
      </c>
      <c r="O9" s="97">
        <v>6.116615756505716E-2</v>
      </c>
      <c r="P9" s="85"/>
      <c r="Q9" s="86"/>
      <c r="S9" s="88" t="s">
        <v>62</v>
      </c>
      <c r="T9" s="89" t="s">
        <v>34</v>
      </c>
      <c r="U9" s="90" t="e">
        <f ca="1">INDIRECT(CONCATENATE("'[",S9,"]",T9,IF(B9=3,"'!Q",IF(B9=5,"'!Z")),9*F9))</f>
        <v>#REF!</v>
      </c>
      <c r="V9" s="90" t="e">
        <f ca="1">INDIRECT(CONCATENATE("'[",S9,"]",T9,IF(B9=3,"'!Q",IF(B9=5,"'!Z")),1+9*F9))</f>
        <v>#REF!</v>
      </c>
      <c r="W9" s="91" t="e">
        <f ca="1">INDIRECT(CONCATENATE("'[",S9,"]",T9,IF(B9=3,"'!Q",IF(B9=5,"'!Z")),2+9*F9))</f>
        <v>#REF!</v>
      </c>
      <c r="X9" s="92" t="e">
        <f ca="1">INDIRECT(CONCATENATE("'[",S9,"]",T9,IF(B9=3,"'!Q",IF(B9=5,"'!Z")),4+9*F9))</f>
        <v>#REF!</v>
      </c>
      <c r="Y9" s="93" t="s">
        <v>16</v>
      </c>
      <c r="Z9" s="94" t="e">
        <f ca="1">INDIRECT(CONCATENATE("'[",S9,"]",Y9,"'!E",115+F9))</f>
        <v>#REF!</v>
      </c>
      <c r="AA9" s="93">
        <f>14+(B9+2)*F9*2-(B9-3)+(B9-1)/2</f>
        <v>55</v>
      </c>
      <c r="AB9" s="16" t="s">
        <v>20</v>
      </c>
      <c r="AC9" s="16" t="e">
        <f ca="1">INDIRECT(CONCATENATE("'[",S9,"]",AB9,"'!H",AA9))</f>
        <v>#REF!</v>
      </c>
      <c r="AD9" s="16" t="e">
        <f ca="1">INDIRECT(CONCATENATE("'[",S9,"]",AB9,"'!I",AA9))</f>
        <v>#REF!</v>
      </c>
      <c r="AE9" s="95" t="e">
        <f ca="1">INDIRECT(CONCATENATE("'[",S9,"]",AB9,"'!K",AA9))</f>
        <v>#REF!</v>
      </c>
      <c r="AF9" s="40" t="e">
        <f ca="1">(4500-V10)/2/V9</f>
        <v>#REF!</v>
      </c>
      <c r="AG9" s="96" t="e">
        <f t="shared" ca="1" si="0"/>
        <v>#REF!</v>
      </c>
    </row>
    <row r="10" spans="1:35" ht="21.95" customHeight="1" x14ac:dyDescent="0.25">
      <c r="A10" s="730"/>
      <c r="B10" s="730"/>
      <c r="C10" s="84"/>
      <c r="D10" s="731"/>
      <c r="E10" s="731"/>
      <c r="F10" s="731"/>
      <c r="G10" s="3" t="s">
        <v>10</v>
      </c>
      <c r="H10" s="42">
        <v>40</v>
      </c>
      <c r="I10" s="42" t="s">
        <v>23</v>
      </c>
      <c r="J10" s="120">
        <v>1.1584996909237789E-2</v>
      </c>
      <c r="K10" s="120">
        <v>4.5957012532513546E-3</v>
      </c>
      <c r="L10" s="44">
        <v>0</v>
      </c>
      <c r="M10" s="44">
        <v>1.2053361505771532</v>
      </c>
      <c r="N10" s="97">
        <v>5.2825596037772198E-2</v>
      </c>
      <c r="O10" s="97">
        <v>0.1</v>
      </c>
      <c r="P10" s="85"/>
      <c r="Q10" s="86"/>
      <c r="S10" s="88"/>
      <c r="T10" s="89"/>
      <c r="U10" s="90" t="e">
        <f ca="1">INDIRECT(CONCATENATE("'[",S9,"]",T9,IF(B9=3,"'!R",IF(B9=5,"'!AA")),-2+9*F9))</f>
        <v>#REF!</v>
      </c>
      <c r="V10" s="90" t="e">
        <f ca="1">INDIRECT(CONCATENATE("'[",S9,"]",T9,IF(B9=3,"'!S",IF(B9=5,"'!AB")),-2+9*F9))</f>
        <v>#REF!</v>
      </c>
      <c r="W10" s="91" t="e">
        <f ca="1">INDIRECT(CONCATENATE("'[",S9,"]",T9,IF(B9=3,"'!T",IF(B9=5,"'!AC")),-2+9*F9))</f>
        <v>#REF!</v>
      </c>
      <c r="X10" s="92" t="e">
        <f ca="1">INDIRECT(CONCATENATE("'[",S9,"]",T9,IF(B9=3,"'!V",IF(B9=5,"'!AE")),-2+9*F9))</f>
        <v>#REF!</v>
      </c>
      <c r="Y10" s="93"/>
      <c r="Z10" s="94">
        <v>0</v>
      </c>
      <c r="AA10" s="93">
        <f>AA9+(2*B9+1)*F9+(5-B9)+(B9-1)/2</f>
        <v>86</v>
      </c>
      <c r="AC10" s="16" t="e">
        <f ca="1">INDIRECT(CONCATENATE("'[",S9,"]",AB9,"'!H",AA10))</f>
        <v>#REF!</v>
      </c>
      <c r="AD10" s="16" t="e">
        <f ca="1">INDIRECT(CONCATENATE("'[",S9,"]",AB9,"'!I",AA10))</f>
        <v>#REF!</v>
      </c>
      <c r="AE10" s="95" t="e">
        <f ca="1">INDIRECT(CONCATENATE("'[",S9,"]",AB9,"'!K",AA10))</f>
        <v>#REF!</v>
      </c>
      <c r="AF10" s="40" t="e">
        <f ca="1">(A9-V9)/2/V10</f>
        <v>#REF!</v>
      </c>
      <c r="AG10" s="96" t="e">
        <f t="shared" ca="1" si="0"/>
        <v>#REF!</v>
      </c>
    </row>
    <row r="11" spans="1:35" ht="21.95" customHeight="1" x14ac:dyDescent="0.25">
      <c r="A11" s="730">
        <v>8200</v>
      </c>
      <c r="B11" s="730">
        <v>3</v>
      </c>
      <c r="C11" s="84"/>
      <c r="D11" s="731">
        <v>2215</v>
      </c>
      <c r="E11" s="731" t="s">
        <v>1</v>
      </c>
      <c r="F11" s="731">
        <v>7</v>
      </c>
      <c r="G11" s="3" t="s">
        <v>9</v>
      </c>
      <c r="H11" s="73">
        <v>50</v>
      </c>
      <c r="I11" s="42" t="s">
        <v>22</v>
      </c>
      <c r="J11" s="120">
        <v>2.8780479365386493E-2</v>
      </c>
      <c r="K11" s="120">
        <v>5.2359877559829881E-3</v>
      </c>
      <c r="L11" s="44">
        <v>0.33521221415817049</v>
      </c>
      <c r="M11" s="44">
        <v>1.147894096216906</v>
      </c>
      <c r="N11" s="97">
        <v>3.4146886415006669E-2</v>
      </c>
      <c r="O11" s="97">
        <v>3.9495960479560145E-2</v>
      </c>
      <c r="P11" s="85"/>
      <c r="Q11" s="86"/>
      <c r="S11" s="88" t="s">
        <v>65</v>
      </c>
      <c r="T11" s="89" t="s">
        <v>34</v>
      </c>
      <c r="U11" s="90" t="e">
        <f ca="1">INDIRECT(CONCATENATE("'[",S11,"]",T11,IF(B11=3,"'!Q",IF(B11=5,"'!Z")),9*F11))</f>
        <v>#REF!</v>
      </c>
      <c r="V11" s="90" t="e">
        <f ca="1">INDIRECT(CONCATENATE("'[",S11,"]",T11,IF(B11=3,"'!Q",IF(B11=5,"'!Z")),1+9*F11))</f>
        <v>#REF!</v>
      </c>
      <c r="W11" s="91" t="e">
        <f ca="1">INDIRECT(CONCATENATE("'[",S11,"]",T11,IF(B11=3,"'!Q",IF(B11=5,"'!Z")),2+9*F11))</f>
        <v>#REF!</v>
      </c>
      <c r="X11" s="92" t="e">
        <f ca="1">INDIRECT(CONCATENATE("'[",S11,"]",T11,IF(B11=3,"'!Q",IF(B11=5,"'!Z")),4+9*F11))</f>
        <v>#REF!</v>
      </c>
      <c r="Y11" s="93" t="s">
        <v>16</v>
      </c>
      <c r="Z11" s="94" t="e">
        <f ca="1">INDIRECT(CONCATENATE("'[",S11,"]",Y11,"'!E",115+F11))</f>
        <v>#REF!</v>
      </c>
      <c r="AA11" s="93">
        <f>14+(B11+2)*F11*2-(B11-3)+(B11-1)/2</f>
        <v>85</v>
      </c>
      <c r="AB11" s="16" t="s">
        <v>20</v>
      </c>
      <c r="AC11" s="16" t="e">
        <f ca="1">INDIRECT(CONCATENATE("'[",S11,"]",AB11,"'!H",AA11))</f>
        <v>#REF!</v>
      </c>
      <c r="AD11" s="16" t="e">
        <f ca="1">INDIRECT(CONCATENATE("'[",S11,"]",AB11,"'!I",AA11))</f>
        <v>#REF!</v>
      </c>
      <c r="AE11" s="95" t="e">
        <f ca="1">INDIRECT(CONCATENATE("'[",S11,"]",AB11,"'!K",AA11))</f>
        <v>#REF!</v>
      </c>
      <c r="AF11" s="40" t="e">
        <f ca="1">(4500-V12)/2/V11</f>
        <v>#REF!</v>
      </c>
      <c r="AG11" s="96" t="e">
        <f t="shared" ca="1" si="0"/>
        <v>#REF!</v>
      </c>
    </row>
    <row r="12" spans="1:35" ht="21.95" customHeight="1" x14ac:dyDescent="0.25">
      <c r="A12" s="730"/>
      <c r="B12" s="730"/>
      <c r="C12" s="84"/>
      <c r="D12" s="732"/>
      <c r="E12" s="732"/>
      <c r="F12" s="732"/>
      <c r="G12" s="69" t="s">
        <v>10</v>
      </c>
      <c r="H12" s="14">
        <v>40</v>
      </c>
      <c r="I12" s="14" t="s">
        <v>23</v>
      </c>
      <c r="J12" s="121">
        <v>1.1584996909237789E-2</v>
      </c>
      <c r="K12" s="121">
        <v>4.5957012532513546E-3</v>
      </c>
      <c r="L12" s="46">
        <v>0</v>
      </c>
      <c r="M12" s="46">
        <v>1.2053361505771532</v>
      </c>
      <c r="N12" s="98">
        <v>5.2828547062341698E-2</v>
      </c>
      <c r="O12" s="98">
        <v>0.1</v>
      </c>
      <c r="P12" s="85"/>
      <c r="Q12" s="86"/>
      <c r="S12" s="88"/>
      <c r="T12" s="89"/>
      <c r="U12" s="90" t="e">
        <f ca="1">INDIRECT(CONCATENATE("'[",S11,"]",T11,IF(B11=3,"'!R",IF(B11=5,"'!AA")),-2+9*F11))</f>
        <v>#REF!</v>
      </c>
      <c r="V12" s="90" t="e">
        <f ca="1">INDIRECT(CONCATENATE("'[",S11,"]",T11,IF(B11=3,"'!S",IF(B11=5,"'!AB")),-2+9*F11))</f>
        <v>#REF!</v>
      </c>
      <c r="W12" s="91" t="e">
        <f ca="1">INDIRECT(CONCATENATE("'[",S11,"]",T11,IF(B11=3,"'!T",IF(B11=5,"'!AC")),-2+9*F11))</f>
        <v>#REF!</v>
      </c>
      <c r="X12" s="92" t="e">
        <f ca="1">INDIRECT(CONCATENATE("'[",S11,"]",T11,IF(B11=3,"'!V",IF(B11=5,"'!AE")),-2+9*F11))</f>
        <v>#REF!</v>
      </c>
      <c r="Y12" s="93"/>
      <c r="Z12" s="94">
        <v>0</v>
      </c>
      <c r="AA12" s="93">
        <f>AA11+(2*B11+1)*F11+(5-B11)+(B11-1)/2</f>
        <v>137</v>
      </c>
      <c r="AC12" s="16" t="e">
        <f ca="1">INDIRECT(CONCATENATE("'[",S11,"]",AB11,"'!H",AA12))</f>
        <v>#REF!</v>
      </c>
      <c r="AD12" s="16" t="e">
        <f ca="1">INDIRECT(CONCATENATE("'[",S11,"]",AB11,"'!I",AA12))</f>
        <v>#REF!</v>
      </c>
      <c r="AE12" s="95" t="e">
        <f ca="1">INDIRECT(CONCATENATE("'[",S11,"]",AB11,"'!K",AA12))</f>
        <v>#REF!</v>
      </c>
      <c r="AF12" s="40" t="e">
        <f ca="1">(A11-V11)/2/V12</f>
        <v>#REF!</v>
      </c>
      <c r="AG12" s="96" t="e">
        <f t="shared" ca="1" si="0"/>
        <v>#REF!</v>
      </c>
    </row>
    <row r="13" spans="1:35" ht="21.95" customHeight="1" x14ac:dyDescent="0.25">
      <c r="A13" s="730">
        <v>8200</v>
      </c>
      <c r="B13" s="730">
        <v>3</v>
      </c>
      <c r="C13" s="84"/>
      <c r="D13" s="731">
        <v>2219</v>
      </c>
      <c r="E13" s="731" t="s">
        <v>2</v>
      </c>
      <c r="F13" s="731">
        <v>2</v>
      </c>
      <c r="G13" s="3" t="s">
        <v>9</v>
      </c>
      <c r="H13" s="42">
        <v>40</v>
      </c>
      <c r="I13" s="42" t="s">
        <v>25</v>
      </c>
      <c r="J13" s="120">
        <v>2.5761059759436305E-2</v>
      </c>
      <c r="K13" s="120">
        <v>6.2831853071795866E-3</v>
      </c>
      <c r="L13" s="44">
        <v>0.13709117677553131</v>
      </c>
      <c r="M13" s="44">
        <v>1.181504697681151</v>
      </c>
      <c r="N13" s="97">
        <v>5.1390789570288128E-2</v>
      </c>
      <c r="O13" s="97">
        <v>0.1</v>
      </c>
      <c r="P13" s="85"/>
      <c r="Q13" s="86"/>
      <c r="S13" s="88" t="s">
        <v>67</v>
      </c>
      <c r="T13" s="89" t="s">
        <v>34</v>
      </c>
      <c r="U13" s="90" t="e">
        <f ca="1">INDIRECT(CONCATENATE("'[",S13,"]",T13,IF(B13=3,"'!Q",IF(B13=5,"'!Z")),9*F13))</f>
        <v>#REF!</v>
      </c>
      <c r="V13" s="90" t="e">
        <f ca="1">INDIRECT(CONCATENATE("'[",S13,"]",T13,IF(B13=3,"'!Q",IF(B13=5,"'!Z")),1+9*F13))</f>
        <v>#REF!</v>
      </c>
      <c r="W13" s="91" t="e">
        <f ca="1">INDIRECT(CONCATENATE("'[",S13,"]",T13,IF(B13=3,"'!Q",IF(B13=5,"'!Z")),2+9*F13))</f>
        <v>#REF!</v>
      </c>
      <c r="X13" s="92" t="e">
        <f ca="1">INDIRECT(CONCATENATE("'[",S13,"]",T13,IF(B13=3,"'!Q",IF(B13=5,"'!Z")),4+9*F13))</f>
        <v>#REF!</v>
      </c>
      <c r="Y13" s="93" t="s">
        <v>16</v>
      </c>
      <c r="Z13" s="94" t="e">
        <f ca="1">INDIRECT(CONCATENATE("'[",S13,"]",Y13,"'!E",115+F13))</f>
        <v>#REF!</v>
      </c>
      <c r="AA13" s="93">
        <f>14+(B13+2)*F13*2-(B13-3)+(B13-1)/2</f>
        <v>35</v>
      </c>
      <c r="AB13" s="16" t="s">
        <v>20</v>
      </c>
      <c r="AC13" s="16" t="e">
        <f ca="1">INDIRECT(CONCATENATE("'[",S13,"]",AB13,"'!H",AA13))</f>
        <v>#REF!</v>
      </c>
      <c r="AD13" s="16" t="e">
        <f ca="1">INDIRECT(CONCATENATE("'[",S13,"]",AB13,"'!I",AA13))</f>
        <v>#REF!</v>
      </c>
      <c r="AE13" s="95" t="e">
        <f ca="1">INDIRECT(CONCATENATE("'[",S13,"]",AB13,"'!K",AA13))</f>
        <v>#REF!</v>
      </c>
      <c r="AF13" s="40" t="e">
        <f ca="1">(4500-V14)/2/V13</f>
        <v>#REF!</v>
      </c>
      <c r="AG13" s="96" t="e">
        <f t="shared" ca="1" si="0"/>
        <v>#REF!</v>
      </c>
    </row>
    <row r="14" spans="1:35" ht="21.95" customHeight="1" x14ac:dyDescent="0.25">
      <c r="A14" s="730"/>
      <c r="B14" s="730"/>
      <c r="C14" s="84"/>
      <c r="D14" s="731"/>
      <c r="E14" s="731"/>
      <c r="F14" s="731"/>
      <c r="G14" s="3" t="s">
        <v>10</v>
      </c>
      <c r="H14" s="42">
        <v>40</v>
      </c>
      <c r="I14" s="42" t="s">
        <v>23</v>
      </c>
      <c r="J14" s="120">
        <v>1.0546775337051449E-2</v>
      </c>
      <c r="K14" s="120">
        <v>4.5957012532513546E-3</v>
      </c>
      <c r="L14" s="44">
        <v>0</v>
      </c>
      <c r="M14" s="44">
        <v>1.2053361505771532</v>
      </c>
      <c r="N14" s="97">
        <v>5.8715447427706E-2</v>
      </c>
      <c r="O14" s="97">
        <v>0.1</v>
      </c>
      <c r="P14" s="85"/>
      <c r="Q14" s="86"/>
      <c r="S14" s="88"/>
      <c r="T14" s="89"/>
      <c r="U14" s="90" t="e">
        <f ca="1">INDIRECT(CONCATENATE("'[",S13,"]",T13,IF(B13=3,"'!R",IF(B13=5,"'!AA")),-2+9*F13))</f>
        <v>#REF!</v>
      </c>
      <c r="V14" s="90" t="e">
        <f ca="1">INDIRECT(CONCATENATE("'[",S13,"]",T13,IF(B13=3,"'!S",IF(B13=5,"'!AB")),-2+9*F13))</f>
        <v>#REF!</v>
      </c>
      <c r="W14" s="91" t="e">
        <f ca="1">INDIRECT(CONCATENATE("'[",S13,"]",T13,IF(B13=3,"'!T",IF(B13=5,"'!AC")),-2+9*F13))</f>
        <v>#REF!</v>
      </c>
      <c r="X14" s="92" t="e">
        <f ca="1">INDIRECT(CONCATENATE("'[",S13,"]",T13,IF(B13=3,"'!V",IF(B13=5,"'!AE")),-2+9*F13))</f>
        <v>#REF!</v>
      </c>
      <c r="Y14" s="93"/>
      <c r="Z14" s="94">
        <v>0</v>
      </c>
      <c r="AA14" s="93">
        <f>AA13+(2*B13+1)*F13+(5-B13)+(B13-1)/2</f>
        <v>52</v>
      </c>
      <c r="AC14" s="16" t="e">
        <f ca="1">INDIRECT(CONCATENATE("'[",S13,"]",AB13,"'!H",AA14))</f>
        <v>#REF!</v>
      </c>
      <c r="AD14" s="16" t="e">
        <f ca="1">INDIRECT(CONCATENATE("'[",S13,"]",AB13,"'!I",AA14))</f>
        <v>#REF!</v>
      </c>
      <c r="AE14" s="95" t="e">
        <f ca="1">INDIRECT(CONCATENATE("'[",S13,"]",AB13,"'!K",AA14))</f>
        <v>#REF!</v>
      </c>
      <c r="AF14" s="40" t="e">
        <f ca="1">(A13-V13)/2/V14</f>
        <v>#REF!</v>
      </c>
      <c r="AG14" s="96" t="e">
        <f t="shared" ca="1" si="0"/>
        <v>#REF!</v>
      </c>
    </row>
    <row r="15" spans="1:35" ht="21.95" customHeight="1" x14ac:dyDescent="0.25">
      <c r="A15" s="730">
        <v>8200</v>
      </c>
      <c r="B15" s="730">
        <v>3</v>
      </c>
      <c r="C15" s="84"/>
      <c r="D15" s="731">
        <v>2221</v>
      </c>
      <c r="E15" s="731" t="s">
        <v>2</v>
      </c>
      <c r="F15" s="731">
        <v>4</v>
      </c>
      <c r="G15" s="3" t="s">
        <v>9</v>
      </c>
      <c r="H15" s="42">
        <v>40</v>
      </c>
      <c r="I15" s="42" t="s">
        <v>27</v>
      </c>
      <c r="J15" s="120">
        <v>3.4251148996823598E-2</v>
      </c>
      <c r="K15" s="120">
        <v>5.711986642890533E-3</v>
      </c>
      <c r="L15" s="44">
        <v>0.23097042530493681</v>
      </c>
      <c r="M15" s="44">
        <v>1.1654574370688573</v>
      </c>
      <c r="N15" s="97">
        <v>4.5753424265012457E-2</v>
      </c>
      <c r="O15" s="97">
        <v>6.7366869735472582E-2</v>
      </c>
      <c r="P15" s="85"/>
      <c r="Q15" s="86"/>
      <c r="S15" s="88" t="s">
        <v>68</v>
      </c>
      <c r="T15" s="89" t="s">
        <v>34</v>
      </c>
      <c r="U15" s="90" t="e">
        <f ca="1">INDIRECT(CONCATENATE("'[",S15,"]",T15,IF(B15=3,"'!Q",IF(B15=5,"'!Z")),9*F15))</f>
        <v>#REF!</v>
      </c>
      <c r="V15" s="90" t="e">
        <f ca="1">INDIRECT(CONCATENATE("'[",S15,"]",T15,IF(B15=3,"'!Q",IF(B15=5,"'!Z")),1+9*F15))</f>
        <v>#REF!</v>
      </c>
      <c r="W15" s="91" t="e">
        <f ca="1">INDIRECT(CONCATENATE("'[",S15,"]",T15,IF(B15=3,"'!Q",IF(B15=5,"'!Z")),2+9*F15))</f>
        <v>#REF!</v>
      </c>
      <c r="X15" s="92" t="e">
        <f ca="1">INDIRECT(CONCATENATE("'[",S15,"]",T15,IF(B15=3,"'!Q",IF(B15=5,"'!Z")),4+9*F15))</f>
        <v>#REF!</v>
      </c>
      <c r="Y15" s="93" t="s">
        <v>16</v>
      </c>
      <c r="Z15" s="94" t="e">
        <f ca="1">INDIRECT(CONCATENATE("'[",S15,"]",Y15,"'!E",115+F15))</f>
        <v>#REF!</v>
      </c>
      <c r="AA15" s="93">
        <f>14+(B15+2)*F15*2-(B15-3)+(B15-1)/2</f>
        <v>55</v>
      </c>
      <c r="AB15" s="16" t="s">
        <v>20</v>
      </c>
      <c r="AC15" s="16" t="e">
        <f ca="1">INDIRECT(CONCATENATE("'[",S15,"]",AB15,"'!H",AA15))</f>
        <v>#REF!</v>
      </c>
      <c r="AD15" s="16" t="e">
        <f ca="1">INDIRECT(CONCATENATE("'[",S15,"]",AB15,"'!I",AA15))</f>
        <v>#REF!</v>
      </c>
      <c r="AE15" s="95" t="e">
        <f ca="1">INDIRECT(CONCATENATE("'[",S15,"]",AB15,"'!K",AA15))</f>
        <v>#REF!</v>
      </c>
      <c r="AF15" s="40" t="e">
        <f ca="1">(4500-V16)/2/V15</f>
        <v>#REF!</v>
      </c>
      <c r="AG15" s="96" t="e">
        <f t="shared" ca="1" si="0"/>
        <v>#REF!</v>
      </c>
    </row>
    <row r="16" spans="1:35" ht="21.95" customHeight="1" x14ac:dyDescent="0.25">
      <c r="A16" s="730"/>
      <c r="B16" s="730"/>
      <c r="C16" s="84"/>
      <c r="D16" s="731"/>
      <c r="E16" s="731"/>
      <c r="F16" s="731"/>
      <c r="G16" s="3" t="s">
        <v>10</v>
      </c>
      <c r="H16" s="42">
        <v>40</v>
      </c>
      <c r="I16" s="42" t="s">
        <v>26</v>
      </c>
      <c r="J16" s="120">
        <v>1.2359549097997845E-2</v>
      </c>
      <c r="K16" s="120">
        <v>5.235987755982989E-3</v>
      </c>
      <c r="L16" s="44">
        <v>0</v>
      </c>
      <c r="M16" s="44">
        <v>1.2053361505771532</v>
      </c>
      <c r="N16" s="97">
        <v>5.708842607569508E-2</v>
      </c>
      <c r="O16" s="97">
        <v>0.1</v>
      </c>
      <c r="P16" s="85"/>
      <c r="Q16" s="86"/>
      <c r="S16" s="88"/>
      <c r="T16" s="89"/>
      <c r="U16" s="90" t="e">
        <f ca="1">INDIRECT(CONCATENATE("'[",S15,"]",T15,IF(B15=3,"'!R",IF(B15=5,"'!AA")),-2+9*F15))</f>
        <v>#REF!</v>
      </c>
      <c r="V16" s="90" t="e">
        <f ca="1">INDIRECT(CONCATENATE("'[",S15,"]",T15,IF(B15=3,"'!S",IF(B15=5,"'!AB")),-2+9*F15))</f>
        <v>#REF!</v>
      </c>
      <c r="W16" s="91" t="e">
        <f ca="1">INDIRECT(CONCATENATE("'[",S15,"]",T15,IF(B15=3,"'!T",IF(B15=5,"'!AC")),-2+9*F15))</f>
        <v>#REF!</v>
      </c>
      <c r="X16" s="92" t="e">
        <f ca="1">INDIRECT(CONCATENATE("'[",S15,"]",T15,IF(B15=3,"'!V",IF(B15=5,"'!AE")),-2+9*F15))</f>
        <v>#REF!</v>
      </c>
      <c r="Y16" s="93"/>
      <c r="Z16" s="94">
        <v>0</v>
      </c>
      <c r="AA16" s="93">
        <f>AA15+(2*B15+1)*F15+(5-B15)+(B15-1)/2</f>
        <v>86</v>
      </c>
      <c r="AC16" s="16" t="e">
        <f ca="1">INDIRECT(CONCATENATE("'[",S15,"]",AB15,"'!H",AA16))</f>
        <v>#REF!</v>
      </c>
      <c r="AD16" s="16" t="e">
        <f ca="1">INDIRECT(CONCATENATE("'[",S15,"]",AB15,"'!I",AA16))</f>
        <v>#REF!</v>
      </c>
      <c r="AE16" s="95" t="e">
        <f ca="1">INDIRECT(CONCATENATE("'[",S15,"]",AB15,"'!K",AA16))</f>
        <v>#REF!</v>
      </c>
      <c r="AF16" s="40" t="e">
        <f ca="1">(A15-V15)/2/V16</f>
        <v>#REF!</v>
      </c>
      <c r="AG16" s="96" t="e">
        <f t="shared" ca="1" si="0"/>
        <v>#REF!</v>
      </c>
    </row>
    <row r="17" spans="1:33" ht="21.95" customHeight="1" x14ac:dyDescent="0.25">
      <c r="A17" s="730">
        <v>8200</v>
      </c>
      <c r="B17" s="730">
        <v>3</v>
      </c>
      <c r="C17" s="84"/>
      <c r="D17" s="731">
        <v>2223</v>
      </c>
      <c r="E17" s="731" t="s">
        <v>2</v>
      </c>
      <c r="F17" s="731">
        <v>7</v>
      </c>
      <c r="G17" s="3" t="s">
        <v>9</v>
      </c>
      <c r="H17" s="73">
        <v>50</v>
      </c>
      <c r="I17" s="42" t="s">
        <v>22</v>
      </c>
      <c r="J17" s="120">
        <v>3.9235001584832528E-2</v>
      </c>
      <c r="K17" s="120">
        <v>5.2359877559829881E-3</v>
      </c>
      <c r="L17" s="44">
        <v>0.34027492655952996</v>
      </c>
      <c r="M17" s="44">
        <v>1.1470478691131469</v>
      </c>
      <c r="N17" s="97">
        <v>3.5027388911436572E-2</v>
      </c>
      <c r="O17" s="97">
        <v>3.8637180546133722E-2</v>
      </c>
      <c r="P17" s="85"/>
      <c r="Q17" s="86"/>
      <c r="S17" s="88" t="s">
        <v>71</v>
      </c>
      <c r="T17" s="89" t="s">
        <v>34</v>
      </c>
      <c r="U17" s="90" t="e">
        <f ca="1">INDIRECT(CONCATENATE("'[",S17,"]",T17,IF(B17=3,"'!Q",IF(B17=5,"'!Z")),9*F17))</f>
        <v>#REF!</v>
      </c>
      <c r="V17" s="90" t="e">
        <f ca="1">INDIRECT(CONCATENATE("'[",S17,"]",T17,IF(B17=3,"'!Q",IF(B17=5,"'!Z")),1+9*F17))</f>
        <v>#REF!</v>
      </c>
      <c r="W17" s="91" t="e">
        <f ca="1">INDIRECT(CONCATENATE("'[",S17,"]",T17,IF(B17=3,"'!Q",IF(B17=5,"'!Z")),2+9*F17))</f>
        <v>#REF!</v>
      </c>
      <c r="X17" s="92" t="e">
        <f ca="1">INDIRECT(CONCATENATE("'[",S17,"]",T17,IF(B17=3,"'!Q",IF(B17=5,"'!Z")),4+9*F17))</f>
        <v>#REF!</v>
      </c>
      <c r="Y17" s="93" t="s">
        <v>16</v>
      </c>
      <c r="Z17" s="94" t="e">
        <f ca="1">INDIRECT(CONCATENATE("'[",S17,"]",Y17,"'!E",115+F17))</f>
        <v>#REF!</v>
      </c>
      <c r="AA17" s="93">
        <f>14+(B17+2)*F17*2-(B17-3)+(B17-1)/2</f>
        <v>85</v>
      </c>
      <c r="AB17" s="16" t="s">
        <v>20</v>
      </c>
      <c r="AC17" s="16" t="e">
        <f ca="1">INDIRECT(CONCATENATE("'[",S17,"]",AB17,"'!H",AA17))</f>
        <v>#REF!</v>
      </c>
      <c r="AD17" s="16" t="e">
        <f ca="1">INDIRECT(CONCATENATE("'[",S17,"]",AB17,"'!I",AA17))</f>
        <v>#REF!</v>
      </c>
      <c r="AE17" s="95" t="e">
        <f ca="1">INDIRECT(CONCATENATE("'[",S17,"]",AB17,"'!K",AA17))</f>
        <v>#REF!</v>
      </c>
      <c r="AF17" s="40" t="e">
        <f ca="1">(4500-V18)/2/V17</f>
        <v>#REF!</v>
      </c>
      <c r="AG17" s="96" t="e">
        <f t="shared" ca="1" si="0"/>
        <v>#REF!</v>
      </c>
    </row>
    <row r="18" spans="1:33" ht="21.95" customHeight="1" x14ac:dyDescent="0.25">
      <c r="A18" s="730"/>
      <c r="B18" s="730"/>
      <c r="C18" s="84"/>
      <c r="D18" s="732"/>
      <c r="E18" s="732"/>
      <c r="F18" s="732"/>
      <c r="G18" s="69" t="s">
        <v>10</v>
      </c>
      <c r="H18" s="14">
        <v>40</v>
      </c>
      <c r="I18" s="14" t="s">
        <v>26</v>
      </c>
      <c r="J18" s="121">
        <v>1.2817698026646358E-2</v>
      </c>
      <c r="K18" s="121">
        <v>5.0265482457436698E-3</v>
      </c>
      <c r="L18" s="46">
        <v>0</v>
      </c>
      <c r="M18" s="46">
        <v>1.2053361505771532</v>
      </c>
      <c r="N18" s="98">
        <v>6.2226563618042505E-2</v>
      </c>
      <c r="O18" s="98">
        <v>0.1</v>
      </c>
      <c r="P18" s="85"/>
      <c r="Q18" s="86"/>
      <c r="S18" s="88"/>
      <c r="T18" s="89"/>
      <c r="U18" s="90" t="e">
        <f ca="1">INDIRECT(CONCATENATE("'[",S17,"]",T17,IF(B17=3,"'!R",IF(B17=5,"'!AA")),-2+9*F17))</f>
        <v>#REF!</v>
      </c>
      <c r="V18" s="90" t="e">
        <f ca="1">INDIRECT(CONCATENATE("'[",S17,"]",T17,IF(B17=3,"'!S",IF(B17=5,"'!AB")),-2+9*F17))</f>
        <v>#REF!</v>
      </c>
      <c r="W18" s="91" t="e">
        <f ca="1">INDIRECT(CONCATENATE("'[",S17,"]",T17,IF(B17=3,"'!T",IF(B17=5,"'!AC")),-2+9*F17))</f>
        <v>#REF!</v>
      </c>
      <c r="X18" s="92" t="e">
        <f ca="1">INDIRECT(CONCATENATE("'[",S17,"]",T17,IF(B17=3,"'!V",IF(B17=5,"'!AE")),-2+9*F17))</f>
        <v>#REF!</v>
      </c>
      <c r="Y18" s="93"/>
      <c r="Z18" s="94">
        <v>0</v>
      </c>
      <c r="AA18" s="93">
        <f>AA17+(2*B17+1)*F17+(5-B17)+(B17-1)/2</f>
        <v>137</v>
      </c>
      <c r="AC18" s="16" t="e">
        <f ca="1">INDIRECT(CONCATENATE("'[",S17,"]",AB17,"'!H",AA18))</f>
        <v>#REF!</v>
      </c>
      <c r="AD18" s="16" t="e">
        <f ca="1">INDIRECT(CONCATENATE("'[",S17,"]",AB17,"'!I",AA18))</f>
        <v>#REF!</v>
      </c>
      <c r="AE18" s="95" t="e">
        <f ca="1">INDIRECT(CONCATENATE("'[",S17,"]",AB17,"'!K",AA18))</f>
        <v>#REF!</v>
      </c>
      <c r="AF18" s="40" t="e">
        <f ca="1">(A17-V17)/2/V18</f>
        <v>#REF!</v>
      </c>
      <c r="AG18" s="96" t="e">
        <f t="shared" ca="1" si="0"/>
        <v>#REF!</v>
      </c>
    </row>
    <row r="19" spans="1:33" ht="16.5" x14ac:dyDescent="0.25">
      <c r="C19" s="84"/>
      <c r="D19" s="16" t="s">
        <v>106</v>
      </c>
      <c r="E19" s="3"/>
      <c r="F19" s="3"/>
      <c r="G19" s="3"/>
      <c r="H19" s="3"/>
      <c r="I19" s="3"/>
      <c r="J19" s="3"/>
      <c r="K19" s="3"/>
      <c r="L19" s="3"/>
      <c r="M19" s="3"/>
      <c r="N19" s="3"/>
      <c r="O19" s="3"/>
      <c r="P19" s="85"/>
    </row>
    <row r="20" spans="1:33" ht="16.5" x14ac:dyDescent="0.25">
      <c r="C20" s="84"/>
      <c r="D20" s="16" t="s">
        <v>157</v>
      </c>
      <c r="E20" s="3"/>
      <c r="F20" s="3"/>
      <c r="G20" s="3"/>
      <c r="H20" s="3"/>
      <c r="I20" s="3"/>
      <c r="J20" s="3"/>
      <c r="K20" s="3"/>
      <c r="L20" s="3"/>
      <c r="M20" s="3"/>
      <c r="N20" s="3"/>
      <c r="O20" s="3"/>
      <c r="P20" s="85"/>
    </row>
    <row r="21" spans="1:33" ht="16.5" x14ac:dyDescent="0.25">
      <c r="C21" s="84"/>
      <c r="D21" s="16" t="s">
        <v>158</v>
      </c>
      <c r="E21" s="3"/>
      <c r="F21" s="3"/>
      <c r="G21" s="3"/>
      <c r="H21" s="3"/>
      <c r="I21" s="3"/>
      <c r="J21" s="3"/>
      <c r="K21" s="3"/>
      <c r="L21" s="3"/>
      <c r="M21" s="3"/>
      <c r="N21" s="3"/>
      <c r="O21" s="3"/>
      <c r="P21" s="85"/>
    </row>
    <row r="22" spans="1:33" ht="16.5" x14ac:dyDescent="0.25">
      <c r="C22" s="84"/>
      <c r="D22" s="16" t="s">
        <v>160</v>
      </c>
      <c r="E22" s="3"/>
      <c r="F22" s="3"/>
      <c r="G22" s="3"/>
      <c r="H22" s="3"/>
      <c r="I22" s="3"/>
      <c r="J22" s="3"/>
      <c r="K22" s="3"/>
      <c r="L22" s="3"/>
      <c r="M22" s="3"/>
      <c r="N22" s="3"/>
      <c r="O22" s="3"/>
      <c r="P22" s="85"/>
    </row>
    <row r="23" spans="1:33" ht="17.25" thickBot="1" x14ac:dyDescent="0.3">
      <c r="C23" s="99"/>
      <c r="D23" s="154" t="s">
        <v>159</v>
      </c>
      <c r="E23" s="100"/>
      <c r="F23" s="100"/>
      <c r="G23" s="100"/>
      <c r="H23" s="100"/>
      <c r="I23" s="100"/>
      <c r="J23" s="100"/>
      <c r="K23" s="100"/>
      <c r="L23" s="100"/>
      <c r="M23" s="100"/>
      <c r="N23" s="100"/>
      <c r="O23" s="100"/>
      <c r="P23" s="101"/>
    </row>
    <row r="24" spans="1:33" ht="15.75" x14ac:dyDescent="0.25">
      <c r="D24" s="3"/>
      <c r="E24" s="3"/>
      <c r="F24" s="3"/>
      <c r="G24" s="3"/>
      <c r="H24" s="3"/>
      <c r="I24" s="3"/>
      <c r="J24" s="3"/>
      <c r="K24" s="3"/>
      <c r="L24" s="3"/>
      <c r="M24" s="3"/>
      <c r="N24" s="3"/>
      <c r="O24" s="3"/>
      <c r="P24" s="3"/>
    </row>
    <row r="25" spans="1:33" ht="16.5" thickBot="1" x14ac:dyDescent="0.3">
      <c r="D25" s="3"/>
      <c r="E25" s="3"/>
      <c r="F25" s="3"/>
      <c r="G25" s="3"/>
      <c r="H25" s="3"/>
      <c r="I25" s="3"/>
      <c r="J25" s="3"/>
      <c r="K25" s="3"/>
      <c r="L25" s="3"/>
      <c r="M25" s="3"/>
      <c r="N25" s="3"/>
      <c r="O25" s="3"/>
      <c r="P25" s="3"/>
    </row>
    <row r="26" spans="1:33" ht="21" thickTop="1" x14ac:dyDescent="0.25">
      <c r="S26" s="735" t="s">
        <v>41</v>
      </c>
      <c r="T26" s="736"/>
      <c r="U26" s="736"/>
      <c r="V26" s="736"/>
      <c r="W26" s="736"/>
      <c r="X26" s="736"/>
      <c r="Y26" s="736"/>
      <c r="Z26" s="736"/>
      <c r="AA26" s="736"/>
      <c r="AB26" s="736"/>
      <c r="AC26" s="736"/>
      <c r="AD26" s="736"/>
      <c r="AE26" s="736"/>
      <c r="AF26" s="736"/>
      <c r="AG26" s="737"/>
    </row>
    <row r="27" spans="1:33" ht="31.5" customHeight="1" x14ac:dyDescent="0.25">
      <c r="H27" s="102"/>
      <c r="I27" s="102" t="s">
        <v>35</v>
      </c>
      <c r="J27" s="103">
        <f t="shared" ref="J27:O27" si="1">MAX(J7:J18)</f>
        <v>3.9235001584832528E-2</v>
      </c>
      <c r="K27" s="103">
        <f t="shared" si="1"/>
        <v>6.9813170079773184E-3</v>
      </c>
      <c r="L27" s="104">
        <f t="shared" si="1"/>
        <v>0.34027492655952996</v>
      </c>
      <c r="M27" s="104">
        <f t="shared" si="1"/>
        <v>1.2053361505771532</v>
      </c>
      <c r="N27" s="105">
        <f t="shared" si="1"/>
        <v>6.2226563618042505E-2</v>
      </c>
      <c r="O27" s="105">
        <f t="shared" si="1"/>
        <v>0.1</v>
      </c>
      <c r="S27" s="31" t="s">
        <v>12</v>
      </c>
      <c r="T27" s="24" t="s">
        <v>11</v>
      </c>
      <c r="U27" s="734" t="s">
        <v>13</v>
      </c>
      <c r="V27" s="734"/>
      <c r="W27" s="54" t="s">
        <v>14</v>
      </c>
      <c r="X27" s="25" t="s">
        <v>37</v>
      </c>
      <c r="Y27" s="26" t="s">
        <v>11</v>
      </c>
      <c r="Z27" s="27" t="s">
        <v>15</v>
      </c>
      <c r="AA27" s="28" t="s">
        <v>18</v>
      </c>
      <c r="AB27" s="54" t="s">
        <v>11</v>
      </c>
      <c r="AC27" s="54" t="s">
        <v>8</v>
      </c>
      <c r="AD27" s="29" t="s">
        <v>38</v>
      </c>
      <c r="AE27" s="25" t="s">
        <v>39</v>
      </c>
      <c r="AF27" s="30" t="s">
        <v>31</v>
      </c>
      <c r="AG27" s="32" t="s">
        <v>40</v>
      </c>
    </row>
    <row r="28" spans="1:33" x14ac:dyDescent="0.25">
      <c r="H28" s="102"/>
      <c r="I28" s="102" t="s">
        <v>36</v>
      </c>
      <c r="J28" s="103">
        <f t="shared" ref="J28:O28" si="2">MIN(J7:J18)</f>
        <v>9.0118829262975791E-3</v>
      </c>
      <c r="K28" s="103">
        <f t="shared" si="2"/>
        <v>4.5957012532513546E-3</v>
      </c>
      <c r="L28" s="104">
        <f t="shared" si="2"/>
        <v>0</v>
      </c>
      <c r="M28" s="104">
        <f t="shared" si="2"/>
        <v>1.1470478691131469</v>
      </c>
      <c r="N28" s="105">
        <f t="shared" si="2"/>
        <v>3.4146886415006669E-2</v>
      </c>
      <c r="O28" s="105">
        <f t="shared" si="2"/>
        <v>3.8637180546133722E-2</v>
      </c>
      <c r="S28" s="88" t="s">
        <v>100</v>
      </c>
      <c r="T28" s="89" t="s">
        <v>34</v>
      </c>
      <c r="U28" s="90">
        <v>450</v>
      </c>
      <c r="V28" s="90">
        <v>450</v>
      </c>
      <c r="W28" s="91">
        <v>3.7978364523396611E-2</v>
      </c>
      <c r="X28" s="92">
        <v>9.3084226773030923E-3</v>
      </c>
      <c r="Y28" s="93" t="s">
        <v>16</v>
      </c>
      <c r="Z28" s="94">
        <v>0.33650760004864017</v>
      </c>
      <c r="AA28" s="93">
        <v>55</v>
      </c>
      <c r="AB28" s="16" t="s">
        <v>20</v>
      </c>
      <c r="AC28" s="16">
        <v>1.1476775144000622</v>
      </c>
      <c r="AD28" s="16">
        <v>4.6952256428883586E-2</v>
      </c>
      <c r="AE28" s="95">
        <v>6.7882936355228879E-2</v>
      </c>
      <c r="AF28" s="40">
        <v>4.166666666666667</v>
      </c>
      <c r="AG28" s="96">
        <v>0.68477744804766738</v>
      </c>
    </row>
    <row r="29" spans="1:33" x14ac:dyDescent="0.25">
      <c r="S29" s="88"/>
      <c r="T29" s="89"/>
      <c r="U29" s="90">
        <v>350</v>
      </c>
      <c r="V29" s="90">
        <v>750</v>
      </c>
      <c r="W29" s="91">
        <v>9.0118829262975791E-3</v>
      </c>
      <c r="X29" s="92">
        <v>3.4467759399385159E-3</v>
      </c>
      <c r="Y29" s="93"/>
      <c r="Z29" s="94">
        <v>0</v>
      </c>
      <c r="AA29" s="93">
        <v>86</v>
      </c>
      <c r="AC29" s="16">
        <v>1.2053361505771532</v>
      </c>
      <c r="AD29" s="16">
        <v>5.2124415909025189E-2</v>
      </c>
      <c r="AE29" s="95">
        <v>0.1</v>
      </c>
      <c r="AF29" s="40">
        <v>5.166666666666667</v>
      </c>
      <c r="AG29" s="96">
        <v>0.44500000000000001</v>
      </c>
    </row>
    <row r="30" spans="1:33" x14ac:dyDescent="0.25">
      <c r="S30" s="88" t="s">
        <v>59</v>
      </c>
      <c r="T30" s="89" t="s">
        <v>34</v>
      </c>
      <c r="U30" s="90">
        <v>600</v>
      </c>
      <c r="V30" s="90">
        <v>600</v>
      </c>
      <c r="W30" s="91">
        <v>3.029891581462156E-2</v>
      </c>
      <c r="X30" s="92">
        <v>5.2359877559829881E-3</v>
      </c>
      <c r="Y30" s="93" t="s">
        <v>16</v>
      </c>
      <c r="Z30" s="94">
        <v>0.33425964806174746</v>
      </c>
      <c r="AA30" s="93">
        <v>85</v>
      </c>
      <c r="AB30" s="16" t="s">
        <v>20</v>
      </c>
      <c r="AC30" s="16">
        <v>1.1480533864161748</v>
      </c>
      <c r="AD30" s="16">
        <v>3.4405187249496504E-2</v>
      </c>
      <c r="AE30" s="95">
        <v>3.9659663659397326E-2</v>
      </c>
      <c r="AF30" s="40">
        <v>3.125</v>
      </c>
      <c r="AG30" s="96">
        <v>0.58882445510051251</v>
      </c>
    </row>
    <row r="31" spans="1:33" ht="15.75" x14ac:dyDescent="0.25">
      <c r="F31" s="106" t="s">
        <v>45</v>
      </c>
      <c r="G31" s="106"/>
      <c r="H31" s="106"/>
      <c r="I31" s="107" t="str">
        <f>U31&amp;"×"&amp;V31</f>
        <v>350×750</v>
      </c>
      <c r="J31" s="108">
        <f>W31</f>
        <v>9.3499781356839069E-3</v>
      </c>
      <c r="K31" s="108">
        <f>X31</f>
        <v>3.8297510443761284E-3</v>
      </c>
      <c r="L31" s="43">
        <f>Z31</f>
        <v>0</v>
      </c>
      <c r="M31" s="43">
        <f>AC31</f>
        <v>1.2053361505771532</v>
      </c>
      <c r="N31" s="109">
        <f>AD31</f>
        <v>4.2719109414765651E-2</v>
      </c>
      <c r="O31" s="109">
        <f>AE31</f>
        <v>0.1</v>
      </c>
      <c r="S31" s="88"/>
      <c r="T31" s="89"/>
      <c r="U31" s="90">
        <v>350</v>
      </c>
      <c r="V31" s="90">
        <v>750</v>
      </c>
      <c r="W31" s="91">
        <v>9.3499781356839069E-3</v>
      </c>
      <c r="X31" s="92">
        <v>3.8297510443761284E-3</v>
      </c>
      <c r="Y31" s="93"/>
      <c r="Z31" s="94">
        <v>0</v>
      </c>
      <c r="AA31" s="93">
        <v>137</v>
      </c>
      <c r="AC31" s="16">
        <v>1.2053361505771532</v>
      </c>
      <c r="AD31" s="16">
        <v>4.2719109414765651E-2</v>
      </c>
      <c r="AE31" s="95">
        <v>0.1</v>
      </c>
      <c r="AF31" s="40">
        <v>5.0666666666666664</v>
      </c>
      <c r="AG31" s="96">
        <v>0.43599999999999994</v>
      </c>
    </row>
    <row r="32" spans="1:33" x14ac:dyDescent="0.25">
      <c r="S32" s="88" t="s">
        <v>60</v>
      </c>
      <c r="T32" s="89" t="s">
        <v>34</v>
      </c>
      <c r="U32" s="90">
        <v>700</v>
      </c>
      <c r="V32" s="90">
        <v>700</v>
      </c>
      <c r="W32" s="91">
        <v>3.1717262974099401E-2</v>
      </c>
      <c r="X32" s="92">
        <v>4.4879895051282755E-3</v>
      </c>
      <c r="Y32" s="93" t="s">
        <v>16</v>
      </c>
      <c r="Z32" s="94">
        <v>0.35039898002996805</v>
      </c>
      <c r="AA32" s="93">
        <v>135</v>
      </c>
      <c r="AB32" s="16" t="s">
        <v>20</v>
      </c>
      <c r="AC32" s="16">
        <v>1.1367484769261536</v>
      </c>
      <c r="AD32" s="16">
        <v>3.0277396507917161E-2</v>
      </c>
      <c r="AE32" s="95">
        <v>3.2063960914466449E-2</v>
      </c>
      <c r="AF32" s="40">
        <v>2.6785714285714284</v>
      </c>
      <c r="AG32" s="96">
        <v>0.56446242900079724</v>
      </c>
    </row>
    <row r="33" spans="9:33" ht="15.75" x14ac:dyDescent="0.25">
      <c r="I33" s="107"/>
      <c r="J33" s="108"/>
      <c r="K33" s="108"/>
      <c r="L33" s="43"/>
      <c r="M33" s="43"/>
      <c r="N33" s="109"/>
      <c r="O33" s="109"/>
      <c r="S33" s="88"/>
      <c r="T33" s="110"/>
      <c r="U33" s="90">
        <v>350</v>
      </c>
      <c r="V33" s="90">
        <v>750</v>
      </c>
      <c r="W33" s="111">
        <v>9.1914025065027091E-3</v>
      </c>
      <c r="X33" s="112">
        <v>3.8297510443761284E-3</v>
      </c>
      <c r="Y33" s="93"/>
      <c r="Z33" s="94">
        <v>0</v>
      </c>
      <c r="AA33" s="93">
        <v>222</v>
      </c>
      <c r="AC33" s="16">
        <v>1.2053361505771532</v>
      </c>
      <c r="AD33" s="16">
        <v>4.284465483790853E-2</v>
      </c>
      <c r="AE33" s="95">
        <v>0.1</v>
      </c>
      <c r="AF33" s="40">
        <v>5</v>
      </c>
      <c r="AG33" s="96">
        <v>0.42999999999999994</v>
      </c>
    </row>
    <row r="34" spans="9:33" x14ac:dyDescent="0.25">
      <c r="S34" s="88" t="s">
        <v>62</v>
      </c>
      <c r="T34" s="89" t="s">
        <v>34</v>
      </c>
      <c r="U34" s="90">
        <v>500</v>
      </c>
      <c r="V34" s="90">
        <v>500</v>
      </c>
      <c r="W34" s="91">
        <v>3.5789023509694928E-2</v>
      </c>
      <c r="X34" s="92">
        <v>6.2831853071795866E-3</v>
      </c>
      <c r="Y34" s="93" t="s">
        <v>16</v>
      </c>
      <c r="Z34" s="94">
        <v>0.2738713115603939</v>
      </c>
      <c r="AA34" s="93">
        <v>55</v>
      </c>
      <c r="AB34" s="16" t="s">
        <v>20</v>
      </c>
      <c r="AC34" s="16">
        <v>1.1581969064411697</v>
      </c>
      <c r="AD34" s="16">
        <v>4.3419335612490596E-2</v>
      </c>
      <c r="AE34" s="95">
        <v>6.116615756505716E-2</v>
      </c>
      <c r="AF34" s="40">
        <v>3.75</v>
      </c>
      <c r="AG34" s="96">
        <v>0.58589388532918596</v>
      </c>
    </row>
    <row r="35" spans="9:33" x14ac:dyDescent="0.25">
      <c r="S35" s="88"/>
      <c r="T35" s="89"/>
      <c r="U35" s="90">
        <v>350</v>
      </c>
      <c r="V35" s="90">
        <v>750</v>
      </c>
      <c r="W35" s="91">
        <v>1.1584996909237789E-2</v>
      </c>
      <c r="X35" s="92">
        <v>4.5957012532513546E-3</v>
      </c>
      <c r="Y35" s="93"/>
      <c r="Z35" s="94">
        <v>0</v>
      </c>
      <c r="AA35" s="93">
        <v>86</v>
      </c>
      <c r="AC35" s="16">
        <v>1.2053361505771532</v>
      </c>
      <c r="AD35" s="16">
        <v>5.2825596037772198E-2</v>
      </c>
      <c r="AE35" s="95">
        <v>0.1</v>
      </c>
      <c r="AF35" s="40">
        <v>5.1333333333333337</v>
      </c>
      <c r="AG35" s="96">
        <v>0.442</v>
      </c>
    </row>
    <row r="36" spans="9:33" x14ac:dyDescent="0.25">
      <c r="S36" s="88" t="s">
        <v>65</v>
      </c>
      <c r="T36" s="89" t="s">
        <v>34</v>
      </c>
      <c r="U36" s="90">
        <v>600</v>
      </c>
      <c r="V36" s="90">
        <v>600</v>
      </c>
      <c r="W36" s="91">
        <v>2.8780479365386493E-2</v>
      </c>
      <c r="X36" s="92">
        <v>5.2359877559829881E-3</v>
      </c>
      <c r="Y36" s="93" t="s">
        <v>16</v>
      </c>
      <c r="Z36" s="94">
        <v>0.33521221415817049</v>
      </c>
      <c r="AA36" s="93">
        <v>85</v>
      </c>
      <c r="AB36" s="16" t="s">
        <v>20</v>
      </c>
      <c r="AC36" s="16">
        <v>1.147894096216906</v>
      </c>
      <c r="AD36" s="16">
        <v>3.4146886415006669E-2</v>
      </c>
      <c r="AE36" s="95">
        <v>3.9495960479560145E-2</v>
      </c>
      <c r="AF36" s="40">
        <v>3.125</v>
      </c>
      <c r="AG36" s="96">
        <v>0.58975796987500706</v>
      </c>
    </row>
    <row r="37" spans="9:33" x14ac:dyDescent="0.25">
      <c r="S37" s="88"/>
      <c r="T37" s="89"/>
      <c r="U37" s="90">
        <v>350</v>
      </c>
      <c r="V37" s="90">
        <v>750</v>
      </c>
      <c r="W37" s="91">
        <v>1.1584996909237789E-2</v>
      </c>
      <c r="X37" s="92">
        <v>4.5957012532513546E-3</v>
      </c>
      <c r="Y37" s="93"/>
      <c r="Z37" s="94">
        <v>0</v>
      </c>
      <c r="AA37" s="93">
        <v>137</v>
      </c>
      <c r="AC37" s="16">
        <v>1.2053361505771532</v>
      </c>
      <c r="AD37" s="16">
        <v>5.2828547062341698E-2</v>
      </c>
      <c r="AE37" s="95">
        <v>0.1</v>
      </c>
      <c r="AF37" s="40">
        <v>5.0666666666666664</v>
      </c>
      <c r="AG37" s="96">
        <v>0.43599999999999994</v>
      </c>
    </row>
    <row r="38" spans="9:33" x14ac:dyDescent="0.25">
      <c r="S38" s="88" t="s">
        <v>66</v>
      </c>
      <c r="T38" s="89" t="s">
        <v>34</v>
      </c>
      <c r="U38" s="90">
        <v>700</v>
      </c>
      <c r="V38" s="90">
        <v>700</v>
      </c>
      <c r="W38" s="91">
        <v>3.0268283505300839E-2</v>
      </c>
      <c r="X38" s="92">
        <v>4.4879895051282755E-3</v>
      </c>
      <c r="Y38" s="93" t="s">
        <v>16</v>
      </c>
      <c r="Z38" s="94">
        <v>0.35620465996617634</v>
      </c>
      <c r="AA38" s="93">
        <v>135</v>
      </c>
      <c r="AB38" s="16" t="s">
        <v>20</v>
      </c>
      <c r="AC38" s="16">
        <v>1.1357875379149309</v>
      </c>
      <c r="AD38" s="16">
        <v>2.9731389436777535E-2</v>
      </c>
      <c r="AE38" s="95">
        <v>3.1265748600645085E-2</v>
      </c>
      <c r="AF38" s="40">
        <v>2.6785714285714284</v>
      </c>
      <c r="AG38" s="96">
        <v>0.57015199533828131</v>
      </c>
    </row>
    <row r="39" spans="9:33" x14ac:dyDescent="0.25">
      <c r="S39" s="88"/>
      <c r="T39" s="89"/>
      <c r="U39" s="90">
        <v>400</v>
      </c>
      <c r="V39" s="90">
        <v>750</v>
      </c>
      <c r="W39" s="91">
        <v>1.0136872295583067E-2</v>
      </c>
      <c r="X39" s="92">
        <v>4.0212385965949357E-3</v>
      </c>
      <c r="Y39" s="93"/>
      <c r="Z39" s="94">
        <v>0</v>
      </c>
      <c r="AA39" s="93">
        <v>222</v>
      </c>
      <c r="AC39" s="16">
        <v>1.2053361505771532</v>
      </c>
      <c r="AD39" s="16">
        <v>4.9545931032265726E-2</v>
      </c>
      <c r="AE39" s="95">
        <v>0.1</v>
      </c>
      <c r="AF39" s="40">
        <v>5</v>
      </c>
      <c r="AG39" s="96">
        <v>0.42999999999999994</v>
      </c>
    </row>
    <row r="40" spans="9:33" x14ac:dyDescent="0.25">
      <c r="S40" s="88" t="s">
        <v>68</v>
      </c>
      <c r="T40" s="89" t="s">
        <v>34</v>
      </c>
      <c r="U40" s="90">
        <v>550</v>
      </c>
      <c r="V40" s="90">
        <v>550</v>
      </c>
      <c r="W40" s="91">
        <v>3.4251148996823598E-2</v>
      </c>
      <c r="X40" s="92">
        <v>5.711986642890533E-3</v>
      </c>
      <c r="Y40" s="93" t="s">
        <v>16</v>
      </c>
      <c r="Z40" s="94">
        <v>0.23097042530493681</v>
      </c>
      <c r="AA40" s="93">
        <v>55</v>
      </c>
      <c r="AB40" s="16" t="s">
        <v>20</v>
      </c>
      <c r="AC40" s="16">
        <v>1.1654574370688573</v>
      </c>
      <c r="AD40" s="16">
        <v>4.5753424265012457E-2</v>
      </c>
      <c r="AE40" s="95">
        <v>6.7366869735472582E-2</v>
      </c>
      <c r="AF40" s="40">
        <v>3.4090909090909092</v>
      </c>
      <c r="AG40" s="96">
        <v>0.51316919861701993</v>
      </c>
    </row>
    <row r="41" spans="9:33" x14ac:dyDescent="0.25">
      <c r="S41" s="88"/>
      <c r="T41" s="89"/>
      <c r="U41" s="90">
        <v>400</v>
      </c>
      <c r="V41" s="90">
        <v>750</v>
      </c>
      <c r="W41" s="91">
        <v>1.2359549097997845E-2</v>
      </c>
      <c r="X41" s="92">
        <v>5.235987755982989E-3</v>
      </c>
      <c r="Y41" s="93"/>
      <c r="Z41" s="94">
        <v>0</v>
      </c>
      <c r="AA41" s="93">
        <v>86</v>
      </c>
      <c r="AC41" s="16">
        <v>1.2053361505771532</v>
      </c>
      <c r="AD41" s="16">
        <v>5.708842607569508E-2</v>
      </c>
      <c r="AE41" s="95">
        <v>0.1</v>
      </c>
      <c r="AF41" s="40">
        <v>5.0999999999999996</v>
      </c>
      <c r="AG41" s="96">
        <v>0.43899999999999995</v>
      </c>
    </row>
    <row r="42" spans="9:33" x14ac:dyDescent="0.25">
      <c r="S42" s="88" t="s">
        <v>71</v>
      </c>
      <c r="T42" s="89" t="s">
        <v>34</v>
      </c>
      <c r="U42" s="90">
        <v>600</v>
      </c>
      <c r="V42" s="90">
        <v>600</v>
      </c>
      <c r="W42" s="91">
        <v>3.9235001584832528E-2</v>
      </c>
      <c r="X42" s="92">
        <v>5.2359877559829881E-3</v>
      </c>
      <c r="Y42" s="93" t="s">
        <v>16</v>
      </c>
      <c r="Z42" s="94">
        <v>0.34027492655952996</v>
      </c>
      <c r="AA42" s="93">
        <v>85</v>
      </c>
      <c r="AB42" s="16" t="s">
        <v>20</v>
      </c>
      <c r="AC42" s="16">
        <v>1.1470478691131469</v>
      </c>
      <c r="AD42" s="16">
        <v>3.5027388911436572E-2</v>
      </c>
      <c r="AE42" s="95">
        <v>3.8637180546133722E-2</v>
      </c>
      <c r="AF42" s="40">
        <v>3.125</v>
      </c>
      <c r="AG42" s="96">
        <v>0.59471942802833933</v>
      </c>
    </row>
    <row r="43" spans="9:33" x14ac:dyDescent="0.25">
      <c r="S43" s="88"/>
      <c r="T43" s="89"/>
      <c r="U43" s="90">
        <v>400</v>
      </c>
      <c r="V43" s="90">
        <v>750</v>
      </c>
      <c r="W43" s="91">
        <v>1.2817698026646358E-2</v>
      </c>
      <c r="X43" s="92">
        <v>5.0265482457436698E-3</v>
      </c>
      <c r="Y43" s="93"/>
      <c r="Z43" s="94">
        <v>0</v>
      </c>
      <c r="AA43" s="93">
        <v>137</v>
      </c>
      <c r="AC43" s="16">
        <v>1.2053361505771532</v>
      </c>
      <c r="AD43" s="16">
        <v>6.2226563618042505E-2</v>
      </c>
      <c r="AE43" s="95">
        <v>0.1</v>
      </c>
      <c r="AF43" s="40">
        <v>5.0666666666666664</v>
      </c>
      <c r="AG43" s="96">
        <v>0.43599999999999994</v>
      </c>
    </row>
    <row r="44" spans="9:33" x14ac:dyDescent="0.25">
      <c r="S44" s="88" t="s">
        <v>72</v>
      </c>
      <c r="T44" s="89" t="s">
        <v>34</v>
      </c>
      <c r="U44" s="90">
        <v>700</v>
      </c>
      <c r="V44" s="90">
        <v>700</v>
      </c>
      <c r="W44" s="91">
        <v>3.2826437523223964E-2</v>
      </c>
      <c r="X44" s="92">
        <v>4.4879895051282755E-3</v>
      </c>
      <c r="Y44" s="93" t="s">
        <v>16</v>
      </c>
      <c r="Z44" s="94">
        <v>0.35747436492845319</v>
      </c>
      <c r="AA44" s="93">
        <v>135</v>
      </c>
      <c r="AB44" s="16" t="s">
        <v>20</v>
      </c>
      <c r="AC44" s="16">
        <v>1.1355774883741605</v>
      </c>
      <c r="AD44" s="16">
        <v>2.9924190936410879E-2</v>
      </c>
      <c r="AE44" s="95">
        <v>3.1093844661922925E-2</v>
      </c>
      <c r="AF44" s="40">
        <v>2.6785714285714284</v>
      </c>
      <c r="AG44" s="96">
        <v>0.57139630620131265</v>
      </c>
    </row>
    <row r="45" spans="9:33" x14ac:dyDescent="0.25">
      <c r="S45" s="88"/>
      <c r="T45" s="89"/>
      <c r="U45" s="90">
        <v>400</v>
      </c>
      <c r="V45" s="90">
        <v>750</v>
      </c>
      <c r="W45" s="91">
        <v>1.340412865531645E-2</v>
      </c>
      <c r="X45" s="92">
        <v>4.4879895051282755E-3</v>
      </c>
      <c r="Y45" s="93"/>
      <c r="Z45" s="94">
        <v>0</v>
      </c>
      <c r="AA45" s="93">
        <v>222</v>
      </c>
      <c r="AC45" s="16">
        <v>1.2053361505771532</v>
      </c>
      <c r="AD45" s="16">
        <v>5.6600550354310594E-2</v>
      </c>
      <c r="AE45" s="95">
        <v>0.1</v>
      </c>
      <c r="AF45" s="40">
        <v>5</v>
      </c>
      <c r="AG45" s="96">
        <v>0.42999999999999994</v>
      </c>
    </row>
    <row r="48" spans="9:33" x14ac:dyDescent="0.25">
      <c r="I48" s="16" t="s">
        <v>59</v>
      </c>
    </row>
    <row r="50" spans="9:9" x14ac:dyDescent="0.25">
      <c r="I50" s="16" t="s">
        <v>60</v>
      </c>
    </row>
    <row r="52" spans="9:9" x14ac:dyDescent="0.25">
      <c r="I52" s="16" t="s">
        <v>61</v>
      </c>
    </row>
    <row r="54" spans="9:9" x14ac:dyDescent="0.25">
      <c r="I54" s="16" t="s">
        <v>62</v>
      </c>
    </row>
    <row r="56" spans="9:9" x14ac:dyDescent="0.25">
      <c r="I56" s="16" t="s">
        <v>63</v>
      </c>
    </row>
    <row r="58" spans="9:9" x14ac:dyDescent="0.25">
      <c r="I58" s="16" t="s">
        <v>64</v>
      </c>
    </row>
    <row r="60" spans="9:9" x14ac:dyDescent="0.25">
      <c r="I60" s="16" t="s">
        <v>65</v>
      </c>
    </row>
    <row r="62" spans="9:9" x14ac:dyDescent="0.25">
      <c r="I62" s="16" t="s">
        <v>66</v>
      </c>
    </row>
    <row r="64" spans="9:9" x14ac:dyDescent="0.25">
      <c r="I64" s="16" t="s">
        <v>67</v>
      </c>
    </row>
    <row r="66" spans="9:9" x14ac:dyDescent="0.25">
      <c r="I66" s="16" t="s">
        <v>68</v>
      </c>
    </row>
    <row r="68" spans="9:9" x14ac:dyDescent="0.25">
      <c r="I68" s="16" t="s">
        <v>69</v>
      </c>
    </row>
    <row r="70" spans="9:9" x14ac:dyDescent="0.25">
      <c r="I70" s="16" t="s">
        <v>70</v>
      </c>
    </row>
    <row r="72" spans="9:9" x14ac:dyDescent="0.25">
      <c r="I72" s="16" t="s">
        <v>71</v>
      </c>
    </row>
    <row r="74" spans="9:9" x14ac:dyDescent="0.25">
      <c r="I74" s="16" t="s">
        <v>55</v>
      </c>
    </row>
    <row r="76" spans="9:9" x14ac:dyDescent="0.25">
      <c r="I76" s="16" t="s">
        <v>56</v>
      </c>
    </row>
    <row r="78" spans="9:9" x14ac:dyDescent="0.25">
      <c r="I78" s="16" t="s">
        <v>57</v>
      </c>
    </row>
    <row r="80" spans="9:9" x14ac:dyDescent="0.25">
      <c r="I80" s="16" t="s">
        <v>58</v>
      </c>
    </row>
    <row r="82" spans="9:9" x14ac:dyDescent="0.25">
      <c r="I82" s="16" t="s">
        <v>72</v>
      </c>
    </row>
    <row r="84" spans="9:9" x14ac:dyDescent="0.25">
      <c r="I84" s="16" t="s">
        <v>73</v>
      </c>
    </row>
    <row r="86" spans="9:9" x14ac:dyDescent="0.25">
      <c r="I86" s="16" t="s">
        <v>74</v>
      </c>
    </row>
    <row r="88" spans="9:9" x14ac:dyDescent="0.25">
      <c r="I88" s="16" t="s">
        <v>75</v>
      </c>
    </row>
    <row r="90" spans="9:9" x14ac:dyDescent="0.25">
      <c r="I90" s="16" t="s">
        <v>76</v>
      </c>
    </row>
    <row r="92" spans="9:9" x14ac:dyDescent="0.25">
      <c r="I92" s="16" t="s">
        <v>77</v>
      </c>
    </row>
    <row r="94" spans="9:9" x14ac:dyDescent="0.25">
      <c r="I94" s="16" t="s">
        <v>78</v>
      </c>
    </row>
    <row r="96" spans="9:9" x14ac:dyDescent="0.25">
      <c r="I96" s="16" t="s">
        <v>79</v>
      </c>
    </row>
    <row r="98" spans="9:9" x14ac:dyDescent="0.25">
      <c r="I98" s="16" t="s">
        <v>80</v>
      </c>
    </row>
    <row r="100" spans="9:9" x14ac:dyDescent="0.25">
      <c r="I100" s="16" t="s">
        <v>81</v>
      </c>
    </row>
    <row r="102" spans="9:9" x14ac:dyDescent="0.25">
      <c r="I102" s="16" t="s">
        <v>82</v>
      </c>
    </row>
    <row r="104" spans="9:9" x14ac:dyDescent="0.25">
      <c r="I104" s="16" t="s">
        <v>83</v>
      </c>
    </row>
    <row r="106" spans="9:9" x14ac:dyDescent="0.25">
      <c r="I106" s="16" t="s">
        <v>84</v>
      </c>
    </row>
  </sheetData>
  <mergeCells count="36">
    <mergeCell ref="D17:D18"/>
    <mergeCell ref="F15:F16"/>
    <mergeCell ref="E17:E18"/>
    <mergeCell ref="F17:F18"/>
    <mergeCell ref="U27:V27"/>
    <mergeCell ref="S26:AG26"/>
    <mergeCell ref="A13:A14"/>
    <mergeCell ref="A15:A16"/>
    <mergeCell ref="A17:A18"/>
    <mergeCell ref="Z1:AD4"/>
    <mergeCell ref="B17:B18"/>
    <mergeCell ref="T1:W4"/>
    <mergeCell ref="B11:B12"/>
    <mergeCell ref="B13:B14"/>
    <mergeCell ref="B15:B16"/>
    <mergeCell ref="B9:B10"/>
    <mergeCell ref="D13:D14"/>
    <mergeCell ref="E13:E14"/>
    <mergeCell ref="F13:F14"/>
    <mergeCell ref="D15:D16"/>
    <mergeCell ref="E15:E16"/>
    <mergeCell ref="U6:V6"/>
    <mergeCell ref="S5:AG5"/>
    <mergeCell ref="A7:A8"/>
    <mergeCell ref="A9:A10"/>
    <mergeCell ref="A11:A12"/>
    <mergeCell ref="D7:D8"/>
    <mergeCell ref="E7:E8"/>
    <mergeCell ref="F7:F8"/>
    <mergeCell ref="D9:D10"/>
    <mergeCell ref="E9:E10"/>
    <mergeCell ref="F9:F10"/>
    <mergeCell ref="D11:D12"/>
    <mergeCell ref="E11:E12"/>
    <mergeCell ref="F11:F12"/>
    <mergeCell ref="B7:B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rgb="FF00FF00"/>
  </sheetPr>
  <dimension ref="A1:AI49"/>
  <sheetViews>
    <sheetView zoomScale="115" zoomScaleNormal="115" workbookViewId="0">
      <selection activeCell="A7" sqref="A7"/>
    </sheetView>
  </sheetViews>
  <sheetFormatPr defaultRowHeight="15.75" x14ac:dyDescent="0.25"/>
  <cols>
    <col min="1" max="1" width="9.140625" style="13"/>
    <col min="2" max="17" width="11.5703125" style="13" customWidth="1"/>
    <col min="18" max="25" width="13.28515625" style="13" customWidth="1"/>
    <col min="26" max="26" width="14.140625" style="13" customWidth="1"/>
    <col min="27" max="16384" width="9.140625" style="13"/>
  </cols>
  <sheetData>
    <row r="1" spans="1:35" ht="18.75" x14ac:dyDescent="0.35">
      <c r="B1" s="34" t="s">
        <v>390</v>
      </c>
      <c r="C1" s="34" t="s">
        <v>311</v>
      </c>
      <c r="D1" s="166" t="s">
        <v>391</v>
      </c>
      <c r="E1" s="166" t="s">
        <v>392</v>
      </c>
      <c r="F1" s="166" t="s">
        <v>357</v>
      </c>
      <c r="G1" s="166" t="s">
        <v>489</v>
      </c>
      <c r="H1" s="34" t="s">
        <v>356</v>
      </c>
      <c r="I1" s="34" t="s">
        <v>477</v>
      </c>
    </row>
    <row r="2" spans="1:35" x14ac:dyDescent="0.25">
      <c r="A2" s="47" t="s">
        <v>288</v>
      </c>
    </row>
    <row r="3" spans="1:35" ht="36" customHeight="1" x14ac:dyDescent="0.25">
      <c r="A3" s="738" t="s">
        <v>114</v>
      </c>
      <c r="B3" s="738"/>
      <c r="C3" s="738"/>
      <c r="D3" s="738"/>
      <c r="E3" s="738"/>
      <c r="F3" s="738"/>
      <c r="G3" s="738"/>
      <c r="H3" s="738"/>
      <c r="I3" s="738"/>
      <c r="J3" s="738"/>
      <c r="K3" s="738"/>
      <c r="L3" s="738"/>
      <c r="M3" s="738"/>
      <c r="N3" s="738"/>
      <c r="O3" s="738"/>
      <c r="P3" s="167"/>
      <c r="Q3" s="167"/>
    </row>
    <row r="5" spans="1:35" ht="16.5" customHeight="1" x14ac:dyDescent="0.25">
      <c r="A5" s="739" t="s">
        <v>111</v>
      </c>
      <c r="B5" s="33" t="s">
        <v>146</v>
      </c>
      <c r="C5" s="33"/>
      <c r="D5" s="33"/>
      <c r="E5" s="33"/>
      <c r="F5" s="33"/>
      <c r="G5" s="33"/>
      <c r="H5" s="33"/>
      <c r="I5" s="33"/>
      <c r="J5" s="33" t="s">
        <v>521</v>
      </c>
      <c r="K5" s="33"/>
      <c r="L5" s="33"/>
      <c r="M5" s="33"/>
      <c r="N5" s="33"/>
      <c r="O5" s="33"/>
      <c r="P5" s="33"/>
      <c r="Q5" s="33"/>
      <c r="R5" s="190" t="s">
        <v>520</v>
      </c>
      <c r="S5" s="190"/>
      <c r="T5" s="190"/>
      <c r="U5" s="190"/>
      <c r="V5" s="190"/>
      <c r="W5" s="190"/>
      <c r="X5" s="190"/>
      <c r="Y5" s="190"/>
    </row>
    <row r="6" spans="1:35" ht="16.5" customHeight="1" x14ac:dyDescent="0.25">
      <c r="A6" s="740"/>
      <c r="B6" s="34" t="s">
        <v>390</v>
      </c>
      <c r="C6" s="34"/>
      <c r="D6" s="166" t="s">
        <v>391</v>
      </c>
      <c r="E6" s="166"/>
      <c r="F6" s="166" t="s">
        <v>357</v>
      </c>
      <c r="G6" s="166"/>
      <c r="H6" s="34" t="s">
        <v>356</v>
      </c>
      <c r="I6" s="34"/>
      <c r="J6" s="34" t="s">
        <v>390</v>
      </c>
      <c r="K6" s="34"/>
      <c r="L6" s="166" t="s">
        <v>391</v>
      </c>
      <c r="M6" s="166"/>
      <c r="N6" s="166" t="s">
        <v>357</v>
      </c>
      <c r="O6" s="166"/>
      <c r="P6" s="34" t="s">
        <v>356</v>
      </c>
      <c r="Q6" s="34"/>
      <c r="R6" s="191" t="s">
        <v>390</v>
      </c>
      <c r="S6" s="191"/>
      <c r="T6" s="192" t="s">
        <v>391</v>
      </c>
      <c r="U6" s="192"/>
      <c r="V6" s="192" t="s">
        <v>357</v>
      </c>
      <c r="W6" s="192"/>
      <c r="X6" s="192" t="s">
        <v>356</v>
      </c>
      <c r="Y6" s="192"/>
    </row>
    <row r="7" spans="1:35" ht="16.5" x14ac:dyDescent="0.25">
      <c r="A7" s="113">
        <v>1</v>
      </c>
      <c r="B7" s="545" t="s">
        <v>535</v>
      </c>
      <c r="C7" s="545" t="s">
        <v>536</v>
      </c>
      <c r="D7" s="545" t="s">
        <v>537</v>
      </c>
      <c r="E7" s="545" t="s">
        <v>538</v>
      </c>
      <c r="F7" s="545" t="s">
        <v>539</v>
      </c>
      <c r="G7" s="545" t="s">
        <v>540</v>
      </c>
      <c r="H7" s="545" t="s">
        <v>541</v>
      </c>
      <c r="I7" s="545" t="s">
        <v>542</v>
      </c>
      <c r="J7" s="545" t="s">
        <v>504</v>
      </c>
      <c r="K7" s="545" t="s">
        <v>505</v>
      </c>
      <c r="L7" s="545" t="s">
        <v>506</v>
      </c>
      <c r="M7" s="545" t="s">
        <v>507</v>
      </c>
      <c r="N7" s="545" t="s">
        <v>508</v>
      </c>
      <c r="O7" s="545" t="s">
        <v>509</v>
      </c>
      <c r="P7" s="545" t="s">
        <v>510</v>
      </c>
      <c r="Q7" s="545" t="s">
        <v>511</v>
      </c>
      <c r="R7" s="546" t="s">
        <v>512</v>
      </c>
      <c r="S7" s="546" t="s">
        <v>513</v>
      </c>
      <c r="T7" s="546" t="s">
        <v>514</v>
      </c>
      <c r="U7" s="546" t="s">
        <v>515</v>
      </c>
      <c r="V7" s="546" t="s">
        <v>516</v>
      </c>
      <c r="W7" s="546" t="s">
        <v>517</v>
      </c>
      <c r="X7" s="546" t="s">
        <v>518</v>
      </c>
      <c r="Y7" s="546" t="s">
        <v>519</v>
      </c>
      <c r="Z7"/>
      <c r="AA7"/>
      <c r="AB7"/>
      <c r="AC7"/>
      <c r="AD7"/>
      <c r="AE7"/>
      <c r="AF7"/>
      <c r="AG7"/>
      <c r="AH7"/>
      <c r="AI7"/>
    </row>
    <row r="8" spans="1:35" x14ac:dyDescent="0.25">
      <c r="A8" s="55">
        <v>2211</v>
      </c>
      <c r="B8" s="115">
        <v>1.0928934377375299</v>
      </c>
      <c r="C8" s="12">
        <v>0.57832164173848499</v>
      </c>
      <c r="D8" s="114">
        <v>0.86880020929179902</v>
      </c>
      <c r="E8" s="45">
        <v>0.59823663063672505</v>
      </c>
      <c r="F8" s="114">
        <v>0.50941595935307205</v>
      </c>
      <c r="G8" s="45">
        <v>0.57409682847242705</v>
      </c>
      <c r="H8" s="115">
        <v>0.15096302440761</v>
      </c>
      <c r="I8" s="12">
        <v>0.530949930905395</v>
      </c>
      <c r="J8" s="115">
        <v>2.1968714444179702</v>
      </c>
      <c r="K8" s="12">
        <v>0.65716776994297699</v>
      </c>
      <c r="L8" s="114">
        <v>1.7432184363065399</v>
      </c>
      <c r="M8" s="45">
        <v>0.62925058825566105</v>
      </c>
      <c r="N8" s="114">
        <v>1.0394275645386799</v>
      </c>
      <c r="O8" s="45">
        <v>0.56830428538789102</v>
      </c>
      <c r="P8" s="115">
        <v>0.305125890662791</v>
      </c>
      <c r="Q8" s="12">
        <v>0.50062116082068298</v>
      </c>
      <c r="R8" s="194">
        <v>0.61542853557325605</v>
      </c>
      <c r="S8" s="195">
        <v>0.31390996850330199</v>
      </c>
      <c r="T8" s="196">
        <v>0.480747714309749</v>
      </c>
      <c r="U8" s="197">
        <v>0.274363313014585</v>
      </c>
      <c r="V8" s="196">
        <v>0.294774331984483</v>
      </c>
      <c r="W8" s="197">
        <v>0.250086433835157</v>
      </c>
      <c r="X8" s="196">
        <v>8.1578068626681696E-2</v>
      </c>
      <c r="Y8" s="197">
        <v>0.37850327650951998</v>
      </c>
      <c r="Z8"/>
      <c r="AA8"/>
      <c r="AB8"/>
      <c r="AC8"/>
      <c r="AD8"/>
      <c r="AE8"/>
      <c r="AF8"/>
      <c r="AG8"/>
      <c r="AH8"/>
      <c r="AI8"/>
    </row>
    <row r="9" spans="1:35" x14ac:dyDescent="0.25">
      <c r="A9" s="42">
        <v>2213</v>
      </c>
      <c r="B9" s="119">
        <v>0.71015661133488905</v>
      </c>
      <c r="C9" s="10">
        <v>0.630612330737233</v>
      </c>
      <c r="D9" s="118">
        <v>0.53007075694706896</v>
      </c>
      <c r="E9" s="44">
        <v>0.46404777047518603</v>
      </c>
      <c r="F9" s="118">
        <v>0.32957247557769398</v>
      </c>
      <c r="G9" s="44">
        <v>0.51424208091500001</v>
      </c>
      <c r="H9" s="119">
        <v>0.15301944813395199</v>
      </c>
      <c r="I9" s="10">
        <v>0.58569809104829795</v>
      </c>
      <c r="J9" s="119">
        <v>1.30358904580216</v>
      </c>
      <c r="K9" s="10">
        <v>0.49882182131809799</v>
      </c>
      <c r="L9" s="118">
        <v>1.0018118429998</v>
      </c>
      <c r="M9" s="44">
        <v>0.405767622351209</v>
      </c>
      <c r="N9" s="118">
        <v>0.60791948383782601</v>
      </c>
      <c r="O9" s="44">
        <v>0.42331489455120103</v>
      </c>
      <c r="P9" s="119">
        <v>0.28380346137517998</v>
      </c>
      <c r="Q9" s="10">
        <v>0.45844116877964503</v>
      </c>
      <c r="R9" s="198">
        <v>0.60356346302022501</v>
      </c>
      <c r="S9" s="199">
        <v>0.33879492055531601</v>
      </c>
      <c r="T9" s="200">
        <v>0.48761337806114202</v>
      </c>
      <c r="U9" s="201">
        <v>0.31606684064621299</v>
      </c>
      <c r="V9" s="200">
        <v>0.29981845054678402</v>
      </c>
      <c r="W9" s="201">
        <v>0.172384627976021</v>
      </c>
      <c r="X9" s="200">
        <v>0.14462659257226601</v>
      </c>
      <c r="Y9" s="201">
        <v>0.203015970776629</v>
      </c>
      <c r="Z9"/>
      <c r="AA9"/>
      <c r="AB9"/>
      <c r="AC9"/>
      <c r="AD9"/>
      <c r="AE9"/>
      <c r="AF9"/>
      <c r="AG9"/>
      <c r="AH9"/>
      <c r="AI9"/>
    </row>
    <row r="10" spans="1:35" x14ac:dyDescent="0.25">
      <c r="A10" s="42">
        <v>2215</v>
      </c>
      <c r="B10" s="117">
        <v>0.56080433606182201</v>
      </c>
      <c r="C10" s="11">
        <v>0.69834178950793502</v>
      </c>
      <c r="D10" s="116">
        <v>0.48022254844839202</v>
      </c>
      <c r="E10" s="46">
        <v>0.69810111423592003</v>
      </c>
      <c r="F10" s="116">
        <v>0.30772881194948998</v>
      </c>
      <c r="G10" s="46">
        <v>0.52684653851005303</v>
      </c>
      <c r="H10" s="117">
        <v>0.112702025444334</v>
      </c>
      <c r="I10" s="11">
        <v>0.62859949132499604</v>
      </c>
      <c r="J10" s="117">
        <v>1.0433619967821599</v>
      </c>
      <c r="K10" s="11">
        <v>0.66648260728285602</v>
      </c>
      <c r="L10" s="116">
        <v>0.89672012348100105</v>
      </c>
      <c r="M10" s="46">
        <v>0.66666371267324698</v>
      </c>
      <c r="N10" s="116">
        <v>0.55957660977953505</v>
      </c>
      <c r="O10" s="46">
        <v>0.52205703192867603</v>
      </c>
      <c r="P10" s="117">
        <v>0.20162887645095001</v>
      </c>
      <c r="Q10" s="11">
        <v>0.59962191048819502</v>
      </c>
      <c r="R10" s="202">
        <v>0.566552841883322</v>
      </c>
      <c r="S10" s="203">
        <v>0.41287443584858402</v>
      </c>
      <c r="T10" s="204">
        <v>0.48098237165330698</v>
      </c>
      <c r="U10" s="205">
        <v>0.44771906420869001</v>
      </c>
      <c r="V10" s="204">
        <v>0.30101952378322</v>
      </c>
      <c r="W10" s="205">
        <v>0.37620219265384103</v>
      </c>
      <c r="X10" s="204">
        <v>0.11812143296929099</v>
      </c>
      <c r="Y10" s="205">
        <v>0.40741491944601599</v>
      </c>
      <c r="Z10"/>
      <c r="AA10"/>
      <c r="AB10"/>
      <c r="AC10"/>
      <c r="AD10"/>
      <c r="AE10"/>
      <c r="AF10"/>
      <c r="AG10"/>
      <c r="AH10"/>
      <c r="AI10"/>
    </row>
    <row r="11" spans="1:35" x14ac:dyDescent="0.25">
      <c r="A11" s="55">
        <v>2219</v>
      </c>
      <c r="B11" s="115">
        <v>1.32138019996012</v>
      </c>
      <c r="C11" s="12">
        <v>0.66714154082785704</v>
      </c>
      <c r="D11" s="114">
        <v>0.91582156979545604</v>
      </c>
      <c r="E11" s="45">
        <v>0.56400352130344</v>
      </c>
      <c r="F11" s="114">
        <v>0.52497723534150098</v>
      </c>
      <c r="G11" s="45">
        <v>0.44964274029212298</v>
      </c>
      <c r="H11" s="115">
        <v>0.243637082867633</v>
      </c>
      <c r="I11" s="12">
        <v>0.59384794643282801</v>
      </c>
      <c r="J11" s="115">
        <v>2.6346662035035302</v>
      </c>
      <c r="K11" s="12">
        <v>0.68233968900983499</v>
      </c>
      <c r="L11" s="114">
        <v>1.8159062413890901</v>
      </c>
      <c r="M11" s="45">
        <v>0.54086641994775098</v>
      </c>
      <c r="N11" s="114">
        <v>1.05239345791427</v>
      </c>
      <c r="O11" s="45">
        <v>0.39616235647081699</v>
      </c>
      <c r="P11" s="115">
        <v>0.48513557362253301</v>
      </c>
      <c r="Q11" s="12">
        <v>0.50102440479696297</v>
      </c>
      <c r="R11" s="194">
        <v>1.04213221837993</v>
      </c>
      <c r="S11" s="195">
        <v>0.33381287663296899</v>
      </c>
      <c r="T11" s="196">
        <v>0.731196098658636</v>
      </c>
      <c r="U11" s="197">
        <v>0.33658541696315702</v>
      </c>
      <c r="V11" s="196">
        <v>0.41745991808503202</v>
      </c>
      <c r="W11" s="197">
        <v>0.34338981116115103</v>
      </c>
      <c r="X11" s="196">
        <v>0.194876931176307</v>
      </c>
      <c r="Y11" s="197">
        <v>0.25652004319025301</v>
      </c>
      <c r="Z11"/>
      <c r="AA11"/>
      <c r="AB11"/>
      <c r="AC11"/>
      <c r="AD11"/>
      <c r="AE11"/>
      <c r="AF11"/>
      <c r="AG11"/>
      <c r="AH11"/>
      <c r="AI11"/>
    </row>
    <row r="12" spans="1:35" x14ac:dyDescent="0.25">
      <c r="A12" s="42">
        <v>2221</v>
      </c>
      <c r="B12" s="119">
        <v>1.0454064404744201</v>
      </c>
      <c r="C12" s="10">
        <v>0.77663312662320005</v>
      </c>
      <c r="D12" s="118">
        <v>0.69317913865444702</v>
      </c>
      <c r="E12" s="44">
        <v>0.65933253744445197</v>
      </c>
      <c r="F12" s="118">
        <v>0.46227385192350201</v>
      </c>
      <c r="G12" s="44">
        <v>0.58933044534117496</v>
      </c>
      <c r="H12" s="119">
        <v>0.228830781232919</v>
      </c>
      <c r="I12" s="10">
        <v>0.73531854868222801</v>
      </c>
      <c r="J12" s="119">
        <v>1.7650610524902699</v>
      </c>
      <c r="K12" s="10">
        <v>0.61891176604253695</v>
      </c>
      <c r="L12" s="118">
        <v>1.17625958988515</v>
      </c>
      <c r="M12" s="44">
        <v>0.470868909869192</v>
      </c>
      <c r="N12" s="118">
        <v>0.77693469563328899</v>
      </c>
      <c r="O12" s="44">
        <v>0.38013760912266698</v>
      </c>
      <c r="P12" s="119">
        <v>0.38222350320627702</v>
      </c>
      <c r="Q12" s="10">
        <v>0.54209667428598696</v>
      </c>
      <c r="R12" s="198">
        <v>0.66601816034591499</v>
      </c>
      <c r="S12" s="199">
        <v>0.27239949394166102</v>
      </c>
      <c r="T12" s="200">
        <v>0.44981847814588299</v>
      </c>
      <c r="U12" s="201">
        <v>0.27540299769527499</v>
      </c>
      <c r="V12" s="200">
        <v>0.30745594040388302</v>
      </c>
      <c r="W12" s="201">
        <v>0.30575141219352198</v>
      </c>
      <c r="X12" s="200">
        <v>0.16708318716880199</v>
      </c>
      <c r="Y12" s="201">
        <v>0.15683488375260801</v>
      </c>
      <c r="Z12"/>
      <c r="AA12"/>
      <c r="AB12"/>
      <c r="AC12"/>
      <c r="AD12"/>
      <c r="AE12"/>
      <c r="AF12"/>
      <c r="AG12"/>
      <c r="AH12"/>
      <c r="AI12"/>
    </row>
    <row r="13" spans="1:35" x14ac:dyDescent="0.25">
      <c r="A13" s="14">
        <v>2223</v>
      </c>
      <c r="B13" s="117">
        <v>1.07070108183948</v>
      </c>
      <c r="C13" s="11">
        <v>0.72001109075949998</v>
      </c>
      <c r="D13" s="116">
        <v>0.80660693755845503</v>
      </c>
      <c r="E13" s="46">
        <v>0.66621753313194298</v>
      </c>
      <c r="F13" s="116">
        <v>0.49243316259197201</v>
      </c>
      <c r="G13" s="46">
        <v>0.61209651282344801</v>
      </c>
      <c r="H13" s="117">
        <v>0.23444912553964201</v>
      </c>
      <c r="I13" s="11">
        <v>0.78718679669046798</v>
      </c>
      <c r="J13" s="117">
        <v>1.51127931535212</v>
      </c>
      <c r="K13" s="11">
        <v>0.51163873691012995</v>
      </c>
      <c r="L13" s="116">
        <v>1.1706146723484001</v>
      </c>
      <c r="M13" s="46">
        <v>0.45801031947895698</v>
      </c>
      <c r="N13" s="116">
        <v>0.71243608394439895</v>
      </c>
      <c r="O13" s="46">
        <v>0.389793426426569</v>
      </c>
      <c r="P13" s="117">
        <v>0.33481713841606903</v>
      </c>
      <c r="Q13" s="11">
        <v>0.54976224043242305</v>
      </c>
      <c r="R13" s="202">
        <v>0.774961899324492</v>
      </c>
      <c r="S13" s="203">
        <v>0.44218560753076203</v>
      </c>
      <c r="T13" s="204">
        <v>0.57120232355234701</v>
      </c>
      <c r="U13" s="205">
        <v>0.395873931084608</v>
      </c>
      <c r="V13" s="204">
        <v>0.35631749936364299</v>
      </c>
      <c r="W13" s="205">
        <v>0.42100184880799002</v>
      </c>
      <c r="X13" s="204">
        <v>0.172762260953187</v>
      </c>
      <c r="Y13" s="205">
        <v>0.40387812525366801</v>
      </c>
      <c r="Z13"/>
      <c r="AA13"/>
      <c r="AB13"/>
      <c r="AC13"/>
      <c r="AD13"/>
      <c r="AE13"/>
      <c r="AF13"/>
      <c r="AG13"/>
      <c r="AH13"/>
      <c r="AI13"/>
    </row>
    <row r="14" spans="1:35" ht="18.75" x14ac:dyDescent="0.35">
      <c r="A14" s="13" t="s">
        <v>115</v>
      </c>
      <c r="S14"/>
      <c r="T14"/>
      <c r="U14"/>
      <c r="V14"/>
      <c r="W14"/>
      <c r="X14"/>
      <c r="Y14"/>
      <c r="Z14"/>
      <c r="AA14"/>
      <c r="AB14"/>
      <c r="AC14"/>
      <c r="AD14"/>
      <c r="AE14"/>
      <c r="AF14"/>
      <c r="AG14"/>
      <c r="AH14"/>
      <c r="AI14"/>
    </row>
    <row r="15" spans="1:35" ht="18.75" x14ac:dyDescent="0.35">
      <c r="A15" s="13" t="s">
        <v>184</v>
      </c>
      <c r="S15"/>
      <c r="T15"/>
      <c r="U15"/>
      <c r="V15"/>
      <c r="W15"/>
      <c r="X15"/>
      <c r="Y15"/>
      <c r="Z15"/>
      <c r="AA15"/>
      <c r="AB15"/>
      <c r="AC15"/>
      <c r="AD15"/>
      <c r="AE15"/>
      <c r="AF15"/>
      <c r="AG15"/>
      <c r="AH15"/>
      <c r="AI15"/>
    </row>
    <row r="16" spans="1:35" x14ac:dyDescent="0.25">
      <c r="S16"/>
      <c r="T16"/>
      <c r="U16"/>
      <c r="V16"/>
      <c r="W16"/>
      <c r="X16"/>
      <c r="Y16"/>
      <c r="Z16"/>
      <c r="AA16"/>
      <c r="AB16"/>
      <c r="AC16"/>
      <c r="AD16"/>
      <c r="AE16"/>
      <c r="AF16"/>
      <c r="AG16"/>
      <c r="AH16"/>
      <c r="AI16"/>
    </row>
    <row r="17" spans="1:35" x14ac:dyDescent="0.25">
      <c r="B17" s="13" t="s">
        <v>192</v>
      </c>
      <c r="C17" s="10">
        <f>MIN(C8:C13)</f>
        <v>0.57832164173848499</v>
      </c>
      <c r="E17" s="10">
        <f>MIN(E8:E13)</f>
        <v>0.46404777047518603</v>
      </c>
      <c r="G17" s="10">
        <f>MIN(G8:G13)</f>
        <v>0.44964274029212298</v>
      </c>
      <c r="H17" s="10"/>
      <c r="I17" s="10"/>
      <c r="K17" s="10">
        <f>MIN(K8:K13)</f>
        <v>0.49882182131809799</v>
      </c>
      <c r="M17" s="10">
        <f>MIN(M8:M13)</f>
        <v>0.405767622351209</v>
      </c>
      <c r="O17" s="10">
        <f>MIN(O8:O13)</f>
        <v>0.38013760912266698</v>
      </c>
      <c r="P17" s="10"/>
      <c r="Q17" s="10"/>
      <c r="S17"/>
      <c r="T17"/>
      <c r="U17"/>
      <c r="V17"/>
      <c r="W17"/>
      <c r="X17"/>
      <c r="Y17"/>
      <c r="Z17"/>
      <c r="AA17"/>
      <c r="AB17"/>
      <c r="AC17"/>
      <c r="AD17"/>
      <c r="AE17"/>
      <c r="AF17"/>
      <c r="AG17"/>
      <c r="AH17"/>
      <c r="AI17"/>
    </row>
    <row r="18" spans="1:35" x14ac:dyDescent="0.25">
      <c r="B18" s="13" t="s">
        <v>193</v>
      </c>
      <c r="C18" s="10">
        <f>MAX(C8:C13)</f>
        <v>0.77663312662320005</v>
      </c>
      <c r="E18" s="10">
        <f>MAX(E8:E13)</f>
        <v>0.69810111423592003</v>
      </c>
      <c r="G18" s="10">
        <f>MAX(G8:G13)</f>
        <v>0.61209651282344801</v>
      </c>
      <c r="H18" s="10"/>
      <c r="I18" s="10"/>
      <c r="K18" s="10">
        <f>MAX(K8:K13)</f>
        <v>0.68233968900983499</v>
      </c>
      <c r="M18" s="10">
        <f>MAX(M8:M13)</f>
        <v>0.66666371267324698</v>
      </c>
      <c r="O18" s="10">
        <f>MAX(O8:O13)</f>
        <v>0.56830428538789102</v>
      </c>
      <c r="P18" s="10"/>
      <c r="Q18" s="10"/>
      <c r="S18"/>
      <c r="T18"/>
      <c r="U18"/>
      <c r="V18"/>
      <c r="W18"/>
      <c r="X18"/>
      <c r="Y18"/>
      <c r="Z18"/>
      <c r="AA18"/>
      <c r="AB18"/>
      <c r="AC18"/>
      <c r="AD18"/>
      <c r="AE18"/>
      <c r="AF18"/>
      <c r="AG18"/>
      <c r="AH18"/>
      <c r="AI18"/>
    </row>
    <row r="19" spans="1:35" x14ac:dyDescent="0.25">
      <c r="B19" s="13" t="s">
        <v>194</v>
      </c>
      <c r="C19" s="10">
        <f>C18-C17</f>
        <v>0.19831148488471506</v>
      </c>
      <c r="E19" s="10">
        <f>E18-E17</f>
        <v>0.234053343760734</v>
      </c>
      <c r="G19" s="10">
        <f>G18-G17</f>
        <v>0.16245377253132504</v>
      </c>
      <c r="H19" s="10"/>
      <c r="I19" s="10"/>
      <c r="K19" s="10">
        <f>K18-K17</f>
        <v>0.183517867691737</v>
      </c>
      <c r="M19" s="10">
        <f>M18-M17</f>
        <v>0.26089609032203798</v>
      </c>
      <c r="O19" s="10">
        <f>O18-O17</f>
        <v>0.18816667626522404</v>
      </c>
      <c r="P19" s="10"/>
      <c r="Q19" s="10"/>
      <c r="S19"/>
      <c r="T19"/>
      <c r="U19"/>
      <c r="V19"/>
      <c r="W19"/>
      <c r="X19"/>
      <c r="Y19"/>
      <c r="Z19"/>
      <c r="AA19"/>
      <c r="AB19"/>
      <c r="AC19"/>
      <c r="AD19"/>
      <c r="AE19"/>
      <c r="AF19"/>
      <c r="AG19"/>
      <c r="AH19"/>
      <c r="AI19"/>
    </row>
    <row r="20" spans="1:35" x14ac:dyDescent="0.25">
      <c r="B20" s="13" t="s">
        <v>195</v>
      </c>
      <c r="C20" s="10">
        <f>AVERAGE(C8:C13)</f>
        <v>0.67851025336570159</v>
      </c>
      <c r="E20" s="10">
        <f>AVERAGE(E8:E13)</f>
        <v>0.60832318453794432</v>
      </c>
      <c r="G20" s="10">
        <f>AVERAGE(G8:G13)</f>
        <v>0.54437585772570429</v>
      </c>
      <c r="H20" s="10"/>
      <c r="I20" s="10"/>
      <c r="K20" s="10">
        <f>AVERAGE(K8:K13)</f>
        <v>0.60589373175107208</v>
      </c>
      <c r="M20" s="10">
        <f>AVERAGE(M8:M13)</f>
        <v>0.5285712620960028</v>
      </c>
      <c r="O20" s="10">
        <f>AVERAGE(O8:O13)</f>
        <v>0.44662826731463684</v>
      </c>
      <c r="P20" s="10"/>
      <c r="Q20" s="10"/>
      <c r="R20"/>
      <c r="S20"/>
      <c r="T20"/>
      <c r="U20"/>
      <c r="V20"/>
      <c r="W20"/>
      <c r="X20"/>
      <c r="Y20"/>
      <c r="Z20"/>
      <c r="AA20"/>
      <c r="AB20"/>
      <c r="AC20"/>
      <c r="AD20"/>
      <c r="AE20"/>
      <c r="AF20"/>
      <c r="AG20"/>
      <c r="AH20"/>
      <c r="AI20"/>
    </row>
    <row r="21" spans="1:35" x14ac:dyDescent="0.25">
      <c r="C21" s="13" t="s">
        <v>191</v>
      </c>
      <c r="R21"/>
      <c r="S21" s="122"/>
      <c r="T21"/>
      <c r="U21"/>
      <c r="V21"/>
      <c r="W21"/>
      <c r="X21"/>
      <c r="Y21"/>
      <c r="Z21"/>
      <c r="AA21"/>
      <c r="AB21"/>
      <c r="AC21"/>
      <c r="AD21"/>
      <c r="AE21"/>
      <c r="AF21"/>
      <c r="AG21"/>
      <c r="AH21"/>
      <c r="AI21"/>
    </row>
    <row r="22" spans="1:35" x14ac:dyDescent="0.25">
      <c r="A22" s="7" t="s">
        <v>522</v>
      </c>
      <c r="C22" s="34" t="s">
        <v>390</v>
      </c>
      <c r="D22" s="34"/>
      <c r="F22" s="166" t="s">
        <v>391</v>
      </c>
      <c r="G22" s="166"/>
      <c r="I22" s="166" t="s">
        <v>357</v>
      </c>
      <c r="J22" s="166"/>
      <c r="L22" s="34" t="s">
        <v>356</v>
      </c>
      <c r="M22" s="34"/>
      <c r="R22"/>
      <c r="S22"/>
      <c r="T22"/>
      <c r="U22"/>
      <c r="V22"/>
      <c r="W22"/>
      <c r="X22"/>
      <c r="Y22"/>
      <c r="Z22"/>
      <c r="AA22"/>
      <c r="AB22"/>
      <c r="AC22"/>
      <c r="AD22"/>
      <c r="AE22"/>
      <c r="AF22"/>
      <c r="AG22"/>
      <c r="AH22"/>
      <c r="AI22"/>
    </row>
    <row r="23" spans="1:35" x14ac:dyDescent="0.25">
      <c r="A23" s="55">
        <v>2211</v>
      </c>
      <c r="B23"/>
      <c r="C23" s="174">
        <f t="shared" ref="C23:C28" si="0">C8</f>
        <v>0.57832164173848499</v>
      </c>
      <c r="D23" s="174">
        <f t="shared" ref="D23:D28" si="1">K8</f>
        <v>0.65716776994297699</v>
      </c>
      <c r="F23" s="177">
        <f t="shared" ref="F23:F28" si="2">E8</f>
        <v>0.59823663063672505</v>
      </c>
      <c r="G23" s="177">
        <f t="shared" ref="G23:G28" si="3">M8</f>
        <v>0.62925058825566105</v>
      </c>
      <c r="I23" s="177">
        <f t="shared" ref="I23:I28" si="4">G8</f>
        <v>0.57409682847242705</v>
      </c>
      <c r="J23" s="177">
        <f t="shared" ref="J23:J28" si="5">O8</f>
        <v>0.56830428538789102</v>
      </c>
      <c r="L23" s="177">
        <f t="shared" ref="L23:L28" si="6">I8</f>
        <v>0.530949930905395</v>
      </c>
      <c r="M23" s="177">
        <f t="shared" ref="M23:M28" si="7">Q8</f>
        <v>0.50062116082068298</v>
      </c>
      <c r="N23"/>
      <c r="O23"/>
      <c r="P23"/>
      <c r="Q23"/>
      <c r="R23"/>
    </row>
    <row r="24" spans="1:35" x14ac:dyDescent="0.25">
      <c r="A24" s="42">
        <v>2213</v>
      </c>
      <c r="B24"/>
      <c r="C24" s="175">
        <f t="shared" si="0"/>
        <v>0.630612330737233</v>
      </c>
      <c r="D24" s="175">
        <f t="shared" si="1"/>
        <v>0.49882182131809799</v>
      </c>
      <c r="F24" s="178">
        <f t="shared" si="2"/>
        <v>0.46404777047518603</v>
      </c>
      <c r="G24" s="178">
        <f t="shared" si="3"/>
        <v>0.405767622351209</v>
      </c>
      <c r="I24" s="178">
        <f t="shared" si="4"/>
        <v>0.51424208091500001</v>
      </c>
      <c r="J24" s="178">
        <f t="shared" si="5"/>
        <v>0.42331489455120103</v>
      </c>
      <c r="L24" s="178">
        <f t="shared" si="6"/>
        <v>0.58569809104829795</v>
      </c>
      <c r="M24" s="178">
        <f t="shared" si="7"/>
        <v>0.45844116877964503</v>
      </c>
      <c r="N24"/>
      <c r="O24"/>
      <c r="P24"/>
      <c r="Q24"/>
      <c r="R24"/>
    </row>
    <row r="25" spans="1:35" x14ac:dyDescent="0.25">
      <c r="A25" s="42">
        <v>2215</v>
      </c>
      <c r="B25"/>
      <c r="C25" s="176">
        <f t="shared" si="0"/>
        <v>0.69834178950793502</v>
      </c>
      <c r="D25" s="176">
        <f t="shared" si="1"/>
        <v>0.66648260728285602</v>
      </c>
      <c r="F25" s="179">
        <f t="shared" si="2"/>
        <v>0.69810111423592003</v>
      </c>
      <c r="G25" s="179">
        <f t="shared" si="3"/>
        <v>0.66666371267324698</v>
      </c>
      <c r="I25" s="179">
        <f t="shared" si="4"/>
        <v>0.52684653851005303</v>
      </c>
      <c r="J25" s="179">
        <f t="shared" si="5"/>
        <v>0.52205703192867603</v>
      </c>
      <c r="L25" s="179">
        <f t="shared" si="6"/>
        <v>0.62859949132499604</v>
      </c>
      <c r="M25" s="179">
        <f t="shared" si="7"/>
        <v>0.59962191048819502</v>
      </c>
      <c r="N25"/>
      <c r="O25"/>
      <c r="P25"/>
      <c r="Q25"/>
      <c r="R25"/>
    </row>
    <row r="26" spans="1:35" x14ac:dyDescent="0.25">
      <c r="A26" s="55">
        <v>2219</v>
      </c>
      <c r="B26"/>
      <c r="C26" s="174">
        <f t="shared" si="0"/>
        <v>0.66714154082785704</v>
      </c>
      <c r="D26" s="174">
        <f t="shared" si="1"/>
        <v>0.68233968900983499</v>
      </c>
      <c r="F26" s="177">
        <f t="shared" si="2"/>
        <v>0.56400352130344</v>
      </c>
      <c r="G26" s="177">
        <f t="shared" si="3"/>
        <v>0.54086641994775098</v>
      </c>
      <c r="I26" s="177">
        <f t="shared" si="4"/>
        <v>0.44964274029212298</v>
      </c>
      <c r="J26" s="177">
        <f t="shared" si="5"/>
        <v>0.39616235647081699</v>
      </c>
      <c r="L26" s="177">
        <f t="shared" si="6"/>
        <v>0.59384794643282801</v>
      </c>
      <c r="M26" s="177">
        <f t="shared" si="7"/>
        <v>0.50102440479696297</v>
      </c>
      <c r="N26"/>
      <c r="O26"/>
      <c r="P26"/>
      <c r="Q26"/>
      <c r="R26"/>
    </row>
    <row r="27" spans="1:35" x14ac:dyDescent="0.25">
      <c r="A27" s="42">
        <v>2221</v>
      </c>
      <c r="B27"/>
      <c r="C27" s="175">
        <f t="shared" si="0"/>
        <v>0.77663312662320005</v>
      </c>
      <c r="D27" s="175">
        <f t="shared" si="1"/>
        <v>0.61891176604253695</v>
      </c>
      <c r="F27" s="178">
        <f t="shared" si="2"/>
        <v>0.65933253744445197</v>
      </c>
      <c r="G27" s="178">
        <f t="shared" si="3"/>
        <v>0.470868909869192</v>
      </c>
      <c r="I27" s="178">
        <f t="shared" si="4"/>
        <v>0.58933044534117496</v>
      </c>
      <c r="J27" s="178">
        <f t="shared" si="5"/>
        <v>0.38013760912266698</v>
      </c>
      <c r="L27" s="178">
        <f t="shared" si="6"/>
        <v>0.73531854868222801</v>
      </c>
      <c r="M27" s="178">
        <f t="shared" si="7"/>
        <v>0.54209667428598696</v>
      </c>
      <c r="N27"/>
      <c r="O27"/>
      <c r="P27"/>
      <c r="Q27"/>
    </row>
    <row r="28" spans="1:35" x14ac:dyDescent="0.25">
      <c r="A28" s="14">
        <v>2223</v>
      </c>
      <c r="B28"/>
      <c r="C28" s="176">
        <f t="shared" si="0"/>
        <v>0.72001109075949998</v>
      </c>
      <c r="D28" s="176">
        <f t="shared" si="1"/>
        <v>0.51163873691012995</v>
      </c>
      <c r="F28" s="179">
        <f t="shared" si="2"/>
        <v>0.66621753313194298</v>
      </c>
      <c r="G28" s="179">
        <f t="shared" si="3"/>
        <v>0.45801031947895698</v>
      </c>
      <c r="I28" s="179">
        <f t="shared" si="4"/>
        <v>0.61209651282344801</v>
      </c>
      <c r="J28" s="179">
        <f t="shared" si="5"/>
        <v>0.389793426426569</v>
      </c>
      <c r="L28" s="179">
        <f t="shared" si="6"/>
        <v>0.78718679669046798</v>
      </c>
      <c r="M28" s="179">
        <f t="shared" si="7"/>
        <v>0.54976224043242305</v>
      </c>
      <c r="N28"/>
      <c r="O28"/>
      <c r="P28"/>
      <c r="Q28"/>
    </row>
    <row r="29" spans="1:35" x14ac:dyDescent="0.25">
      <c r="B29"/>
      <c r="C29"/>
      <c r="D29"/>
      <c r="E29"/>
      <c r="F29"/>
      <c r="G29"/>
      <c r="H29"/>
      <c r="I29"/>
      <c r="J29"/>
      <c r="K29"/>
      <c r="L29"/>
      <c r="M29"/>
      <c r="N29"/>
      <c r="O29"/>
      <c r="P29"/>
      <c r="Q29"/>
    </row>
    <row r="31" spans="1:35" ht="30" customHeight="1" x14ac:dyDescent="0.25">
      <c r="M31" s="167"/>
      <c r="N31" s="167"/>
      <c r="O31" s="167"/>
      <c r="P31" s="167"/>
      <c r="Q31" s="167"/>
    </row>
    <row r="32" spans="1:35" x14ac:dyDescent="0.25">
      <c r="A32" s="738" t="s">
        <v>603</v>
      </c>
      <c r="B32" s="738"/>
      <c r="C32" s="738"/>
      <c r="D32" s="738"/>
      <c r="E32" s="738"/>
      <c r="F32" s="738"/>
      <c r="G32" s="738"/>
      <c r="H32" s="738"/>
      <c r="I32" s="738"/>
      <c r="J32" s="738"/>
      <c r="K32" s="738"/>
      <c r="L32" s="738"/>
      <c r="M32" s="738"/>
      <c r="N32" s="738"/>
      <c r="O32" s="738"/>
      <c r="P32" s="44"/>
      <c r="Q32" s="44"/>
    </row>
    <row r="33" spans="1:17" x14ac:dyDescent="0.25">
      <c r="A33" s="167"/>
      <c r="B33" s="167"/>
      <c r="C33" s="167"/>
      <c r="D33" s="167"/>
      <c r="E33" s="167"/>
      <c r="F33" s="167"/>
      <c r="G33" s="167"/>
      <c r="H33" s="167"/>
      <c r="I33" s="167"/>
      <c r="J33" s="167"/>
      <c r="K33" s="167"/>
      <c r="L33" s="167"/>
      <c r="M33" s="167"/>
      <c r="N33" s="167"/>
      <c r="O33" s="167"/>
      <c r="P33" s="44"/>
      <c r="Q33" s="44"/>
    </row>
    <row r="34" spans="1:17" x14ac:dyDescent="0.25">
      <c r="A34" s="47" t="s">
        <v>288</v>
      </c>
    </row>
    <row r="35" spans="1:17" x14ac:dyDescent="0.25">
      <c r="A35" s="738" t="s">
        <v>635</v>
      </c>
      <c r="B35" s="738"/>
      <c r="C35" s="738"/>
      <c r="D35" s="738"/>
      <c r="E35" s="738"/>
      <c r="F35" s="738"/>
      <c r="G35" s="738"/>
      <c r="H35" s="738"/>
      <c r="I35" s="738"/>
      <c r="J35" s="738"/>
      <c r="K35" s="738"/>
      <c r="L35" s="738"/>
      <c r="M35" s="738"/>
      <c r="N35" s="738"/>
      <c r="O35" s="738"/>
      <c r="P35" s="167"/>
      <c r="Q35" s="167"/>
    </row>
    <row r="37" spans="1:17" x14ac:dyDescent="0.25">
      <c r="A37" s="739" t="s">
        <v>111</v>
      </c>
      <c r="B37" s="50" t="s">
        <v>601</v>
      </c>
      <c r="C37" s="50"/>
      <c r="D37" s="50"/>
      <c r="E37" s="50"/>
      <c r="F37" s="50" t="s">
        <v>602</v>
      </c>
      <c r="G37" s="50"/>
      <c r="H37" s="50"/>
      <c r="I37" s="50"/>
    </row>
    <row r="38" spans="1:17" x14ac:dyDescent="0.25">
      <c r="A38" s="740"/>
      <c r="B38" s="34" t="s">
        <v>390</v>
      </c>
      <c r="C38" s="166" t="s">
        <v>391</v>
      </c>
      <c r="D38" s="166" t="s">
        <v>357</v>
      </c>
      <c r="E38" s="34" t="s">
        <v>356</v>
      </c>
      <c r="F38" s="34" t="s">
        <v>390</v>
      </c>
      <c r="G38" s="166" t="s">
        <v>391</v>
      </c>
      <c r="H38" s="166" t="s">
        <v>357</v>
      </c>
      <c r="I38" s="34" t="s">
        <v>356</v>
      </c>
    </row>
    <row r="39" spans="1:17" x14ac:dyDescent="0.25">
      <c r="A39" s="600">
        <v>2211</v>
      </c>
      <c r="B39" s="595">
        <v>0.57832164173848499</v>
      </c>
      <c r="C39" s="595">
        <v>0.59823663063672505</v>
      </c>
      <c r="D39" s="595">
        <v>0.57409682847242705</v>
      </c>
      <c r="E39" s="595">
        <v>0.530949930905395</v>
      </c>
      <c r="F39" s="595">
        <v>0.65716776994297699</v>
      </c>
      <c r="G39" s="595">
        <v>0.62925058825566105</v>
      </c>
      <c r="H39" s="595">
        <v>0.56830428538789102</v>
      </c>
      <c r="I39" s="595">
        <v>0.50062116082068298</v>
      </c>
    </row>
    <row r="40" spans="1:17" x14ac:dyDescent="0.25">
      <c r="A40" s="601">
        <v>2213</v>
      </c>
      <c r="B40" s="596">
        <v>0.630612330737233</v>
      </c>
      <c r="C40" s="596">
        <v>0.46404777047518603</v>
      </c>
      <c r="D40" s="596">
        <v>0.51424208091500001</v>
      </c>
      <c r="E40" s="596">
        <v>0.58569809104829795</v>
      </c>
      <c r="F40" s="596">
        <v>0.49882182131809799</v>
      </c>
      <c r="G40" s="596">
        <v>0.405767622351209</v>
      </c>
      <c r="H40" s="596">
        <v>0.42331489455120103</v>
      </c>
      <c r="I40" s="596">
        <v>0.45844116877964503</v>
      </c>
    </row>
    <row r="41" spans="1:17" x14ac:dyDescent="0.25">
      <c r="A41" s="601">
        <v>2215</v>
      </c>
      <c r="B41" s="597">
        <v>0.69834178950793502</v>
      </c>
      <c r="C41" s="597">
        <v>0.69810111423592003</v>
      </c>
      <c r="D41" s="597">
        <v>0.52684653851005303</v>
      </c>
      <c r="E41" s="597">
        <v>0.62859949132499604</v>
      </c>
      <c r="F41" s="597">
        <v>0.66648260728285602</v>
      </c>
      <c r="G41" s="597">
        <v>0.66666371267324698</v>
      </c>
      <c r="H41" s="597">
        <v>0.52205703192867603</v>
      </c>
      <c r="I41" s="597">
        <v>0.59962191048819502</v>
      </c>
    </row>
    <row r="42" spans="1:17" x14ac:dyDescent="0.25">
      <c r="A42" s="600">
        <v>2219</v>
      </c>
      <c r="B42" s="595">
        <v>0.66714154082785704</v>
      </c>
      <c r="C42" s="595">
        <v>0.56400352130344</v>
      </c>
      <c r="D42" s="595">
        <v>0.44964274029212298</v>
      </c>
      <c r="E42" s="595">
        <v>0.59384794643282801</v>
      </c>
      <c r="F42" s="595">
        <v>0.68233968900983499</v>
      </c>
      <c r="G42" s="595">
        <v>0.54086641994775098</v>
      </c>
      <c r="H42" s="595">
        <v>0.39616235647081699</v>
      </c>
      <c r="I42" s="595">
        <v>0.50102440479696297</v>
      </c>
    </row>
    <row r="43" spans="1:17" x14ac:dyDescent="0.25">
      <c r="A43" s="601">
        <v>2221</v>
      </c>
      <c r="B43" s="596">
        <v>0.77663312662320005</v>
      </c>
      <c r="C43" s="596">
        <v>0.65933253744445197</v>
      </c>
      <c r="D43" s="596">
        <v>0.58933044534117496</v>
      </c>
      <c r="E43" s="596">
        <v>0.73531854868222801</v>
      </c>
      <c r="F43" s="596">
        <v>0.61891176604253695</v>
      </c>
      <c r="G43" s="596">
        <v>0.470868909869192</v>
      </c>
      <c r="H43" s="596">
        <v>0.38013760912266698</v>
      </c>
      <c r="I43" s="596">
        <v>0.54209667428598696</v>
      </c>
    </row>
    <row r="44" spans="1:17" x14ac:dyDescent="0.25">
      <c r="A44" s="602">
        <v>2223</v>
      </c>
      <c r="B44" s="597">
        <v>0.72001109075949998</v>
      </c>
      <c r="C44" s="597">
        <v>0.66621753313194298</v>
      </c>
      <c r="D44" s="597">
        <v>0.61209651282344801</v>
      </c>
      <c r="E44" s="597">
        <v>0.78718679669046798</v>
      </c>
      <c r="F44" s="597">
        <v>0.51163873691012995</v>
      </c>
      <c r="G44" s="597">
        <v>0.45801031947895698</v>
      </c>
      <c r="H44" s="597">
        <v>0.389793426426569</v>
      </c>
      <c r="I44" s="597">
        <v>0.54976224043242305</v>
      </c>
    </row>
    <row r="46" spans="1:17" x14ac:dyDescent="0.25">
      <c r="A46" s="601" t="s">
        <v>195</v>
      </c>
      <c r="B46" s="596">
        <f t="shared" ref="B46:I46" si="8">AVERAGE(B39:B44)</f>
        <v>0.67851025336570159</v>
      </c>
      <c r="C46" s="596">
        <f t="shared" si="8"/>
        <v>0.60832318453794432</v>
      </c>
      <c r="D46" s="596">
        <f t="shared" si="8"/>
        <v>0.54437585772570429</v>
      </c>
      <c r="E46" s="596">
        <f t="shared" si="8"/>
        <v>0.64360013418070217</v>
      </c>
      <c r="F46" s="596">
        <f t="shared" si="8"/>
        <v>0.60589373175107208</v>
      </c>
      <c r="G46" s="596">
        <f t="shared" si="8"/>
        <v>0.5285712620960028</v>
      </c>
      <c r="H46" s="596">
        <f t="shared" si="8"/>
        <v>0.44662826731463684</v>
      </c>
      <c r="I46" s="596">
        <f t="shared" si="8"/>
        <v>0.52526125993398265</v>
      </c>
    </row>
    <row r="48" spans="1:17" x14ac:dyDescent="0.25">
      <c r="A48" s="13" t="s">
        <v>605</v>
      </c>
      <c r="B48" s="18">
        <f>MIN(B39:I44)</f>
        <v>0.38013760912266698</v>
      </c>
      <c r="C48" s="18"/>
      <c r="D48" s="18"/>
      <c r="E48" s="18"/>
      <c r="F48" s="18"/>
      <c r="G48" s="18"/>
      <c r="H48" s="18"/>
      <c r="I48" s="18"/>
    </row>
    <row r="49" spans="1:9" x14ac:dyDescent="0.25">
      <c r="A49" s="13" t="s">
        <v>604</v>
      </c>
      <c r="B49" s="18">
        <f>MAX(B39:I44)</f>
        <v>0.78718679669046798</v>
      </c>
      <c r="C49" s="18"/>
      <c r="D49" s="18"/>
      <c r="E49" s="18"/>
      <c r="F49" s="18"/>
      <c r="G49" s="18"/>
      <c r="H49" s="18"/>
      <c r="I49" s="18"/>
    </row>
  </sheetData>
  <mergeCells count="5">
    <mergeCell ref="A3:O3"/>
    <mergeCell ref="A5:A6"/>
    <mergeCell ref="A35:O35"/>
    <mergeCell ref="A37:A38"/>
    <mergeCell ref="A32:O3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F0"/>
  </sheetPr>
  <dimension ref="A1:AC27"/>
  <sheetViews>
    <sheetView workbookViewId="0">
      <selection activeCell="H44" sqref="H44"/>
    </sheetView>
  </sheetViews>
  <sheetFormatPr defaultRowHeight="15.75" x14ac:dyDescent="0.25"/>
  <cols>
    <col min="1" max="1" width="9.140625" style="349"/>
    <col min="2" max="2" width="15.85546875" style="349" customWidth="1"/>
    <col min="3" max="14" width="8.140625" style="349" customWidth="1"/>
    <col min="15" max="15" width="11.85546875" style="349" customWidth="1"/>
    <col min="16" max="16" width="9.140625" style="349"/>
    <col min="17" max="17" width="15.85546875" style="349" customWidth="1"/>
    <col min="18" max="29" width="8.140625" style="349" customWidth="1"/>
    <col min="30" max="16384" width="9.140625" style="349"/>
  </cols>
  <sheetData>
    <row r="1" spans="1:29" x14ac:dyDescent="0.25">
      <c r="A1" s="17" t="s">
        <v>357</v>
      </c>
      <c r="B1" s="17" t="s">
        <v>359</v>
      </c>
    </row>
    <row r="2" spans="1:29" x14ac:dyDescent="0.25">
      <c r="B2" s="350"/>
      <c r="C2" s="351"/>
      <c r="E2" s="351"/>
      <c r="G2" s="351"/>
      <c r="I2" s="351"/>
      <c r="K2" s="351"/>
      <c r="M2" s="351"/>
      <c r="R2" s="351"/>
      <c r="T2" s="351"/>
      <c r="V2" s="351"/>
      <c r="X2" s="351"/>
      <c r="Z2" s="351"/>
      <c r="AB2" s="351"/>
    </row>
    <row r="3" spans="1:29" ht="18.75" x14ac:dyDescent="0.3">
      <c r="B3" s="528" t="s">
        <v>478</v>
      </c>
      <c r="C3" s="529"/>
      <c r="D3" s="530"/>
      <c r="E3" s="531"/>
      <c r="Q3" s="352"/>
    </row>
    <row r="4" spans="1:29" x14ac:dyDescent="0.25">
      <c r="C4" s="353">
        <v>1</v>
      </c>
      <c r="D4" s="354">
        <v>1</v>
      </c>
      <c r="E4" s="353">
        <f t="shared" ref="E4:N4" si="0">C4+1</f>
        <v>2</v>
      </c>
      <c r="F4" s="355">
        <f t="shared" si="0"/>
        <v>2</v>
      </c>
      <c r="G4" s="353">
        <f t="shared" si="0"/>
        <v>3</v>
      </c>
      <c r="H4" s="355">
        <f t="shared" si="0"/>
        <v>3</v>
      </c>
      <c r="I4" s="353">
        <f t="shared" si="0"/>
        <v>4</v>
      </c>
      <c r="J4" s="355">
        <f t="shared" si="0"/>
        <v>4</v>
      </c>
      <c r="K4" s="353">
        <f t="shared" si="0"/>
        <v>5</v>
      </c>
      <c r="L4" s="355">
        <f t="shared" si="0"/>
        <v>5</v>
      </c>
      <c r="M4" s="354">
        <f t="shared" si="0"/>
        <v>6</v>
      </c>
      <c r="N4" s="355">
        <f t="shared" si="0"/>
        <v>6</v>
      </c>
      <c r="R4" s="353">
        <v>1</v>
      </c>
      <c r="S4" s="354">
        <v>1</v>
      </c>
      <c r="T4" s="353">
        <f t="shared" ref="T4:AC4" si="1">R4+1</f>
        <v>2</v>
      </c>
      <c r="U4" s="355">
        <f t="shared" si="1"/>
        <v>2</v>
      </c>
      <c r="V4" s="353">
        <f t="shared" si="1"/>
        <v>3</v>
      </c>
      <c r="W4" s="355">
        <f t="shared" si="1"/>
        <v>3</v>
      </c>
      <c r="X4" s="353">
        <f t="shared" si="1"/>
        <v>4</v>
      </c>
      <c r="Y4" s="355">
        <f t="shared" si="1"/>
        <v>4</v>
      </c>
      <c r="Z4" s="353">
        <f t="shared" si="1"/>
        <v>5</v>
      </c>
      <c r="AA4" s="355">
        <f t="shared" si="1"/>
        <v>5</v>
      </c>
      <c r="AB4" s="354">
        <f t="shared" si="1"/>
        <v>6</v>
      </c>
      <c r="AC4" s="355">
        <f t="shared" si="1"/>
        <v>6</v>
      </c>
    </row>
    <row r="5" spans="1:29" x14ac:dyDescent="0.25">
      <c r="A5" s="356"/>
      <c r="B5" s="357" t="s">
        <v>135</v>
      </c>
      <c r="C5" s="741" t="s">
        <v>314</v>
      </c>
      <c r="D5" s="743"/>
      <c r="E5" s="741" t="s">
        <v>316</v>
      </c>
      <c r="F5" s="742"/>
      <c r="G5" s="741" t="s">
        <v>318</v>
      </c>
      <c r="H5" s="742"/>
      <c r="I5" s="741" t="s">
        <v>320</v>
      </c>
      <c r="J5" s="742"/>
      <c r="K5" s="741" t="s">
        <v>322</v>
      </c>
      <c r="L5" s="742"/>
      <c r="M5" s="743" t="s">
        <v>324</v>
      </c>
      <c r="N5" s="742"/>
      <c r="P5" s="356"/>
      <c r="Q5" s="357" t="s">
        <v>135</v>
      </c>
      <c r="R5" s="741" t="s">
        <v>314</v>
      </c>
      <c r="S5" s="743"/>
      <c r="T5" s="741" t="s">
        <v>316</v>
      </c>
      <c r="U5" s="742"/>
      <c r="V5" s="741" t="s">
        <v>318</v>
      </c>
      <c r="W5" s="742"/>
      <c r="X5" s="741" t="s">
        <v>320</v>
      </c>
      <c r="Y5" s="742"/>
      <c r="Z5" s="741" t="s">
        <v>322</v>
      </c>
      <c r="AA5" s="742"/>
      <c r="AB5" s="743" t="s">
        <v>324</v>
      </c>
      <c r="AC5" s="742"/>
    </row>
    <row r="6" spans="1:29" ht="23.25" x14ac:dyDescent="0.25">
      <c r="B6" s="358" t="s">
        <v>381</v>
      </c>
      <c r="C6" s="359" t="s">
        <v>369</v>
      </c>
      <c r="D6" s="360" t="s">
        <v>368</v>
      </c>
      <c r="E6" s="359" t="s">
        <v>369</v>
      </c>
      <c r="F6" s="360" t="s">
        <v>368</v>
      </c>
      <c r="G6" s="359" t="s">
        <v>369</v>
      </c>
      <c r="H6" s="360" t="s">
        <v>368</v>
      </c>
      <c r="I6" s="359" t="s">
        <v>369</v>
      </c>
      <c r="J6" s="360" t="s">
        <v>368</v>
      </c>
      <c r="K6" s="359" t="s">
        <v>369</v>
      </c>
      <c r="L6" s="360" t="s">
        <v>368</v>
      </c>
      <c r="M6" s="359" t="s">
        <v>369</v>
      </c>
      <c r="N6" s="360" t="s">
        <v>368</v>
      </c>
      <c r="Q6" s="358" t="s">
        <v>380</v>
      </c>
      <c r="R6" s="359" t="s">
        <v>382</v>
      </c>
      <c r="S6" s="360" t="s">
        <v>383</v>
      </c>
      <c r="T6" s="359" t="s">
        <v>382</v>
      </c>
      <c r="U6" s="360" t="s">
        <v>383</v>
      </c>
      <c r="V6" s="359" t="s">
        <v>382</v>
      </c>
      <c r="W6" s="360" t="s">
        <v>383</v>
      </c>
      <c r="X6" s="359" t="s">
        <v>382</v>
      </c>
      <c r="Y6" s="360" t="s">
        <v>383</v>
      </c>
      <c r="Z6" s="359" t="s">
        <v>382</v>
      </c>
      <c r="AA6" s="360" t="s">
        <v>383</v>
      </c>
      <c r="AB6" s="359" t="s">
        <v>382</v>
      </c>
      <c r="AC6" s="360" t="s">
        <v>383</v>
      </c>
    </row>
    <row r="7" spans="1:29" x14ac:dyDescent="0.25">
      <c r="A7" s="356">
        <v>1</v>
      </c>
      <c r="B7" s="361">
        <v>0.75</v>
      </c>
      <c r="C7" s="362">
        <f>INDEX($C$13:$J$18, C$4, $A7)</f>
        <v>2.1694305436522399</v>
      </c>
      <c r="D7" s="363">
        <f>INDEX($C$13:$J$18, D$4, $A7+1)</f>
        <v>0.66981725186232199</v>
      </c>
      <c r="E7" s="362">
        <f>INDEX($C$13:$J$18, E$4, $A7)</f>
        <v>1.2642892657445699</v>
      </c>
      <c r="F7" s="363">
        <f>INDEX($C$13:$J$18, F$4, $A7+1)</f>
        <v>0.49640217496437999</v>
      </c>
      <c r="G7" s="362">
        <f>INDEX($C$13:$J$18, G$4, $A7)</f>
        <v>0.99352008765392297</v>
      </c>
      <c r="H7" s="363">
        <f>INDEX($C$13:$J$18, H$4, $A7+1)</f>
        <v>0.69190162910009401</v>
      </c>
      <c r="I7" s="362">
        <f>INDEX($C$13:$J$18, I$4, $A7)</f>
        <v>2.60393546433624</v>
      </c>
      <c r="J7" s="363">
        <f>INDEX($C$13:$J$18, J$4, $A7+1)</f>
        <v>0.67651415426595896</v>
      </c>
      <c r="K7" s="362">
        <f>INDEX($C$13:$J$18, K$4, $A7)</f>
        <v>1.7112027947626101</v>
      </c>
      <c r="L7" s="363">
        <f>INDEX($C$13:$J$18, L$4, $A7+1)</f>
        <v>0.616729287908797</v>
      </c>
      <c r="M7" s="362">
        <f>INDEX($C$13:$J$18, M$4, $A7)</f>
        <v>1.37824608694966</v>
      </c>
      <c r="N7" s="363">
        <f>INDEX($C$13:$J$18, N$4, $A7+1)</f>
        <v>0.50688293055594302</v>
      </c>
      <c r="P7" s="356">
        <v>1</v>
      </c>
      <c r="Q7" s="361">
        <v>0.75</v>
      </c>
      <c r="R7" s="362">
        <f t="shared" ref="R7:AB10" si="2">INDEX($R$13:$Y$18, R$4, $A7)</f>
        <v>1.31857406477358</v>
      </c>
      <c r="S7" s="363">
        <f t="shared" ref="S7:AC10" si="3">INDEX($R$13:$Y$18, S$4, $A7+1)</f>
        <v>0.65218636318623402</v>
      </c>
      <c r="T7" s="362">
        <f t="shared" si="2"/>
        <v>0.64179255533949298</v>
      </c>
      <c r="U7" s="363">
        <f t="shared" si="3"/>
        <v>0.48881168813804499</v>
      </c>
      <c r="V7" s="362">
        <f t="shared" si="2"/>
        <v>0.66364094433278897</v>
      </c>
      <c r="W7" s="363">
        <f t="shared" si="3"/>
        <v>0.67066580790014396</v>
      </c>
      <c r="X7" s="362">
        <f t="shared" si="2"/>
        <v>1.3218064828010101</v>
      </c>
      <c r="Y7" s="363">
        <f t="shared" si="3"/>
        <v>0.47897281875585701</v>
      </c>
      <c r="Z7" s="362">
        <f t="shared" si="2"/>
        <v>0.84436106072841699</v>
      </c>
      <c r="AA7" s="363">
        <f t="shared" si="3"/>
        <v>0.52648943139061</v>
      </c>
      <c r="AB7" s="362">
        <f t="shared" si="2"/>
        <v>0.86258271869567404</v>
      </c>
      <c r="AC7" s="363">
        <f t="shared" si="3"/>
        <v>0.46513878642483097</v>
      </c>
    </row>
    <row r="8" spans="1:29" x14ac:dyDescent="0.25">
      <c r="A8" s="356">
        <v>3</v>
      </c>
      <c r="B8" s="361">
        <v>0.6</v>
      </c>
      <c r="C8" s="362">
        <f>INDEX($C$13:$J$18, C$4, $A8)</f>
        <v>2.1336365851816801</v>
      </c>
      <c r="D8" s="363">
        <f>INDEX($C$13:$J$18, D$4, $A8+1)</f>
        <v>0.67693009695893802</v>
      </c>
      <c r="E8" s="362">
        <f>INDEX($C$13:$J$18, E$4, $A8)</f>
        <v>1.2241042647862199</v>
      </c>
      <c r="F8" s="363">
        <f>INDEX($C$13:$J$18, F$4, $A8+1)</f>
        <v>0.49111881589509099</v>
      </c>
      <c r="G8" s="362">
        <f>INDEX($C$13:$J$18, G$4, $A8)</f>
        <v>0.97829403858838204</v>
      </c>
      <c r="H8" s="363">
        <f>INDEX($C$13:$J$18, H$4, $A8+1)</f>
        <v>0.69686922823017206</v>
      </c>
      <c r="I8" s="362">
        <f>INDEX($C$13:$J$18, I$4, $A8)</f>
        <v>2.5237466046806301</v>
      </c>
      <c r="J8" s="363">
        <f>INDEX($C$13:$J$18, J$4, $A8+1)</f>
        <v>0.67120303026817796</v>
      </c>
      <c r="K8" s="362">
        <f>INDEX($C$13:$J$18, K$4, $A8)</f>
        <v>1.6349927063680201</v>
      </c>
      <c r="L8" s="363">
        <f>INDEX($C$13:$J$18, L$4, $A8+1)</f>
        <v>0.60003929803598499</v>
      </c>
      <c r="M8" s="362">
        <f>INDEX($C$13:$J$18, M$4, $A8)</f>
        <v>1.32567683505705</v>
      </c>
      <c r="N8" s="363">
        <f>INDEX($C$13:$J$18, N$4, $A8+1)</f>
        <v>0.50207671393203901</v>
      </c>
      <c r="P8" s="356">
        <v>3</v>
      </c>
      <c r="Q8" s="361">
        <v>0.6</v>
      </c>
      <c r="R8" s="362">
        <f t="shared" si="2"/>
        <v>1.0424164702346199</v>
      </c>
      <c r="S8" s="363">
        <f t="shared" si="3"/>
        <v>0.68541558268957103</v>
      </c>
      <c r="T8" s="362">
        <f t="shared" si="2"/>
        <v>0.56195765432131595</v>
      </c>
      <c r="U8" s="363">
        <f t="shared" si="3"/>
        <v>0.56485211830633297</v>
      </c>
      <c r="V8" s="362">
        <f t="shared" si="2"/>
        <v>0.53032419858437196</v>
      </c>
      <c r="W8" s="363">
        <f t="shared" si="3"/>
        <v>0.67172837007099495</v>
      </c>
      <c r="X8" s="362">
        <f t="shared" si="2"/>
        <v>1.1237080001366699</v>
      </c>
      <c r="Y8" s="363">
        <f t="shared" si="3"/>
        <v>0.41817935824825597</v>
      </c>
      <c r="Z8" s="362">
        <f t="shared" si="2"/>
        <v>0.73549673700961704</v>
      </c>
      <c r="AA8" s="363">
        <f t="shared" si="3"/>
        <v>0.48209427821946099</v>
      </c>
      <c r="AB8" s="362">
        <f t="shared" si="2"/>
        <v>0.67769830790520702</v>
      </c>
      <c r="AC8" s="363">
        <f t="shared" si="3"/>
        <v>0.51543143965336202</v>
      </c>
    </row>
    <row r="9" spans="1:29" x14ac:dyDescent="0.25">
      <c r="A9" s="356">
        <v>5</v>
      </c>
      <c r="B9" s="361">
        <v>0.5</v>
      </c>
      <c r="C9" s="362">
        <f>INDEX($C$13:$J$18, C$4, $A9)</f>
        <v>2.0874739836066998</v>
      </c>
      <c r="D9" s="363">
        <f>INDEX($C$13:$J$18, D$4, $A9+1)</f>
        <v>0.67974621841951699</v>
      </c>
      <c r="E9" s="362">
        <f>INDEX($C$13:$J$18, E$4, $A9)</f>
        <v>1.1783850144595001</v>
      </c>
      <c r="F9" s="363">
        <f>INDEX($C$13:$J$18, F$4, $A9+1)</f>
        <v>0.48626992949779602</v>
      </c>
      <c r="G9" s="362">
        <f>INDEX($C$13:$J$18, G$4, $A9)</f>
        <v>0.95497062796498</v>
      </c>
      <c r="H9" s="363">
        <f>INDEX($C$13:$J$18, H$4, $A9+1)</f>
        <v>0.69390899342790602</v>
      </c>
      <c r="I9" s="362">
        <f>INDEX($C$13:$J$18, I$4, $A9)</f>
        <v>2.3865401154102601</v>
      </c>
      <c r="J9" s="363">
        <f>INDEX($C$13:$J$18, J$4, $A9+1)</f>
        <v>0.63800837907100405</v>
      </c>
      <c r="K9" s="362">
        <f>INDEX($C$13:$J$18, K$4, $A9)</f>
        <v>1.5137138329750199</v>
      </c>
      <c r="L9" s="363">
        <f>INDEX($C$13:$J$18, L$4, $A9+1)</f>
        <v>0.54828110662873097</v>
      </c>
      <c r="M9" s="362">
        <f>INDEX($C$13:$J$18, M$4, $A9)</f>
        <v>1.2812421520091599</v>
      </c>
      <c r="N9" s="363">
        <f>INDEX($C$13:$J$18, N$4, $A9+1)</f>
        <v>0.49561615653227797</v>
      </c>
      <c r="P9" s="356">
        <v>5</v>
      </c>
      <c r="Q9" s="361">
        <v>0.5</v>
      </c>
      <c r="R9" s="362">
        <f t="shared" si="2"/>
        <v>0.84582083054735602</v>
      </c>
      <c r="S9" s="363">
        <f t="shared" si="3"/>
        <v>0.75822554489919303</v>
      </c>
      <c r="T9" s="362">
        <f t="shared" si="2"/>
        <v>0.48755277828111598</v>
      </c>
      <c r="U9" s="363">
        <f t="shared" si="3"/>
        <v>0.56897939780281803</v>
      </c>
      <c r="V9" s="362">
        <f t="shared" si="2"/>
        <v>0.421594688886203</v>
      </c>
      <c r="W9" s="363">
        <f t="shared" si="3"/>
        <v>0.64450884629717997</v>
      </c>
      <c r="X9" s="362">
        <f t="shared" si="2"/>
        <v>0.88415754769300303</v>
      </c>
      <c r="Y9" s="363">
        <f t="shared" si="3"/>
        <v>0.50979568163842004</v>
      </c>
      <c r="Z9" s="362">
        <f t="shared" si="2"/>
        <v>0.64116484491023895</v>
      </c>
      <c r="AA9" s="363">
        <f t="shared" si="3"/>
        <v>0.512674136825504</v>
      </c>
      <c r="AB9" s="362">
        <f t="shared" si="2"/>
        <v>0.59144539045802302</v>
      </c>
      <c r="AC9" s="363">
        <f t="shared" si="3"/>
        <v>0.45995969081280202</v>
      </c>
    </row>
    <row r="10" spans="1:29" x14ac:dyDescent="0.25">
      <c r="A10" s="356">
        <v>7</v>
      </c>
      <c r="B10" s="364">
        <v>0.4</v>
      </c>
      <c r="C10" s="365">
        <f>INDEX($C$13:$J$18, C$4, $A10)</f>
        <v>1.9738477915621899</v>
      </c>
      <c r="D10" s="366">
        <f>INDEX($C$13:$J$18, D$4, $A10+1)</f>
        <v>0.68411963244274099</v>
      </c>
      <c r="E10" s="365">
        <f>INDEX($C$13:$J$18, E$4, $A10)</f>
        <v>1.1159866831585701</v>
      </c>
      <c r="F10" s="366">
        <f>INDEX($C$13:$J$18, F$4, $A10+1)</f>
        <v>0.486033201045456</v>
      </c>
      <c r="G10" s="365">
        <f>INDEX($C$13:$J$18, G$4, $A10)</f>
        <v>0.89524817985043104</v>
      </c>
      <c r="H10" s="366">
        <f>INDEX($C$13:$J$18, H$4, $A10+1)</f>
        <v>0.68325664392213903</v>
      </c>
      <c r="I10" s="365">
        <f>INDEX($C$13:$J$18, I$4, $A10)</f>
        <v>2.08107031909798</v>
      </c>
      <c r="J10" s="366">
        <f>INDEX($C$13:$J$18, J$4, $A10+1)</f>
        <v>0.58963506308234404</v>
      </c>
      <c r="K10" s="365">
        <f>INDEX($C$13:$J$18, K$4, $A10)</f>
        <v>1.30877716433159</v>
      </c>
      <c r="L10" s="366">
        <f>INDEX($C$13:$J$18, L$4, $A10+1)</f>
        <v>0.512577737618784</v>
      </c>
      <c r="M10" s="365">
        <f>INDEX($C$13:$J$18, M$4, $A10)</f>
        <v>1.1634970582525399</v>
      </c>
      <c r="N10" s="366">
        <f>INDEX($C$13:$J$18, N$4, $A10+1)</f>
        <v>0.46638987261092202</v>
      </c>
      <c r="P10" s="356">
        <v>7</v>
      </c>
      <c r="Q10" s="364">
        <v>0.4</v>
      </c>
      <c r="R10" s="365">
        <f t="shared" si="2"/>
        <v>0.72980515479723396</v>
      </c>
      <c r="S10" s="366">
        <f t="shared" si="3"/>
        <v>0.66067616065417401</v>
      </c>
      <c r="T10" s="365">
        <f t="shared" si="2"/>
        <v>0.445185544543787</v>
      </c>
      <c r="U10" s="366">
        <f t="shared" si="3"/>
        <v>0.514732115411622</v>
      </c>
      <c r="V10" s="365">
        <f t="shared" si="2"/>
        <v>0.37958530865573298</v>
      </c>
      <c r="W10" s="366">
        <f t="shared" si="3"/>
        <v>0.53247138802484595</v>
      </c>
      <c r="X10" s="365">
        <f t="shared" si="2"/>
        <v>0.74738408657486</v>
      </c>
      <c r="Y10" s="366">
        <f t="shared" si="3"/>
        <v>0.49485230018947601</v>
      </c>
      <c r="Z10" s="365">
        <f t="shared" si="2"/>
        <v>0.59413872676988899</v>
      </c>
      <c r="AA10" s="366">
        <f t="shared" si="3"/>
        <v>0.48085549566367097</v>
      </c>
      <c r="AB10" s="365">
        <f t="shared" si="2"/>
        <v>0.51880125888933104</v>
      </c>
      <c r="AC10" s="366">
        <f t="shared" si="3"/>
        <v>0.46579382081843901</v>
      </c>
    </row>
    <row r="11" spans="1:29" ht="23.25" thickBot="1" x14ac:dyDescent="0.3">
      <c r="R11" s="391" t="s">
        <v>357</v>
      </c>
      <c r="AA11" s="391" t="s">
        <v>391</v>
      </c>
    </row>
    <row r="12" spans="1:29" ht="30.75" customHeight="1" thickTop="1" x14ac:dyDescent="0.25">
      <c r="A12" s="345" t="s">
        <v>379</v>
      </c>
      <c r="B12" s="346" t="s">
        <v>135</v>
      </c>
      <c r="C12" s="746" t="s">
        <v>363</v>
      </c>
      <c r="D12" s="746"/>
      <c r="E12" s="746" t="s">
        <v>362</v>
      </c>
      <c r="F12" s="746"/>
      <c r="G12" s="746" t="s">
        <v>361</v>
      </c>
      <c r="H12" s="746"/>
      <c r="I12" s="746" t="s">
        <v>360</v>
      </c>
      <c r="J12" s="747"/>
      <c r="K12" s="345"/>
      <c r="L12" s="749" t="s">
        <v>389</v>
      </c>
      <c r="M12" s="746"/>
      <c r="N12" s="345"/>
      <c r="O12" s="345"/>
      <c r="P12" s="345" t="s">
        <v>379</v>
      </c>
      <c r="Q12" s="374" t="s">
        <v>135</v>
      </c>
      <c r="R12" s="744" t="s">
        <v>371</v>
      </c>
      <c r="S12" s="745"/>
      <c r="T12" s="746" t="s">
        <v>372</v>
      </c>
      <c r="U12" s="746"/>
      <c r="V12" s="746" t="s">
        <v>373</v>
      </c>
      <c r="W12" s="746"/>
      <c r="X12" s="746" t="s">
        <v>374</v>
      </c>
      <c r="Y12" s="747"/>
      <c r="AA12" s="748" t="s">
        <v>388</v>
      </c>
      <c r="AB12" s="745"/>
    </row>
    <row r="13" spans="1:29" x14ac:dyDescent="0.25">
      <c r="B13" s="367" t="s">
        <v>314</v>
      </c>
      <c r="C13" s="368">
        <v>2.1694305436522399</v>
      </c>
      <c r="D13" s="368">
        <v>0.66981725186232199</v>
      </c>
      <c r="E13" s="368">
        <v>2.1336365851816801</v>
      </c>
      <c r="F13" s="368">
        <v>0.67693009695893802</v>
      </c>
      <c r="G13" s="368">
        <v>2.0874739836066998</v>
      </c>
      <c r="H13" s="368">
        <v>0.67974621841951699</v>
      </c>
      <c r="I13" s="368">
        <v>1.9738477915621899</v>
      </c>
      <c r="J13" s="369">
        <v>0.68411963244274099</v>
      </c>
      <c r="L13" s="368">
        <v>2.2323991242104899</v>
      </c>
      <c r="M13" s="368">
        <v>0.64922028451282199</v>
      </c>
      <c r="Q13" s="375" t="s">
        <v>314</v>
      </c>
      <c r="R13" s="392">
        <v>1.31857406477358</v>
      </c>
      <c r="S13" s="393">
        <v>0.65218636318623402</v>
      </c>
      <c r="T13" s="368">
        <v>1.0424164702346199</v>
      </c>
      <c r="U13" s="368">
        <v>0.68541558268957103</v>
      </c>
      <c r="V13" s="368">
        <v>0.84582083054735602</v>
      </c>
      <c r="W13" s="368">
        <v>0.75822554489919303</v>
      </c>
      <c r="X13" s="368">
        <v>0.72980515479723396</v>
      </c>
      <c r="Y13" s="369">
        <v>0.66067616065417401</v>
      </c>
      <c r="AA13" s="392">
        <v>1.7432184363065399</v>
      </c>
      <c r="AB13" s="393">
        <v>0.62925058825566105</v>
      </c>
    </row>
    <row r="14" spans="1:29" x14ac:dyDescent="0.25">
      <c r="B14" s="367" t="s">
        <v>316</v>
      </c>
      <c r="C14" s="368">
        <v>1.2642892657445699</v>
      </c>
      <c r="D14" s="368">
        <v>0.49640217496437999</v>
      </c>
      <c r="E14" s="368">
        <v>1.2241042647862199</v>
      </c>
      <c r="F14" s="368">
        <v>0.49111881589509099</v>
      </c>
      <c r="G14" s="368">
        <v>1.1783850144595001</v>
      </c>
      <c r="H14" s="368">
        <v>0.48626992949779602</v>
      </c>
      <c r="I14" s="368">
        <v>1.1159866831585701</v>
      </c>
      <c r="J14" s="369">
        <v>0.486033201045456</v>
      </c>
      <c r="L14" s="368">
        <v>1.2982850053141901</v>
      </c>
      <c r="M14" s="368">
        <v>0.48885435406239303</v>
      </c>
      <c r="Q14" s="375" t="s">
        <v>316</v>
      </c>
      <c r="R14" s="392">
        <v>0.64179255533949298</v>
      </c>
      <c r="S14" s="393">
        <v>0.48881168813804499</v>
      </c>
      <c r="T14" s="368">
        <v>0.56195765432131595</v>
      </c>
      <c r="U14" s="368">
        <v>0.56485211830633297</v>
      </c>
      <c r="V14" s="368">
        <v>0.48755277828111598</v>
      </c>
      <c r="W14" s="368">
        <v>0.56897939780281803</v>
      </c>
      <c r="X14" s="368">
        <v>0.445185544543787</v>
      </c>
      <c r="Y14" s="369">
        <v>0.514732115411622</v>
      </c>
      <c r="AA14" s="392">
        <v>1.0018118429998</v>
      </c>
      <c r="AB14" s="393">
        <v>0.405767622351209</v>
      </c>
    </row>
    <row r="15" spans="1:29" x14ac:dyDescent="0.25">
      <c r="B15" s="367" t="s">
        <v>318</v>
      </c>
      <c r="C15" s="368">
        <v>0.99352008765392297</v>
      </c>
      <c r="D15" s="368">
        <v>0.69190162910009401</v>
      </c>
      <c r="E15" s="368">
        <v>0.97829403858838204</v>
      </c>
      <c r="F15" s="368">
        <v>0.69686922823017206</v>
      </c>
      <c r="G15" s="368">
        <v>0.95497062796498</v>
      </c>
      <c r="H15" s="368">
        <v>0.69390899342790602</v>
      </c>
      <c r="I15" s="368">
        <v>0.89524817985043104</v>
      </c>
      <c r="J15" s="369">
        <v>0.68325664392213903</v>
      </c>
      <c r="L15" s="368">
        <v>1.0148031257279599</v>
      </c>
      <c r="M15" s="368">
        <v>0.68014689593516198</v>
      </c>
      <c r="Q15" s="375" t="s">
        <v>318</v>
      </c>
      <c r="R15" s="392">
        <v>0.66364094433278897</v>
      </c>
      <c r="S15" s="393">
        <v>0.67066580790014396</v>
      </c>
      <c r="T15" s="368">
        <v>0.53032419858437196</v>
      </c>
      <c r="U15" s="368">
        <v>0.67172837007099495</v>
      </c>
      <c r="V15" s="368">
        <v>0.421594688886203</v>
      </c>
      <c r="W15" s="368">
        <v>0.64450884629717997</v>
      </c>
      <c r="X15" s="368">
        <v>0.37958530865573298</v>
      </c>
      <c r="Y15" s="369">
        <v>0.53247138802484595</v>
      </c>
      <c r="AA15" s="392">
        <v>0.89672012348100105</v>
      </c>
      <c r="AB15" s="393">
        <v>0.66666371267324698</v>
      </c>
    </row>
    <row r="16" spans="1:29" x14ac:dyDescent="0.25">
      <c r="B16" s="367" t="s">
        <v>320</v>
      </c>
      <c r="C16" s="368">
        <v>2.60393546433624</v>
      </c>
      <c r="D16" s="368">
        <v>0.67651415426595896</v>
      </c>
      <c r="E16" s="368">
        <v>2.5237466046806301</v>
      </c>
      <c r="F16" s="368">
        <v>0.67120303026817796</v>
      </c>
      <c r="G16" s="368">
        <v>2.3865401154102601</v>
      </c>
      <c r="H16" s="368">
        <v>0.63800837907100405</v>
      </c>
      <c r="I16" s="368">
        <v>2.08107031909798</v>
      </c>
      <c r="J16" s="369">
        <v>0.58963506308234404</v>
      </c>
      <c r="L16" s="368">
        <v>2.6579110104219099</v>
      </c>
      <c r="M16" s="368">
        <v>0.67681957210166899</v>
      </c>
      <c r="Q16" s="375" t="s">
        <v>320</v>
      </c>
      <c r="R16" s="392">
        <v>1.3218064828010101</v>
      </c>
      <c r="S16" s="393">
        <v>0.47897281875585701</v>
      </c>
      <c r="T16" s="368">
        <v>1.1237080001366699</v>
      </c>
      <c r="U16" s="368">
        <v>0.41817935824825597</v>
      </c>
      <c r="V16" s="368">
        <v>0.88415754769300303</v>
      </c>
      <c r="W16" s="368">
        <v>0.50979568163842004</v>
      </c>
      <c r="X16" s="368">
        <v>0.74738408657486</v>
      </c>
      <c r="Y16" s="369">
        <v>0.49485230018947601</v>
      </c>
      <c r="AA16" s="392">
        <v>1.8159062413890901</v>
      </c>
      <c r="AB16" s="393">
        <v>0.54086641994775098</v>
      </c>
    </row>
    <row r="17" spans="1:28" x14ac:dyDescent="0.25">
      <c r="B17" s="367" t="s">
        <v>322</v>
      </c>
      <c r="C17" s="368">
        <v>1.7112027947626101</v>
      </c>
      <c r="D17" s="368">
        <v>0.616729287908797</v>
      </c>
      <c r="E17" s="368">
        <v>1.6349927063680201</v>
      </c>
      <c r="F17" s="368">
        <v>0.60003929803598499</v>
      </c>
      <c r="G17" s="368">
        <v>1.5137138329750199</v>
      </c>
      <c r="H17" s="368">
        <v>0.54828110662873097</v>
      </c>
      <c r="I17" s="368">
        <v>1.30877716433159</v>
      </c>
      <c r="J17" s="369">
        <v>0.512577737618784</v>
      </c>
      <c r="L17" s="368">
        <v>1.78631783430542</v>
      </c>
      <c r="M17" s="368">
        <v>0.60706033894703904</v>
      </c>
      <c r="Q17" s="375" t="s">
        <v>322</v>
      </c>
      <c r="R17" s="392">
        <v>0.84436106072841699</v>
      </c>
      <c r="S17" s="393">
        <v>0.52648943139061</v>
      </c>
      <c r="T17" s="368">
        <v>0.73549673700961704</v>
      </c>
      <c r="U17" s="368">
        <v>0.48209427821946099</v>
      </c>
      <c r="V17" s="368">
        <v>0.64116484491023895</v>
      </c>
      <c r="W17" s="368">
        <v>0.512674136825504</v>
      </c>
      <c r="X17" s="368">
        <v>0.59413872676988899</v>
      </c>
      <c r="Y17" s="369">
        <v>0.48085549566367097</v>
      </c>
      <c r="AA17" s="392">
        <v>1.17625958988515</v>
      </c>
      <c r="AB17" s="393">
        <v>0.470868909869192</v>
      </c>
    </row>
    <row r="18" spans="1:28" ht="16.5" thickBot="1" x14ac:dyDescent="0.3">
      <c r="B18" s="370" t="s">
        <v>324</v>
      </c>
      <c r="C18" s="371">
        <v>1.37824608694966</v>
      </c>
      <c r="D18" s="371">
        <v>0.50688293055594302</v>
      </c>
      <c r="E18" s="371">
        <v>1.32567683505705</v>
      </c>
      <c r="F18" s="371">
        <v>0.50207671393203901</v>
      </c>
      <c r="G18" s="371">
        <v>1.2812421520091599</v>
      </c>
      <c r="H18" s="371">
        <v>0.49561615653227797</v>
      </c>
      <c r="I18" s="371">
        <v>1.1634970582525399</v>
      </c>
      <c r="J18" s="372">
        <v>0.46638987261092202</v>
      </c>
      <c r="L18" s="371">
        <v>1.4418323214157001</v>
      </c>
      <c r="M18" s="371">
        <v>0.508470494813829</v>
      </c>
      <c r="Q18" s="377" t="s">
        <v>324</v>
      </c>
      <c r="R18" s="394">
        <v>0.86258271869567404</v>
      </c>
      <c r="S18" s="395">
        <v>0.46513878642483097</v>
      </c>
      <c r="T18" s="371">
        <v>0.67769830790520702</v>
      </c>
      <c r="U18" s="371">
        <v>0.51543143965336202</v>
      </c>
      <c r="V18" s="371">
        <v>0.59144539045802302</v>
      </c>
      <c r="W18" s="371">
        <v>0.45995969081280202</v>
      </c>
      <c r="X18" s="371">
        <v>0.51880125888933104</v>
      </c>
      <c r="Y18" s="372">
        <v>0.46579382081843901</v>
      </c>
      <c r="AA18" s="394">
        <v>1.1706146723484001</v>
      </c>
      <c r="AB18" s="395">
        <v>0.45801031947895698</v>
      </c>
    </row>
    <row r="19" spans="1:28" ht="17.25" thickTop="1" thickBot="1" x14ac:dyDescent="0.3"/>
    <row r="20" spans="1:28" ht="34.5" customHeight="1" thickTop="1" x14ac:dyDescent="0.25">
      <c r="A20" s="345" t="s">
        <v>370</v>
      </c>
      <c r="B20" s="347" t="s">
        <v>135</v>
      </c>
      <c r="C20" s="746" t="s">
        <v>367</v>
      </c>
      <c r="D20" s="746"/>
      <c r="E20" s="746" t="s">
        <v>366</v>
      </c>
      <c r="F20" s="746"/>
      <c r="G20" s="746" t="s">
        <v>365</v>
      </c>
      <c r="H20" s="746"/>
      <c r="I20" s="746" t="s">
        <v>364</v>
      </c>
      <c r="J20" s="747"/>
      <c r="K20" s="373"/>
      <c r="L20" s="746" t="s">
        <v>386</v>
      </c>
      <c r="M20" s="746"/>
      <c r="N20" s="373"/>
      <c r="O20" s="373"/>
      <c r="P20" s="348" t="s">
        <v>370</v>
      </c>
      <c r="Q20" s="347" t="s">
        <v>135</v>
      </c>
      <c r="R20" s="746" t="s">
        <v>375</v>
      </c>
      <c r="S20" s="746"/>
      <c r="T20" s="746" t="s">
        <v>376</v>
      </c>
      <c r="U20" s="746"/>
      <c r="V20" s="746" t="s">
        <v>377</v>
      </c>
      <c r="W20" s="746"/>
      <c r="X20" s="746" t="s">
        <v>378</v>
      </c>
      <c r="Y20" s="747"/>
      <c r="AA20" s="746" t="s">
        <v>387</v>
      </c>
      <c r="AB20" s="746"/>
    </row>
    <row r="21" spans="1:28" x14ac:dyDescent="0.25">
      <c r="B21" s="367" t="s">
        <v>314</v>
      </c>
      <c r="C21" s="368">
        <v>2.6383575760487101</v>
      </c>
      <c r="D21" s="368">
        <v>0.64625739689297501</v>
      </c>
      <c r="E21" s="368">
        <v>2.5992852349973798</v>
      </c>
      <c r="F21" s="368">
        <v>0.65096249791898297</v>
      </c>
      <c r="G21" s="368">
        <v>2.5519245481952701</v>
      </c>
      <c r="H21" s="368">
        <v>0.65169867859669295</v>
      </c>
      <c r="I21" s="368">
        <v>2.4187739971550002</v>
      </c>
      <c r="J21" s="369">
        <v>0.65148500782461405</v>
      </c>
      <c r="L21" s="368">
        <v>2.7070343973878401</v>
      </c>
      <c r="M21" s="368">
        <v>0.63070412639697004</v>
      </c>
      <c r="Q21" s="367" t="s">
        <v>314</v>
      </c>
      <c r="R21" s="368">
        <v>1.6606370308496301</v>
      </c>
      <c r="S21" s="368">
        <v>0.665087671367801</v>
      </c>
      <c r="T21" s="368">
        <v>1.33598260104774</v>
      </c>
      <c r="U21" s="368">
        <v>0.68959678811343195</v>
      </c>
      <c r="V21" s="368">
        <v>1.0785525637834901</v>
      </c>
      <c r="W21" s="368">
        <v>0.75460936044845806</v>
      </c>
      <c r="X21" s="368">
        <v>0.92919813988396305</v>
      </c>
      <c r="Y21" s="369">
        <v>0.70415430089914699</v>
      </c>
      <c r="AA21" s="368">
        <v>2.1508472144228299</v>
      </c>
      <c r="AB21" s="368">
        <v>0.631868466574252</v>
      </c>
    </row>
    <row r="22" spans="1:28" x14ac:dyDescent="0.25">
      <c r="B22" s="367" t="s">
        <v>316</v>
      </c>
      <c r="C22" s="368">
        <v>1.4077014319604999</v>
      </c>
      <c r="D22" s="368">
        <v>0.517393910239627</v>
      </c>
      <c r="E22" s="368">
        <v>1.3721656506847799</v>
      </c>
      <c r="F22" s="368">
        <v>0.51415368487573399</v>
      </c>
      <c r="G22" s="368">
        <v>1.3289775517006901</v>
      </c>
      <c r="H22" s="368">
        <v>0.50361346490585401</v>
      </c>
      <c r="I22" s="368">
        <v>1.2686497831526999</v>
      </c>
      <c r="J22" s="369">
        <v>0.50037455523480001</v>
      </c>
      <c r="L22" s="368">
        <v>1.4533594289767</v>
      </c>
      <c r="M22" s="368">
        <v>0.51360255200861904</v>
      </c>
      <c r="Q22" s="367" t="s">
        <v>316</v>
      </c>
      <c r="R22" s="368">
        <v>0.826824185385444</v>
      </c>
      <c r="S22" s="368">
        <v>0.50498721996971097</v>
      </c>
      <c r="T22" s="368">
        <v>0.70510927664138301</v>
      </c>
      <c r="U22" s="368">
        <v>0.51582307154356599</v>
      </c>
      <c r="V22" s="368">
        <v>0.63056250634829702</v>
      </c>
      <c r="W22" s="368">
        <v>0.52949197455059405</v>
      </c>
      <c r="X22" s="368">
        <v>0.52852481056779099</v>
      </c>
      <c r="Y22" s="369">
        <v>0.51290423753536596</v>
      </c>
      <c r="AA22" s="368">
        <v>1.17443301032722</v>
      </c>
      <c r="AB22" s="368">
        <v>0.454351833823123</v>
      </c>
    </row>
    <row r="23" spans="1:28" x14ac:dyDescent="0.25">
      <c r="B23" s="367" t="s">
        <v>318</v>
      </c>
      <c r="C23" s="368">
        <v>1.12582035455013</v>
      </c>
      <c r="D23" s="368">
        <v>0.66961999175139597</v>
      </c>
      <c r="E23" s="368">
        <v>1.1065000904289199</v>
      </c>
      <c r="F23" s="368">
        <v>0.67009640776692303</v>
      </c>
      <c r="G23" s="368">
        <v>1.0823147736295899</v>
      </c>
      <c r="H23" s="368">
        <v>0.66593562927368899</v>
      </c>
      <c r="I23" s="368">
        <v>1.0215683543666001</v>
      </c>
      <c r="J23" s="369">
        <v>0.65209775088915201</v>
      </c>
      <c r="L23" s="368">
        <v>1.1509748473213299</v>
      </c>
      <c r="M23" s="368">
        <v>0.66475500563524703</v>
      </c>
      <c r="Q23" s="367" t="s">
        <v>318</v>
      </c>
      <c r="R23" s="368">
        <v>0.80468118197598004</v>
      </c>
      <c r="S23" s="368">
        <v>0.65658363173284995</v>
      </c>
      <c r="T23" s="368">
        <v>0.66046117979499896</v>
      </c>
      <c r="U23" s="368">
        <v>0.64166965242561103</v>
      </c>
      <c r="V23" s="368">
        <v>0.55860418581511095</v>
      </c>
      <c r="W23" s="368">
        <v>0.63394749482008494</v>
      </c>
      <c r="X23" s="368">
        <v>0.48200706954191103</v>
      </c>
      <c r="Y23" s="369">
        <v>0.55304049070744898</v>
      </c>
      <c r="AA23" s="368">
        <v>1.0399188866306699</v>
      </c>
      <c r="AB23" s="368">
        <v>0.65557837009429398</v>
      </c>
    </row>
    <row r="24" spans="1:28" x14ac:dyDescent="0.25">
      <c r="B24" s="367" t="s">
        <v>320</v>
      </c>
      <c r="C24" s="368">
        <v>3.1878820723039101</v>
      </c>
      <c r="D24" s="368">
        <v>0.71247385242377603</v>
      </c>
      <c r="E24" s="368">
        <v>3.1186210341748799</v>
      </c>
      <c r="F24" s="368">
        <v>0.71310559430683895</v>
      </c>
      <c r="G24" s="368">
        <v>2.9475034654808301</v>
      </c>
      <c r="H24" s="368">
        <v>0.67925392816973795</v>
      </c>
      <c r="I24" s="368">
        <v>2.6266561784326501</v>
      </c>
      <c r="J24" s="369">
        <v>0.64686052789923798</v>
      </c>
      <c r="L24" s="368">
        <v>3.2367262455842098</v>
      </c>
      <c r="M24" s="368">
        <v>0.710010537457201</v>
      </c>
      <c r="Q24" s="367" t="s">
        <v>320</v>
      </c>
      <c r="R24" s="368">
        <v>1.7187614500341799</v>
      </c>
      <c r="S24" s="368">
        <v>0.58966465428208703</v>
      </c>
      <c r="T24" s="368">
        <v>1.44231909776219</v>
      </c>
      <c r="U24" s="368">
        <v>0.54529423253774301</v>
      </c>
      <c r="V24" s="368">
        <v>1.16782993297375</v>
      </c>
      <c r="W24" s="368">
        <v>0.57750537898295295</v>
      </c>
      <c r="X24" s="368">
        <v>0.97953970425551995</v>
      </c>
      <c r="Y24" s="369">
        <v>0.54622214696052895</v>
      </c>
      <c r="AA24" s="368">
        <v>2.3462235327087599</v>
      </c>
      <c r="AB24" s="368">
        <v>0.62773232716652705</v>
      </c>
    </row>
    <row r="25" spans="1:28" x14ac:dyDescent="0.25">
      <c r="B25" s="367" t="s">
        <v>322</v>
      </c>
      <c r="C25" s="368">
        <v>2.09983437506662</v>
      </c>
      <c r="D25" s="368">
        <v>0.65121286468758999</v>
      </c>
      <c r="E25" s="368">
        <v>1.98829183599875</v>
      </c>
      <c r="F25" s="368">
        <v>0.61218325130164097</v>
      </c>
      <c r="G25" s="368">
        <v>1.88331543187587</v>
      </c>
      <c r="H25" s="368">
        <v>0.59122701184250503</v>
      </c>
      <c r="I25" s="368">
        <v>1.6858663767258899</v>
      </c>
      <c r="J25" s="369">
        <v>0.59075203280281297</v>
      </c>
      <c r="L25" s="368">
        <v>2.18188746421878</v>
      </c>
      <c r="M25" s="368">
        <v>0.64767381809542401</v>
      </c>
      <c r="Q25" s="367" t="s">
        <v>322</v>
      </c>
      <c r="R25" s="368">
        <v>1.0584763592311299</v>
      </c>
      <c r="S25" s="368">
        <v>0.54052619629758303</v>
      </c>
      <c r="T25" s="368">
        <v>0.89673593756247905</v>
      </c>
      <c r="U25" s="368">
        <v>0.54724202386471799</v>
      </c>
      <c r="V25" s="368">
        <v>0.79932441800262999</v>
      </c>
      <c r="W25" s="368">
        <v>0.54521880362636199</v>
      </c>
      <c r="X25" s="368">
        <v>0.73449682155373996</v>
      </c>
      <c r="Y25" s="369">
        <v>0.52765557166632304</v>
      </c>
      <c r="AA25" s="368">
        <v>1.48367413878989</v>
      </c>
      <c r="AB25" s="368">
        <v>0.51752771429260402</v>
      </c>
    </row>
    <row r="26" spans="1:28" ht="16.5" thickBot="1" x14ac:dyDescent="0.3">
      <c r="B26" s="370" t="s">
        <v>324</v>
      </c>
      <c r="C26" s="371">
        <v>1.62950415431993</v>
      </c>
      <c r="D26" s="371">
        <v>0.54194142409528501</v>
      </c>
      <c r="E26" s="371">
        <v>1.5690860351834499</v>
      </c>
      <c r="F26" s="371">
        <v>0.53726505952999604</v>
      </c>
      <c r="G26" s="371">
        <v>1.5159683105260799</v>
      </c>
      <c r="H26" s="371">
        <v>0.53187716869427004</v>
      </c>
      <c r="I26" s="371">
        <v>1.3721810613723899</v>
      </c>
      <c r="J26" s="372">
        <v>0.50140571414540402</v>
      </c>
      <c r="L26" s="371">
        <v>1.7036899123981399</v>
      </c>
      <c r="M26" s="371">
        <v>0.54648938172213402</v>
      </c>
      <c r="Q26" s="370" t="s">
        <v>324</v>
      </c>
      <c r="R26" s="371">
        <v>1.0555926434069201</v>
      </c>
      <c r="S26" s="371">
        <v>0.51885879894393505</v>
      </c>
      <c r="T26" s="371">
        <v>0.82252111283540197</v>
      </c>
      <c r="U26" s="371">
        <v>0.57578345968396705</v>
      </c>
      <c r="V26" s="371">
        <v>0.72872682854027304</v>
      </c>
      <c r="W26" s="371">
        <v>0.53802064049255505</v>
      </c>
      <c r="X26" s="371">
        <v>0.63912739304972399</v>
      </c>
      <c r="Y26" s="372">
        <v>0.524081132759038</v>
      </c>
      <c r="AA26" s="371">
        <v>1.3685697782688</v>
      </c>
      <c r="AB26" s="371">
        <v>0.49957182672536499</v>
      </c>
    </row>
    <row r="27" spans="1:28" ht="16.5" thickTop="1" x14ac:dyDescent="0.25"/>
  </sheetData>
  <mergeCells count="32">
    <mergeCell ref="AA20:AB20"/>
    <mergeCell ref="C20:D20"/>
    <mergeCell ref="K5:L5"/>
    <mergeCell ref="M5:N5"/>
    <mergeCell ref="G20:H20"/>
    <mergeCell ref="I20:J20"/>
    <mergeCell ref="L20:M20"/>
    <mergeCell ref="L12:M12"/>
    <mergeCell ref="C5:D5"/>
    <mergeCell ref="E5:F5"/>
    <mergeCell ref="G5:H5"/>
    <mergeCell ref="I5:J5"/>
    <mergeCell ref="C12:D12"/>
    <mergeCell ref="E12:F12"/>
    <mergeCell ref="G12:H12"/>
    <mergeCell ref="I12:J12"/>
    <mergeCell ref="E20:F20"/>
    <mergeCell ref="R5:S5"/>
    <mergeCell ref="T5:U5"/>
    <mergeCell ref="V5:W5"/>
    <mergeCell ref="X5:Y5"/>
    <mergeCell ref="R20:S20"/>
    <mergeCell ref="T20:U20"/>
    <mergeCell ref="V20:W20"/>
    <mergeCell ref="X20:Y20"/>
    <mergeCell ref="Z5:AA5"/>
    <mergeCell ref="AB5:AC5"/>
    <mergeCell ref="R12:S12"/>
    <mergeCell ref="T12:U12"/>
    <mergeCell ref="V12:W12"/>
    <mergeCell ref="X12:Y12"/>
    <mergeCell ref="AA12:AB1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F0"/>
  </sheetPr>
  <dimension ref="A4:AE88"/>
  <sheetViews>
    <sheetView zoomScale="85" zoomScaleNormal="85" workbookViewId="0">
      <selection activeCell="B36" sqref="B36"/>
    </sheetView>
  </sheetViews>
  <sheetFormatPr defaultRowHeight="15" x14ac:dyDescent="0.25"/>
  <cols>
    <col min="1" max="1" width="19.5703125" style="9" customWidth="1"/>
    <col min="2" max="2" width="10.140625" style="9" customWidth="1"/>
    <col min="3" max="3" width="12.85546875" style="9" customWidth="1"/>
    <col min="4" max="4" width="10.140625" style="9" customWidth="1"/>
    <col min="5" max="5" width="12.85546875" style="9" customWidth="1"/>
    <col min="6" max="6" width="10.140625" style="9" customWidth="1"/>
    <col min="7" max="7" width="12.85546875" style="9" customWidth="1"/>
    <col min="8" max="8" width="10.140625" style="9" customWidth="1"/>
    <col min="9" max="9" width="12.85546875" style="9" customWidth="1"/>
    <col min="10" max="10" width="9.140625" style="9"/>
    <col min="11" max="11" width="17.85546875" style="9" customWidth="1"/>
    <col min="12" max="16384" width="9.140625" style="9"/>
  </cols>
  <sheetData>
    <row r="4" spans="1:27" ht="18.75" x14ac:dyDescent="0.3">
      <c r="K4" s="435" t="s">
        <v>406</v>
      </c>
    </row>
    <row r="5" spans="1:27" ht="16.5" thickBot="1" x14ac:dyDescent="0.3">
      <c r="A5" s="752" t="s">
        <v>111</v>
      </c>
      <c r="B5" s="50" t="s">
        <v>327</v>
      </c>
      <c r="C5" s="50"/>
      <c r="D5" s="50"/>
      <c r="E5" s="50"/>
      <c r="F5" s="50"/>
      <c r="G5" s="50"/>
      <c r="H5" s="50"/>
      <c r="I5" s="50"/>
      <c r="J5" s="13"/>
      <c r="K5" s="750"/>
      <c r="L5" s="50" t="s">
        <v>327</v>
      </c>
      <c r="M5" s="400"/>
      <c r="N5" s="400"/>
      <c r="O5" s="400"/>
      <c r="P5" s="400"/>
      <c r="Q5" s="400"/>
      <c r="R5" s="443"/>
      <c r="S5" s="443"/>
    </row>
    <row r="6" spans="1:27" ht="16.5" thickBot="1" x14ac:dyDescent="0.3">
      <c r="A6" s="753"/>
      <c r="B6" s="34" t="s">
        <v>311</v>
      </c>
      <c r="C6" s="34"/>
      <c r="D6" s="34" t="s">
        <v>5</v>
      </c>
      <c r="E6" s="34"/>
      <c r="F6" s="166" t="s">
        <v>4</v>
      </c>
      <c r="G6" s="166"/>
      <c r="H6" s="166" t="s">
        <v>3</v>
      </c>
      <c r="I6" s="166"/>
      <c r="J6" s="13"/>
      <c r="K6" s="751"/>
      <c r="L6" s="404" t="s">
        <v>299</v>
      </c>
      <c r="M6" s="401"/>
      <c r="N6" s="405" t="s">
        <v>300</v>
      </c>
      <c r="O6" s="402"/>
      <c r="P6" s="406" t="s">
        <v>301</v>
      </c>
      <c r="Q6" s="403"/>
      <c r="R6" s="406" t="s">
        <v>302</v>
      </c>
      <c r="S6" s="403"/>
    </row>
    <row r="7" spans="1:27" ht="35.25" thickBot="1" x14ac:dyDescent="0.3">
      <c r="A7" s="113">
        <v>1</v>
      </c>
      <c r="B7" s="48" t="s">
        <v>328</v>
      </c>
      <c r="C7" s="48" t="s">
        <v>329</v>
      </c>
      <c r="D7" s="48" t="s">
        <v>121</v>
      </c>
      <c r="E7" s="48" t="s">
        <v>188</v>
      </c>
      <c r="F7" s="48" t="s">
        <v>120</v>
      </c>
      <c r="G7" s="48" t="s">
        <v>189</v>
      </c>
      <c r="H7" s="48" t="s">
        <v>119</v>
      </c>
      <c r="I7" s="48" t="s">
        <v>190</v>
      </c>
      <c r="J7" s="13"/>
      <c r="K7" s="407" t="s">
        <v>303</v>
      </c>
      <c r="L7" s="408" t="s">
        <v>306</v>
      </c>
      <c r="M7" s="409" t="s">
        <v>405</v>
      </c>
      <c r="N7" s="410" t="s">
        <v>306</v>
      </c>
      <c r="O7" s="410" t="s">
        <v>405</v>
      </c>
      <c r="P7" s="411" t="s">
        <v>306</v>
      </c>
      <c r="Q7" s="412" t="s">
        <v>405</v>
      </c>
      <c r="R7" s="411" t="s">
        <v>306</v>
      </c>
      <c r="S7" s="412" t="s">
        <v>405</v>
      </c>
    </row>
    <row r="8" spans="1:27" ht="15.75" x14ac:dyDescent="0.25">
      <c r="A8" s="337" t="s">
        <v>314</v>
      </c>
      <c r="B8" s="115">
        <v>2.1968714444179702</v>
      </c>
      <c r="C8" s="12">
        <v>0.65716776994297699</v>
      </c>
      <c r="D8" s="115">
        <v>1.5496102909712399</v>
      </c>
      <c r="E8" s="12">
        <v>0.616617685600657</v>
      </c>
      <c r="F8" s="114">
        <v>0.75769525805666604</v>
      </c>
      <c r="G8" s="45">
        <v>0.54223279857345097</v>
      </c>
      <c r="H8" s="114">
        <v>0.34777482093723999</v>
      </c>
      <c r="I8" s="45">
        <v>0.52599624700598302</v>
      </c>
      <c r="J8" s="13"/>
      <c r="K8" s="295" t="s">
        <v>308</v>
      </c>
      <c r="L8" s="413">
        <v>1.8771898980130499</v>
      </c>
      <c r="M8" s="299">
        <v>0.61271638995666999</v>
      </c>
      <c r="N8" s="414">
        <v>1.36219035479041</v>
      </c>
      <c r="O8" s="297">
        <v>0.543430854677033</v>
      </c>
      <c r="P8" s="415">
        <v>0.804109486864793</v>
      </c>
      <c r="Q8" s="302">
        <v>0.42930350431501202</v>
      </c>
      <c r="R8" s="415">
        <v>0.41766897496789301</v>
      </c>
      <c r="S8" s="302">
        <v>0.40185630563334201</v>
      </c>
      <c r="U8" s="436">
        <f t="shared" ref="U8:U13" si="0">B8/L8</f>
        <v>1.1702979260347042</v>
      </c>
      <c r="W8" s="436">
        <f t="shared" ref="W8:W13" si="1">D8/N8</f>
        <v>1.1375871848759838</v>
      </c>
      <c r="Y8" s="436">
        <f t="shared" ref="Y8:Y13" si="2">F8/P8</f>
        <v>0.94227872004209889</v>
      </c>
      <c r="AA8" s="436">
        <f t="shared" ref="AA8:AA13" si="3">H8/R8</f>
        <v>0.83265658160023515</v>
      </c>
    </row>
    <row r="9" spans="1:27" ht="15.75" x14ac:dyDescent="0.25">
      <c r="A9" s="23" t="s">
        <v>316</v>
      </c>
      <c r="B9" s="119">
        <v>1.30358904580216</v>
      </c>
      <c r="C9" s="10">
        <v>0.49882182131809799</v>
      </c>
      <c r="D9" s="119">
        <v>0.86408237482685102</v>
      </c>
      <c r="E9" s="10">
        <v>0.41412790258774201</v>
      </c>
      <c r="F9" s="118">
        <v>0.46627431482704501</v>
      </c>
      <c r="G9" s="44">
        <v>0.42490748169750397</v>
      </c>
      <c r="H9" s="118">
        <v>0.23934445669274501</v>
      </c>
      <c r="I9" s="44">
        <v>0.47504546802901798</v>
      </c>
      <c r="J9" s="13"/>
      <c r="K9" s="303" t="s">
        <v>54</v>
      </c>
      <c r="L9" s="416">
        <v>1.5979087967760199</v>
      </c>
      <c r="M9" s="305">
        <v>0.55442042918686796</v>
      </c>
      <c r="N9" s="119">
        <v>1.12866049195531</v>
      </c>
      <c r="O9" s="10">
        <v>0.55181759825418697</v>
      </c>
      <c r="P9" s="417">
        <v>0.60349060177924696</v>
      </c>
      <c r="Q9" s="135">
        <v>0.45668226920622501</v>
      </c>
      <c r="R9" s="417">
        <v>0.318743583441224</v>
      </c>
      <c r="S9" s="135">
        <v>0.46316342719053999</v>
      </c>
      <c r="U9" s="436">
        <f t="shared" si="0"/>
        <v>0.81580941817975672</v>
      </c>
      <c r="W9" s="436">
        <f t="shared" si="1"/>
        <v>0.76558219321551735</v>
      </c>
      <c r="Y9" s="436">
        <f t="shared" si="2"/>
        <v>0.77262895801914278</v>
      </c>
      <c r="AA9" s="436">
        <f t="shared" si="3"/>
        <v>0.75089968591282996</v>
      </c>
    </row>
    <row r="10" spans="1:27" ht="16.5" thickBot="1" x14ac:dyDescent="0.3">
      <c r="A10" s="258" t="s">
        <v>318</v>
      </c>
      <c r="B10" s="117">
        <v>1.0433619967821599</v>
      </c>
      <c r="C10" s="11">
        <v>0.66648260728285602</v>
      </c>
      <c r="D10" s="117">
        <v>0.76646597250433002</v>
      </c>
      <c r="E10" s="11">
        <v>0.65928579066175996</v>
      </c>
      <c r="F10" s="116">
        <v>0.37611666281013301</v>
      </c>
      <c r="G10" s="46">
        <v>0.58895572345805602</v>
      </c>
      <c r="H10" s="116">
        <v>0.17255135275236999</v>
      </c>
      <c r="I10" s="46">
        <v>0.59052919114051206</v>
      </c>
      <c r="J10" s="13"/>
      <c r="K10" s="308" t="s">
        <v>53</v>
      </c>
      <c r="L10" s="416">
        <v>1.2872397891301</v>
      </c>
      <c r="M10" s="305">
        <v>0.47525692457677199</v>
      </c>
      <c r="N10" s="119">
        <v>0.99814998762081197</v>
      </c>
      <c r="O10" s="10">
        <v>0.48993317307349299</v>
      </c>
      <c r="P10" s="417">
        <v>0.48020545480395099</v>
      </c>
      <c r="Q10" s="135">
        <v>0.34255105875966402</v>
      </c>
      <c r="R10" s="417">
        <v>0.23793049775717501</v>
      </c>
      <c r="S10" s="135">
        <v>0.33779913732476802</v>
      </c>
      <c r="U10" s="436">
        <f t="shared" si="0"/>
        <v>0.81054206496153325</v>
      </c>
      <c r="W10" s="436">
        <f t="shared" si="1"/>
        <v>0.7678865721686543</v>
      </c>
      <c r="Y10" s="436">
        <f t="shared" si="2"/>
        <v>0.7832411294946382</v>
      </c>
      <c r="AA10" s="436">
        <f t="shared" si="3"/>
        <v>0.72521746635637652</v>
      </c>
    </row>
    <row r="11" spans="1:27" ht="15.75" x14ac:dyDescent="0.25">
      <c r="A11" s="337" t="s">
        <v>320</v>
      </c>
      <c r="B11" s="115">
        <v>2.6346662035035302</v>
      </c>
      <c r="C11" s="12">
        <v>0.68233968900983499</v>
      </c>
      <c r="D11" s="115">
        <v>1.6797675281118301</v>
      </c>
      <c r="E11" s="12">
        <v>0.54684999932482004</v>
      </c>
      <c r="F11" s="114">
        <v>0.88041331874900797</v>
      </c>
      <c r="G11" s="45">
        <v>0.45086389085191098</v>
      </c>
      <c r="H11" s="114">
        <v>0.44108365601213101</v>
      </c>
      <c r="I11" s="45">
        <v>0.50049794283358795</v>
      </c>
      <c r="J11" s="13"/>
      <c r="K11" s="418" t="s">
        <v>309</v>
      </c>
      <c r="L11" s="419">
        <v>2.20388434206536</v>
      </c>
      <c r="M11" s="313">
        <v>0.54998171570371901</v>
      </c>
      <c r="N11" s="420">
        <v>1.5568641204578</v>
      </c>
      <c r="O11" s="311">
        <v>0.467786547949603</v>
      </c>
      <c r="P11" s="421">
        <v>0.90642994347142503</v>
      </c>
      <c r="Q11" s="316">
        <v>0.36904578235170699</v>
      </c>
      <c r="R11" s="421">
        <v>0.46968932551495302</v>
      </c>
      <c r="S11" s="316">
        <v>0.42910927479129202</v>
      </c>
      <c r="U11" s="436">
        <f t="shared" si="0"/>
        <v>1.1954648223665245</v>
      </c>
      <c r="W11" s="436">
        <f t="shared" si="1"/>
        <v>1.0789429251011899</v>
      </c>
      <c r="Y11" s="436">
        <f t="shared" si="2"/>
        <v>0.97129769938669597</v>
      </c>
      <c r="AA11" s="436">
        <f t="shared" si="3"/>
        <v>0.93909661568003566</v>
      </c>
    </row>
    <row r="12" spans="1:27" ht="15.75" x14ac:dyDescent="0.25">
      <c r="A12" s="23" t="s">
        <v>322</v>
      </c>
      <c r="B12" s="335">
        <v>1.7650610524902699</v>
      </c>
      <c r="C12" s="10">
        <v>0.61891176604253695</v>
      </c>
      <c r="D12" s="119">
        <v>1.0064880366078699</v>
      </c>
      <c r="E12" s="10">
        <v>0.49265177549261102</v>
      </c>
      <c r="F12" s="118">
        <v>0.58864914318626804</v>
      </c>
      <c r="G12" s="44">
        <v>0.47524824601864002</v>
      </c>
      <c r="H12" s="118">
        <v>0.29990587681671799</v>
      </c>
      <c r="I12" s="44">
        <v>0.50518678932094996</v>
      </c>
      <c r="J12" s="13"/>
      <c r="K12" s="422" t="s">
        <v>52</v>
      </c>
      <c r="L12" s="423">
        <v>1.7363377990376101</v>
      </c>
      <c r="M12" s="320">
        <v>0.60699410350880001</v>
      </c>
      <c r="N12" s="424">
        <v>1.1196756038921001</v>
      </c>
      <c r="O12" s="318">
        <v>0.540418659667674</v>
      </c>
      <c r="P12" s="425">
        <v>0.62866266193119003</v>
      </c>
      <c r="Q12" s="138">
        <v>0.43679273043497602</v>
      </c>
      <c r="R12" s="425">
        <v>0.32235460037123898</v>
      </c>
      <c r="S12" s="138">
        <v>0.46493266532487398</v>
      </c>
      <c r="U12" s="436">
        <f t="shared" si="0"/>
        <v>1.0165424340059752</v>
      </c>
      <c r="W12" s="436">
        <f t="shared" si="1"/>
        <v>0.89891039253621374</v>
      </c>
      <c r="Y12" s="436">
        <f t="shared" si="2"/>
        <v>0.93635136748537862</v>
      </c>
      <c r="AA12" s="436">
        <f t="shared" si="3"/>
        <v>0.93036015763799251</v>
      </c>
    </row>
    <row r="13" spans="1:27" ht="15.75" x14ac:dyDescent="0.25">
      <c r="A13" s="258" t="s">
        <v>324</v>
      </c>
      <c r="B13" s="334">
        <v>1.51127931535212</v>
      </c>
      <c r="C13" s="11">
        <v>0.51163873691012995</v>
      </c>
      <c r="D13" s="117">
        <v>0.938892471255106</v>
      </c>
      <c r="E13" s="11">
        <v>0.51033773209423605</v>
      </c>
      <c r="F13" s="116">
        <v>0.44292008088215001</v>
      </c>
      <c r="G13" s="46">
        <v>0.471860372864295</v>
      </c>
      <c r="H13" s="116">
        <v>0.21530803353060299</v>
      </c>
      <c r="I13" s="46">
        <v>0.45359089663270902</v>
      </c>
      <c r="J13" s="13"/>
      <c r="K13" s="323" t="s">
        <v>51</v>
      </c>
      <c r="L13" s="426">
        <v>1.5009756581381799</v>
      </c>
      <c r="M13" s="257">
        <v>0.44994990539253599</v>
      </c>
      <c r="N13" s="117">
        <v>1.03174028645567</v>
      </c>
      <c r="O13" s="11">
        <v>0.43063747884076098</v>
      </c>
      <c r="P13" s="427">
        <v>0.47239064173217998</v>
      </c>
      <c r="Q13" s="149">
        <v>0.29530794454042197</v>
      </c>
      <c r="R13" s="427">
        <v>0.24427579214662801</v>
      </c>
      <c r="S13" s="149">
        <v>0.343208663267909</v>
      </c>
      <c r="U13" s="436">
        <f t="shared" si="0"/>
        <v>1.0068646397815144</v>
      </c>
      <c r="W13" s="436">
        <f t="shared" si="1"/>
        <v>0.91000853953321592</v>
      </c>
      <c r="Y13" s="436">
        <f t="shared" si="2"/>
        <v>0.93761400365179504</v>
      </c>
      <c r="AA13" s="436">
        <f t="shared" si="3"/>
        <v>0.88141371536874624</v>
      </c>
    </row>
    <row r="14" spans="1:27" ht="15.75" x14ac:dyDescent="0.25">
      <c r="A14" s="13"/>
      <c r="B14" s="13"/>
      <c r="C14" s="13"/>
      <c r="D14" s="13"/>
      <c r="E14" s="13"/>
      <c r="F14" s="13"/>
      <c r="G14" s="13"/>
      <c r="H14" s="13"/>
      <c r="I14" s="13"/>
      <c r="J14" s="13"/>
      <c r="K14" s="13"/>
      <c r="L14" s="13"/>
      <c r="M14" s="13"/>
      <c r="N14" s="13"/>
      <c r="O14" s="13"/>
      <c r="P14" s="13"/>
      <c r="Q14" s="13"/>
      <c r="R14" s="13"/>
      <c r="S14" s="13"/>
    </row>
    <row r="15" spans="1:27" ht="15.75" x14ac:dyDescent="0.25">
      <c r="A15" s="13"/>
      <c r="B15" s="13"/>
      <c r="C15" s="13"/>
      <c r="D15" s="13"/>
      <c r="E15" s="13"/>
      <c r="F15" s="13"/>
      <c r="G15" s="13"/>
      <c r="H15" s="13"/>
      <c r="I15" s="13"/>
      <c r="J15" s="13"/>
      <c r="K15" s="13"/>
      <c r="L15" s="13"/>
      <c r="M15" s="13"/>
      <c r="N15" s="13"/>
      <c r="O15" s="13"/>
      <c r="P15" s="13"/>
      <c r="Q15" s="13"/>
      <c r="R15" s="13"/>
      <c r="S15" s="13"/>
    </row>
    <row r="16" spans="1:27" ht="16.5" x14ac:dyDescent="0.25">
      <c r="A16" s="463" t="s">
        <v>430</v>
      </c>
      <c r="B16" s="50"/>
      <c r="C16" s="464"/>
      <c r="E16" s="465" t="s">
        <v>407</v>
      </c>
      <c r="F16" s="466"/>
      <c r="J16" s="13"/>
      <c r="K16" s="13"/>
      <c r="L16" s="13"/>
      <c r="M16" s="13"/>
      <c r="N16" s="13"/>
      <c r="O16" s="13"/>
      <c r="P16" s="13"/>
      <c r="Q16" s="13"/>
      <c r="R16" s="13"/>
      <c r="S16" s="13"/>
      <c r="T16" s="13"/>
      <c r="U16" s="13"/>
    </row>
    <row r="17" spans="1:21" ht="16.5" thickBot="1" x14ac:dyDescent="0.3">
      <c r="A17" s="434"/>
      <c r="B17" s="13"/>
      <c r="C17" s="13"/>
      <c r="D17" s="13"/>
      <c r="E17" s="13"/>
      <c r="F17" s="13"/>
      <c r="G17" s="13"/>
      <c r="H17" s="13"/>
      <c r="I17" s="13"/>
      <c r="J17" s="13"/>
      <c r="K17" s="13"/>
      <c r="L17" s="13"/>
      <c r="M17" s="13"/>
      <c r="N17" s="13"/>
      <c r="O17" s="13"/>
      <c r="P17" s="13"/>
      <c r="Q17" s="13"/>
      <c r="R17" s="13"/>
      <c r="S17" s="13"/>
      <c r="T17" s="13"/>
      <c r="U17" s="13"/>
    </row>
    <row r="18" spans="1:21" ht="23.25" customHeight="1" thickTop="1" x14ac:dyDescent="0.25">
      <c r="A18" s="445" t="s">
        <v>427</v>
      </c>
      <c r="B18" s="446" t="s">
        <v>424</v>
      </c>
      <c r="C18" s="447"/>
      <c r="D18" s="446" t="s">
        <v>423</v>
      </c>
      <c r="E18" s="447"/>
      <c r="F18" s="446" t="s">
        <v>423</v>
      </c>
      <c r="G18" s="447"/>
      <c r="H18" s="446" t="s">
        <v>422</v>
      </c>
      <c r="I18" s="447"/>
      <c r="J18" s="13"/>
      <c r="K18" s="13"/>
      <c r="L18" s="13"/>
      <c r="M18" s="13"/>
      <c r="N18" s="13"/>
      <c r="O18" s="13"/>
      <c r="P18" s="13"/>
      <c r="Q18" s="13"/>
      <c r="R18" s="13"/>
      <c r="S18" s="13"/>
      <c r="T18" s="13"/>
      <c r="U18" s="13"/>
    </row>
    <row r="19" spans="1:21" ht="23.25" customHeight="1" x14ac:dyDescent="0.25">
      <c r="A19" s="448" t="s">
        <v>425</v>
      </c>
      <c r="B19" s="461" t="s">
        <v>428</v>
      </c>
      <c r="C19" s="448"/>
      <c r="D19" s="449" t="s">
        <v>403</v>
      </c>
      <c r="E19" s="448"/>
      <c r="F19" s="449" t="s">
        <v>402</v>
      </c>
      <c r="G19" s="448"/>
      <c r="H19" s="461" t="s">
        <v>421</v>
      </c>
      <c r="I19" s="448"/>
      <c r="J19" s="462" t="s">
        <v>429</v>
      </c>
      <c r="K19" s="13"/>
      <c r="L19" s="13"/>
      <c r="M19" s="13"/>
      <c r="N19" s="13"/>
      <c r="O19" s="13"/>
      <c r="P19" s="13"/>
      <c r="Q19" s="13"/>
      <c r="R19" s="13"/>
      <c r="S19" s="13"/>
      <c r="T19" s="13"/>
      <c r="U19" s="13"/>
    </row>
    <row r="20" spans="1:21" ht="23.25" customHeight="1" thickBot="1" x14ac:dyDescent="0.3">
      <c r="A20" s="450" t="s">
        <v>426</v>
      </c>
      <c r="B20" s="451" t="s">
        <v>311</v>
      </c>
      <c r="C20" s="452"/>
      <c r="D20" s="451" t="s">
        <v>404</v>
      </c>
      <c r="E20" s="452"/>
      <c r="F20" s="451" t="s">
        <v>401</v>
      </c>
      <c r="G20" s="452"/>
      <c r="H20" s="451" t="s">
        <v>400</v>
      </c>
      <c r="I20" s="452"/>
      <c r="J20" s="13"/>
      <c r="K20" s="13"/>
      <c r="L20" s="13"/>
      <c r="M20" s="13"/>
      <c r="N20" s="13"/>
      <c r="O20" s="13"/>
      <c r="P20" s="13"/>
      <c r="Q20" s="13"/>
      <c r="R20" s="13"/>
      <c r="S20" s="13"/>
      <c r="T20" s="13"/>
      <c r="U20" s="13"/>
    </row>
    <row r="21" spans="1:21" ht="23.25" customHeight="1" thickTop="1" x14ac:dyDescent="0.25">
      <c r="A21" s="42">
        <v>1</v>
      </c>
      <c r="B21" s="398" t="s">
        <v>390</v>
      </c>
      <c r="C21" s="399" t="s">
        <v>311</v>
      </c>
      <c r="D21" s="437" t="s">
        <v>391</v>
      </c>
      <c r="E21" s="438" t="s">
        <v>392</v>
      </c>
      <c r="F21" s="437" t="s">
        <v>357</v>
      </c>
      <c r="G21" s="438" t="s">
        <v>395</v>
      </c>
      <c r="H21" s="437" t="s">
        <v>356</v>
      </c>
      <c r="I21" s="438" t="s">
        <v>477</v>
      </c>
      <c r="J21" s="13"/>
      <c r="K21" s="13"/>
      <c r="L21" s="13"/>
      <c r="M21" s="13"/>
      <c r="N21" s="13"/>
      <c r="O21" s="13"/>
      <c r="P21" s="13"/>
      <c r="Q21" s="13"/>
      <c r="R21" s="13"/>
      <c r="S21" s="13"/>
      <c r="T21" s="13"/>
      <c r="U21" s="13"/>
    </row>
    <row r="22" spans="1:21" ht="24" customHeight="1" x14ac:dyDescent="0.25">
      <c r="A22" s="6" t="s">
        <v>111</v>
      </c>
      <c r="B22" s="396" t="s">
        <v>494</v>
      </c>
      <c r="C22" s="397" t="s">
        <v>495</v>
      </c>
      <c r="D22" s="396" t="s">
        <v>393</v>
      </c>
      <c r="E22" s="397" t="s">
        <v>394</v>
      </c>
      <c r="F22" s="396" t="s">
        <v>396</v>
      </c>
      <c r="G22" s="397" t="s">
        <v>397</v>
      </c>
      <c r="H22" s="396" t="s">
        <v>398</v>
      </c>
      <c r="I22" s="397" t="s">
        <v>399</v>
      </c>
      <c r="J22" s="13"/>
      <c r="K22" s="13"/>
      <c r="L22" s="13"/>
      <c r="M22" s="13"/>
      <c r="N22" s="13"/>
      <c r="O22" s="13"/>
      <c r="P22" s="13"/>
      <c r="Q22" s="13"/>
      <c r="R22" s="13"/>
      <c r="S22" s="13"/>
      <c r="T22" s="13"/>
      <c r="U22" s="13"/>
    </row>
    <row r="23" spans="1:21" ht="24" customHeight="1" x14ac:dyDescent="0.25">
      <c r="A23" s="337" t="s">
        <v>314</v>
      </c>
      <c r="B23" s="453">
        <v>2.1968714444179702</v>
      </c>
      <c r="C23" s="454">
        <v>0.65716776994297699</v>
      </c>
      <c r="D23" s="453">
        <v>1.7432184363065399</v>
      </c>
      <c r="E23" s="439">
        <v>0.62925058825566105</v>
      </c>
      <c r="F23" s="453">
        <v>1.4405502493217699</v>
      </c>
      <c r="G23" s="439">
        <v>0.60806995895048999</v>
      </c>
      <c r="H23" s="453">
        <v>0.305125890662791</v>
      </c>
      <c r="I23" s="439">
        <v>0.50062116082068298</v>
      </c>
      <c r="J23" s="13"/>
      <c r="K23" s="13"/>
      <c r="L23"/>
      <c r="M23"/>
      <c r="N23"/>
      <c r="O23" s="13"/>
      <c r="P23" s="13"/>
      <c r="Q23" s="13"/>
      <c r="R23" s="13"/>
      <c r="S23" s="13"/>
      <c r="T23" s="13"/>
      <c r="U23" s="13"/>
    </row>
    <row r="24" spans="1:21" ht="24" customHeight="1" x14ac:dyDescent="0.25">
      <c r="A24" s="467" t="s">
        <v>316</v>
      </c>
      <c r="B24" s="468">
        <v>1.30358904580216</v>
      </c>
      <c r="C24" s="469">
        <v>0.49882182131809799</v>
      </c>
      <c r="D24" s="468">
        <v>1.0018118429998</v>
      </c>
      <c r="E24" s="470">
        <v>0.405767622351209</v>
      </c>
      <c r="F24" s="468">
        <v>0.78472125755813305</v>
      </c>
      <c r="G24" s="470">
        <v>0.40321246718417902</v>
      </c>
      <c r="H24" s="468">
        <v>0.28380346137517998</v>
      </c>
      <c r="I24" s="470">
        <v>0.45844116877964503</v>
      </c>
      <c r="J24" s="13"/>
      <c r="K24" s="13"/>
      <c r="L24"/>
      <c r="M24"/>
      <c r="N24"/>
      <c r="O24" s="13"/>
      <c r="P24" s="13"/>
      <c r="Q24" s="13"/>
      <c r="R24" s="13"/>
      <c r="S24" s="13"/>
      <c r="T24" s="13"/>
      <c r="U24" s="13"/>
    </row>
    <row r="25" spans="1:21" ht="24" customHeight="1" x14ac:dyDescent="0.25">
      <c r="A25" s="258" t="s">
        <v>318</v>
      </c>
      <c r="B25" s="457">
        <v>1.0433619967821599</v>
      </c>
      <c r="C25" s="458">
        <v>0.66648260728285602</v>
      </c>
      <c r="D25" s="457">
        <v>0.89672012348100105</v>
      </c>
      <c r="E25" s="441">
        <v>0.66666371267324698</v>
      </c>
      <c r="F25" s="457">
        <v>0.76644669055857995</v>
      </c>
      <c r="G25" s="441">
        <v>0.62729256443147496</v>
      </c>
      <c r="H25" s="457">
        <v>0.20162887645095001</v>
      </c>
      <c r="I25" s="441">
        <v>0.59962191048819502</v>
      </c>
      <c r="J25" s="13"/>
      <c r="K25" s="13"/>
      <c r="L25"/>
      <c r="M25"/>
      <c r="N25"/>
      <c r="O25" s="13"/>
      <c r="P25" s="13"/>
      <c r="Q25" s="13"/>
      <c r="R25" s="13"/>
      <c r="S25" s="13"/>
      <c r="T25" s="13"/>
      <c r="U25" s="13"/>
    </row>
    <row r="26" spans="1:21" ht="24" customHeight="1" x14ac:dyDescent="0.25">
      <c r="A26" s="337" t="s">
        <v>320</v>
      </c>
      <c r="B26" s="455">
        <v>2.6346662035035302</v>
      </c>
      <c r="C26" s="456">
        <v>0.68233968900983499</v>
      </c>
      <c r="D26" s="455">
        <v>1.8159062413890901</v>
      </c>
      <c r="E26" s="440">
        <v>0.54086641994775098</v>
      </c>
      <c r="F26" s="455">
        <v>1.45635635172577</v>
      </c>
      <c r="G26" s="440">
        <v>0.46309969019333502</v>
      </c>
      <c r="H26" s="455">
        <v>0.48513557362253301</v>
      </c>
      <c r="I26" s="440">
        <v>0.50102440479696297</v>
      </c>
      <c r="J26" s="13"/>
      <c r="K26" s="13"/>
      <c r="L26"/>
      <c r="M26"/>
      <c r="N26"/>
      <c r="O26" s="13"/>
      <c r="P26" s="13"/>
      <c r="Q26" s="13"/>
      <c r="R26" s="13"/>
      <c r="S26" s="13"/>
      <c r="T26" s="13"/>
      <c r="U26" s="13"/>
    </row>
    <row r="27" spans="1:21" ht="24" customHeight="1" x14ac:dyDescent="0.25">
      <c r="A27" s="467" t="s">
        <v>322</v>
      </c>
      <c r="B27" s="468">
        <v>1.7650610524902699</v>
      </c>
      <c r="C27" s="469">
        <v>0.61891176604253695</v>
      </c>
      <c r="D27" s="468">
        <v>1.17625958988515</v>
      </c>
      <c r="E27" s="470">
        <v>0.470868909869192</v>
      </c>
      <c r="F27" s="468">
        <v>0.98069861814944204</v>
      </c>
      <c r="G27" s="470">
        <v>0.42718997857018498</v>
      </c>
      <c r="H27" s="468">
        <v>0.38222350320627702</v>
      </c>
      <c r="I27" s="470">
        <v>0.54209667428598696</v>
      </c>
      <c r="J27" s="13"/>
      <c r="K27" s="13"/>
      <c r="L27"/>
      <c r="M27"/>
      <c r="N27"/>
      <c r="O27" s="13"/>
      <c r="P27" s="13"/>
      <c r="Q27" s="13"/>
      <c r="R27" s="13"/>
      <c r="S27" s="13"/>
      <c r="T27" s="13"/>
      <c r="U27" s="13"/>
    </row>
    <row r="28" spans="1:21" ht="24" customHeight="1" thickBot="1" x14ac:dyDescent="0.3">
      <c r="A28" s="258" t="s">
        <v>324</v>
      </c>
      <c r="B28" s="459">
        <v>1.51127931535212</v>
      </c>
      <c r="C28" s="460">
        <v>0.51163873691012995</v>
      </c>
      <c r="D28" s="459">
        <v>1.1706146723484001</v>
      </c>
      <c r="E28" s="442">
        <v>0.45801031947895698</v>
      </c>
      <c r="F28" s="459">
        <v>0.94934691587770403</v>
      </c>
      <c r="G28" s="442">
        <v>0.44497192144081799</v>
      </c>
      <c r="H28" s="459">
        <v>0.33481713841606903</v>
      </c>
      <c r="I28" s="442">
        <v>0.54976224043242305</v>
      </c>
      <c r="J28" s="13"/>
      <c r="K28" s="13"/>
      <c r="L28"/>
      <c r="M28"/>
      <c r="N28"/>
      <c r="O28" s="13"/>
      <c r="P28" s="13"/>
      <c r="Q28" s="13"/>
      <c r="R28" s="13"/>
      <c r="S28" s="13"/>
      <c r="T28" s="13"/>
      <c r="U28" s="13"/>
    </row>
    <row r="29" spans="1:21" ht="16.5" thickTop="1" x14ac:dyDescent="0.25">
      <c r="A29" s="13"/>
      <c r="B29" s="13"/>
      <c r="C29" s="13"/>
      <c r="D29" s="13"/>
      <c r="E29" s="13"/>
      <c r="F29" s="13"/>
      <c r="G29" s="13"/>
      <c r="H29" s="13"/>
      <c r="I29" s="13"/>
      <c r="J29" s="13"/>
      <c r="K29" s="13"/>
      <c r="L29"/>
      <c r="M29"/>
      <c r="N29"/>
      <c r="O29" s="13"/>
      <c r="P29" s="13"/>
      <c r="Q29" s="13"/>
      <c r="R29" s="13"/>
      <c r="S29" s="13"/>
      <c r="T29" s="13"/>
      <c r="U29" s="13"/>
    </row>
    <row r="30" spans="1:21" ht="19.5" thickBot="1" x14ac:dyDescent="0.35">
      <c r="A30" s="543" t="s">
        <v>453</v>
      </c>
      <c r="K30" s="543" t="s">
        <v>493</v>
      </c>
    </row>
    <row r="31" spans="1:21" ht="35.25" thickTop="1" x14ac:dyDescent="0.25">
      <c r="A31" s="42">
        <v>1</v>
      </c>
      <c r="B31" s="398" t="s">
        <v>390</v>
      </c>
      <c r="C31" s="399" t="s">
        <v>311</v>
      </c>
      <c r="D31" s="437" t="s">
        <v>391</v>
      </c>
      <c r="E31" s="438" t="s">
        <v>392</v>
      </c>
      <c r="F31" s="437" t="s">
        <v>357</v>
      </c>
      <c r="G31" s="438" t="s">
        <v>489</v>
      </c>
      <c r="H31" s="437" t="s">
        <v>356</v>
      </c>
      <c r="I31" s="438" t="s">
        <v>477</v>
      </c>
      <c r="K31" s="42">
        <v>1</v>
      </c>
      <c r="L31" s="398" t="s">
        <v>390</v>
      </c>
      <c r="M31" s="399" t="s">
        <v>311</v>
      </c>
      <c r="N31" s="437" t="s">
        <v>391</v>
      </c>
      <c r="O31" s="438" t="s">
        <v>392</v>
      </c>
      <c r="P31" s="437" t="s">
        <v>357</v>
      </c>
      <c r="Q31" s="438" t="s">
        <v>489</v>
      </c>
      <c r="R31" s="437" t="s">
        <v>356</v>
      </c>
      <c r="S31" s="438" t="s">
        <v>477</v>
      </c>
    </row>
    <row r="32" spans="1:21" ht="37.5" x14ac:dyDescent="0.25">
      <c r="A32" s="6" t="s">
        <v>111</v>
      </c>
      <c r="B32" s="396" t="s">
        <v>494</v>
      </c>
      <c r="C32" s="397" t="s">
        <v>495</v>
      </c>
      <c r="D32" s="396" t="s">
        <v>393</v>
      </c>
      <c r="E32" s="397" t="s">
        <v>394</v>
      </c>
      <c r="F32" s="396" t="s">
        <v>396</v>
      </c>
      <c r="G32" s="397" t="s">
        <v>397</v>
      </c>
      <c r="H32" s="396" t="s">
        <v>398</v>
      </c>
      <c r="I32" s="397" t="s">
        <v>399</v>
      </c>
      <c r="K32" s="6" t="s">
        <v>111</v>
      </c>
      <c r="L32" s="396" t="s">
        <v>496</v>
      </c>
      <c r="M32" s="397" t="s">
        <v>497</v>
      </c>
      <c r="N32" s="396" t="s">
        <v>498</v>
      </c>
      <c r="O32" s="397" t="s">
        <v>499</v>
      </c>
      <c r="P32" s="396" t="s">
        <v>500</v>
      </c>
      <c r="Q32" s="397" t="s">
        <v>502</v>
      </c>
      <c r="R32" s="396" t="s">
        <v>503</v>
      </c>
      <c r="S32" s="397" t="s">
        <v>501</v>
      </c>
    </row>
    <row r="33" spans="1:19" ht="22.5" customHeight="1" x14ac:dyDescent="0.25">
      <c r="A33" s="337" t="s">
        <v>314</v>
      </c>
      <c r="B33" s="453">
        <v>2.1968714444179702</v>
      </c>
      <c r="C33" s="454">
        <v>0.65716776994297699</v>
      </c>
      <c r="D33" s="453">
        <v>1.7432184363065399</v>
      </c>
      <c r="E33" s="439">
        <v>0.62925058825566105</v>
      </c>
      <c r="F33" s="453">
        <v>1.0394275645386799</v>
      </c>
      <c r="G33" s="439">
        <v>0.56830428538789102</v>
      </c>
      <c r="H33" s="453">
        <v>0.305125890662791</v>
      </c>
      <c r="I33" s="439">
        <v>0.50062116082068298</v>
      </c>
      <c r="K33" s="337" t="s">
        <v>314</v>
      </c>
      <c r="L33" s="453">
        <v>1.0928934377375299</v>
      </c>
      <c r="M33" s="454">
        <v>0.57832164173848499</v>
      </c>
      <c r="N33" s="453">
        <v>0.86880020929179902</v>
      </c>
      <c r="O33" s="439">
        <v>0.59823663063672505</v>
      </c>
      <c r="P33" s="453">
        <v>0.50941595935307205</v>
      </c>
      <c r="Q33" s="439">
        <v>0.57409682847242705</v>
      </c>
      <c r="R33" s="453">
        <v>0.15096302440761</v>
      </c>
      <c r="S33" s="439">
        <v>0.530949930905395</v>
      </c>
    </row>
    <row r="34" spans="1:19" ht="22.5" customHeight="1" x14ac:dyDescent="0.25">
      <c r="A34" s="467" t="s">
        <v>316</v>
      </c>
      <c r="B34" s="468">
        <v>1.30358904580216</v>
      </c>
      <c r="C34" s="469">
        <v>0.49882182131809799</v>
      </c>
      <c r="D34" s="468">
        <v>1.0018118429998</v>
      </c>
      <c r="E34" s="470">
        <v>0.405767622351209</v>
      </c>
      <c r="F34" s="468">
        <v>0.60791948383782601</v>
      </c>
      <c r="G34" s="470">
        <v>0.42331489455120103</v>
      </c>
      <c r="H34" s="468">
        <v>0.28380346137517998</v>
      </c>
      <c r="I34" s="470">
        <v>0.45844116877964503</v>
      </c>
      <c r="K34" s="467" t="s">
        <v>316</v>
      </c>
      <c r="L34" s="468">
        <v>0.71015661133488905</v>
      </c>
      <c r="M34" s="469">
        <v>0.630612330737233</v>
      </c>
      <c r="N34" s="468">
        <v>0.53007075694706896</v>
      </c>
      <c r="O34" s="470">
        <v>0.46404777047518603</v>
      </c>
      <c r="P34" s="468">
        <v>0.32957247557769398</v>
      </c>
      <c r="Q34" s="470">
        <v>0.51424208091500001</v>
      </c>
      <c r="R34" s="468">
        <v>0.15301944813395199</v>
      </c>
      <c r="S34" s="470">
        <v>0.58569809104829795</v>
      </c>
    </row>
    <row r="35" spans="1:19" ht="22.5" customHeight="1" x14ac:dyDescent="0.25">
      <c r="A35" s="258" t="s">
        <v>318</v>
      </c>
      <c r="B35" s="457">
        <v>1.0433619967821599</v>
      </c>
      <c r="C35" s="458">
        <v>0.66648260728285602</v>
      </c>
      <c r="D35" s="457">
        <v>0.89672012348100105</v>
      </c>
      <c r="E35" s="441">
        <v>0.66666371267324698</v>
      </c>
      <c r="F35" s="457">
        <v>0.55957660977953505</v>
      </c>
      <c r="G35" s="441">
        <v>0.52205703192867603</v>
      </c>
      <c r="H35" s="457">
        <v>0.20162887645095001</v>
      </c>
      <c r="I35" s="441">
        <v>0.59962191048819502</v>
      </c>
      <c r="K35" s="258" t="s">
        <v>318</v>
      </c>
      <c r="L35" s="457">
        <v>0.56080433606182201</v>
      </c>
      <c r="M35" s="458">
        <v>0.69834178950793502</v>
      </c>
      <c r="N35" s="457">
        <v>0.48022254844839202</v>
      </c>
      <c r="O35" s="441">
        <v>0.69810111423592003</v>
      </c>
      <c r="P35" s="457">
        <v>0.30772881194948998</v>
      </c>
      <c r="Q35" s="441">
        <v>0.52684653851005303</v>
      </c>
      <c r="R35" s="457">
        <v>0.112702025444334</v>
      </c>
      <c r="S35" s="441">
        <v>0.62859949132499604</v>
      </c>
    </row>
    <row r="36" spans="1:19" ht="22.5" customHeight="1" x14ac:dyDescent="0.25">
      <c r="A36" s="337" t="s">
        <v>320</v>
      </c>
      <c r="B36" s="455">
        <v>2.6346662035035302</v>
      </c>
      <c r="C36" s="456">
        <v>0.68233968900983499</v>
      </c>
      <c r="D36" s="455">
        <v>1.8159062413890901</v>
      </c>
      <c r="E36" s="440">
        <v>0.54086641994775098</v>
      </c>
      <c r="F36" s="455">
        <v>1.05239345791427</v>
      </c>
      <c r="G36" s="440">
        <v>0.39616235647081699</v>
      </c>
      <c r="H36" s="455">
        <v>0.48513557362253301</v>
      </c>
      <c r="I36" s="440">
        <v>0.50102440479696297</v>
      </c>
      <c r="K36" s="337" t="s">
        <v>320</v>
      </c>
      <c r="L36" s="455">
        <v>1.32138019996012</v>
      </c>
      <c r="M36" s="456">
        <v>0.66714154082785704</v>
      </c>
      <c r="N36" s="455">
        <v>0.91582156979545604</v>
      </c>
      <c r="O36" s="440">
        <v>0.56400352130344</v>
      </c>
      <c r="P36" s="455">
        <v>0.52497723534150098</v>
      </c>
      <c r="Q36" s="440">
        <v>0.44964274029212298</v>
      </c>
      <c r="R36" s="455">
        <v>0.243637082867633</v>
      </c>
      <c r="S36" s="440">
        <v>0.59384794643282801</v>
      </c>
    </row>
    <row r="37" spans="1:19" ht="22.5" customHeight="1" x14ac:dyDescent="0.25">
      <c r="A37" s="467" t="s">
        <v>322</v>
      </c>
      <c r="B37" s="468">
        <v>1.7650610524902699</v>
      </c>
      <c r="C37" s="469">
        <v>0.61891176604253695</v>
      </c>
      <c r="D37" s="468">
        <v>1.17625958988515</v>
      </c>
      <c r="E37" s="470">
        <v>0.470868909869192</v>
      </c>
      <c r="F37" s="468">
        <v>0.77693469563328899</v>
      </c>
      <c r="G37" s="470">
        <v>0.38013760912266698</v>
      </c>
      <c r="H37" s="468">
        <v>0.38222350320627702</v>
      </c>
      <c r="I37" s="470">
        <v>0.54209667428598696</v>
      </c>
      <c r="K37" s="467" t="s">
        <v>322</v>
      </c>
      <c r="L37" s="468">
        <v>1.0454064404744201</v>
      </c>
      <c r="M37" s="469">
        <v>0.77663312662320005</v>
      </c>
      <c r="N37" s="468">
        <v>0.69317913865444702</v>
      </c>
      <c r="O37" s="470">
        <v>0.65933253744445197</v>
      </c>
      <c r="P37" s="468">
        <v>0.46227385192350201</v>
      </c>
      <c r="Q37" s="470">
        <v>0.58933044534117496</v>
      </c>
      <c r="R37" s="468">
        <v>0.228830781232919</v>
      </c>
      <c r="S37" s="470">
        <v>0.73531854868222801</v>
      </c>
    </row>
    <row r="38" spans="1:19" ht="22.5" customHeight="1" thickBot="1" x14ac:dyDescent="0.3">
      <c r="A38" s="258" t="s">
        <v>324</v>
      </c>
      <c r="B38" s="459">
        <v>1.51127931535212</v>
      </c>
      <c r="C38" s="460">
        <v>0.51163873691012995</v>
      </c>
      <c r="D38" s="459">
        <v>1.1706146723484001</v>
      </c>
      <c r="E38" s="442">
        <v>0.45801031947895698</v>
      </c>
      <c r="F38" s="459">
        <v>0.71243608394439895</v>
      </c>
      <c r="G38" s="442">
        <v>0.389793426426569</v>
      </c>
      <c r="H38" s="459">
        <v>0.33481713841606903</v>
      </c>
      <c r="I38" s="442">
        <v>0.54976224043242305</v>
      </c>
      <c r="K38" s="258" t="s">
        <v>324</v>
      </c>
      <c r="L38" s="459">
        <v>1.07070108183948</v>
      </c>
      <c r="M38" s="460">
        <v>0.72001109075949998</v>
      </c>
      <c r="N38" s="459">
        <v>0.80660693755845503</v>
      </c>
      <c r="O38" s="442">
        <v>0.66621753313194298</v>
      </c>
      <c r="P38" s="459">
        <v>0.49243316259197201</v>
      </c>
      <c r="Q38" s="442">
        <v>0.61209651282344801</v>
      </c>
      <c r="R38" s="459">
        <v>0.23444912553964201</v>
      </c>
      <c r="S38" s="442">
        <v>0.78718679669046798</v>
      </c>
    </row>
    <row r="39" spans="1:19" ht="15.75" thickTop="1" x14ac:dyDescent="0.25"/>
    <row r="46" spans="1:19" s="13" customFormat="1" ht="15.75" x14ac:dyDescent="0.25"/>
    <row r="47" spans="1:19" s="13" customFormat="1" ht="15.75" x14ac:dyDescent="0.25"/>
    <row r="48" spans="1:19" s="13" customFormat="1" ht="15.75" x14ac:dyDescent="0.25"/>
    <row r="49" spans="1:31" s="13" customFormat="1" ht="16.5" thickBot="1" x14ac:dyDescent="0.3">
      <c r="A49" s="13" t="s">
        <v>310</v>
      </c>
      <c r="E49" s="50" t="s">
        <v>327</v>
      </c>
      <c r="F49" s="50"/>
      <c r="G49" s="50"/>
      <c r="H49" s="50"/>
      <c r="I49" s="50"/>
      <c r="J49" s="50"/>
      <c r="K49" s="50"/>
      <c r="L49" s="50"/>
      <c r="N49" s="50" t="s">
        <v>146</v>
      </c>
      <c r="O49" s="50"/>
      <c r="P49" s="50"/>
      <c r="Q49" s="50"/>
      <c r="R49" s="50"/>
      <c r="S49" s="50"/>
      <c r="T49" s="50"/>
      <c r="U49" s="50"/>
      <c r="W49" s="13" t="s">
        <v>333</v>
      </c>
    </row>
    <row r="50" spans="1:31" s="13" customFormat="1" ht="16.5" thickBot="1" x14ac:dyDescent="0.3">
      <c r="A50" s="3"/>
      <c r="B50" s="3"/>
      <c r="C50" s="3"/>
      <c r="D50" s="3"/>
      <c r="E50" s="327" t="s">
        <v>299</v>
      </c>
      <c r="F50" s="328"/>
      <c r="G50" s="329" t="s">
        <v>300</v>
      </c>
      <c r="H50" s="330"/>
      <c r="I50" s="331" t="s">
        <v>301</v>
      </c>
      <c r="J50" s="332"/>
      <c r="K50" s="331" t="s">
        <v>302</v>
      </c>
      <c r="L50" s="332"/>
      <c r="N50" s="34" t="s">
        <v>311</v>
      </c>
      <c r="O50" s="34"/>
      <c r="P50" s="34" t="s">
        <v>5</v>
      </c>
      <c r="Q50" s="34"/>
      <c r="R50" s="166" t="s">
        <v>4</v>
      </c>
      <c r="S50" s="166"/>
      <c r="T50" s="166" t="s">
        <v>3</v>
      </c>
      <c r="U50" s="166"/>
    </row>
    <row r="51" spans="1:31" s="13" customFormat="1" ht="38.25" thickBot="1" x14ac:dyDescent="0.3">
      <c r="A51" s="288" t="s">
        <v>303</v>
      </c>
      <c r="B51" s="289" t="s">
        <v>102</v>
      </c>
      <c r="C51" s="289" t="s">
        <v>304</v>
      </c>
      <c r="D51" s="289" t="s">
        <v>305</v>
      </c>
      <c r="E51" s="290" t="s">
        <v>306</v>
      </c>
      <c r="F51" s="291" t="s">
        <v>307</v>
      </c>
      <c r="G51" s="292" t="s">
        <v>306</v>
      </c>
      <c r="H51" s="292" t="s">
        <v>307</v>
      </c>
      <c r="I51" s="293" t="s">
        <v>306</v>
      </c>
      <c r="J51" s="294" t="s">
        <v>307</v>
      </c>
      <c r="K51" s="293" t="s">
        <v>306</v>
      </c>
      <c r="L51" s="294" t="s">
        <v>307</v>
      </c>
      <c r="N51" s="48" t="s">
        <v>312</v>
      </c>
      <c r="O51" s="48" t="s">
        <v>313</v>
      </c>
      <c r="P51" s="48" t="s">
        <v>118</v>
      </c>
      <c r="Q51" s="48" t="s">
        <v>185</v>
      </c>
      <c r="R51" s="48" t="s">
        <v>117</v>
      </c>
      <c r="S51" s="48" t="s">
        <v>186</v>
      </c>
      <c r="T51" s="48" t="s">
        <v>116</v>
      </c>
      <c r="U51" s="48" t="s">
        <v>187</v>
      </c>
    </row>
    <row r="52" spans="1:31" s="13" customFormat="1" ht="15.75" x14ac:dyDescent="0.25">
      <c r="A52" s="295" t="s">
        <v>308</v>
      </c>
      <c r="B52" s="296" t="s">
        <v>1</v>
      </c>
      <c r="C52" s="296">
        <v>2</v>
      </c>
      <c r="D52" s="297">
        <v>0.37005879296605043</v>
      </c>
      <c r="E52" s="298">
        <v>1.8771898980130499</v>
      </c>
      <c r="F52" s="299">
        <v>0.61271638995666999</v>
      </c>
      <c r="G52" s="300">
        <v>1.36219035479041</v>
      </c>
      <c r="H52" s="297">
        <v>0.543430854677033</v>
      </c>
      <c r="I52" s="301">
        <v>0.804109486864793</v>
      </c>
      <c r="J52" s="302">
        <v>0.42930350431501202</v>
      </c>
      <c r="K52" s="301">
        <v>0.41766897496789301</v>
      </c>
      <c r="L52" s="302">
        <v>0.40185630563334201</v>
      </c>
      <c r="N52" s="115">
        <v>0.81467567011555697</v>
      </c>
      <c r="O52" s="12">
        <v>0.50793450582684196</v>
      </c>
      <c r="P52" s="115">
        <v>0.60793648643353304</v>
      </c>
      <c r="Q52" s="12">
        <v>0.46614117231366098</v>
      </c>
      <c r="R52" s="114">
        <v>0.36071211421872501</v>
      </c>
      <c r="S52" s="45">
        <v>0.35117905768331498</v>
      </c>
      <c r="T52" s="114">
        <v>0.19149263543992701</v>
      </c>
      <c r="U52" s="45">
        <v>0.353447319283965</v>
      </c>
      <c r="W52" s="10">
        <f t="shared" ref="W52:W57" si="4">E63/E52</f>
        <v>1.1702979260347042</v>
      </c>
      <c r="X52" s="10">
        <f t="shared" ref="X52:X57" si="5">G63/G52</f>
        <v>1.1375871848759838</v>
      </c>
      <c r="Y52" s="10">
        <f t="shared" ref="Y52:Y57" si="6">I63/I52</f>
        <v>0.94227872004209889</v>
      </c>
      <c r="Z52" s="10">
        <f t="shared" ref="Z52:Z57" si="7">K63/K52</f>
        <v>0.83265658160023515</v>
      </c>
      <c r="AB52" s="10">
        <f t="shared" ref="AB52:AB57" si="8">N63/N52</f>
        <v>1.3415073971492353</v>
      </c>
      <c r="AC52" s="10">
        <f t="shared" ref="AC52:AC57" si="9">P63/P52</f>
        <v>1.2771334926088946</v>
      </c>
      <c r="AD52" s="10">
        <f t="shared" ref="AD52:AD57" si="10">R63/R52</f>
        <v>1.0297259490980948</v>
      </c>
      <c r="AE52" s="10">
        <f t="shared" ref="AE52:AE57" si="11">T63/T52</f>
        <v>0.89320452993335331</v>
      </c>
    </row>
    <row r="53" spans="1:31" s="13" customFormat="1" ht="15.75" x14ac:dyDescent="0.25">
      <c r="A53" s="303" t="s">
        <v>54</v>
      </c>
      <c r="B53" s="15" t="s">
        <v>1</v>
      </c>
      <c r="C53" s="15">
        <v>4</v>
      </c>
      <c r="D53" s="10">
        <v>0.60561625639459404</v>
      </c>
      <c r="E53" s="304">
        <v>1.5979087967760199</v>
      </c>
      <c r="F53" s="305">
        <v>0.55442042918686796</v>
      </c>
      <c r="G53" s="306">
        <v>1.12866049195531</v>
      </c>
      <c r="H53" s="10">
        <v>0.55181759825418697</v>
      </c>
      <c r="I53" s="307">
        <v>0.60349060177924696</v>
      </c>
      <c r="J53" s="135">
        <v>0.45668226920622501</v>
      </c>
      <c r="K53" s="307">
        <v>0.318743583441224</v>
      </c>
      <c r="L53" s="135">
        <v>0.46316342719053999</v>
      </c>
      <c r="N53" s="119">
        <v>0.87723260113682999</v>
      </c>
      <c r="O53" s="10">
        <v>0.48512711818818299</v>
      </c>
      <c r="P53" s="119">
        <v>0.61373913718897599</v>
      </c>
      <c r="Q53" s="10">
        <v>0.41973608851747302</v>
      </c>
      <c r="R53" s="118">
        <v>0.32635663551807798</v>
      </c>
      <c r="S53" s="44">
        <v>0.39108034476092302</v>
      </c>
      <c r="T53" s="118">
        <v>0.17358446436418601</v>
      </c>
      <c r="U53" s="44">
        <v>0.40665331154734702</v>
      </c>
      <c r="W53" s="10">
        <f t="shared" si="4"/>
        <v>0.81580941817975672</v>
      </c>
      <c r="X53" s="10">
        <f t="shared" si="5"/>
        <v>0.76558219321551735</v>
      </c>
      <c r="Y53" s="10">
        <f t="shared" si="6"/>
        <v>0.77262895801914278</v>
      </c>
      <c r="Z53" s="10">
        <f t="shared" si="7"/>
        <v>0.75089968591282996</v>
      </c>
      <c r="AB53" s="10">
        <f t="shared" si="8"/>
        <v>0.80954197371891723</v>
      </c>
      <c r="AC53" s="10">
        <f t="shared" si="9"/>
        <v>0.75516460726987822</v>
      </c>
      <c r="AD53" s="10">
        <f t="shared" si="10"/>
        <v>0.77351011312971918</v>
      </c>
      <c r="AE53" s="10">
        <f t="shared" si="11"/>
        <v>0.74039549416972206</v>
      </c>
    </row>
    <row r="54" spans="1:31" s="13" customFormat="1" ht="16.5" thickBot="1" x14ac:dyDescent="0.3">
      <c r="A54" s="308" t="s">
        <v>53</v>
      </c>
      <c r="B54" s="15" t="s">
        <v>1</v>
      </c>
      <c r="C54" s="15">
        <v>7</v>
      </c>
      <c r="D54" s="10">
        <v>0.91046743289805976</v>
      </c>
      <c r="E54" s="304">
        <v>1.2872397891301</v>
      </c>
      <c r="F54" s="305">
        <v>0.47525692457677199</v>
      </c>
      <c r="G54" s="306">
        <v>0.99814998762081197</v>
      </c>
      <c r="H54" s="10">
        <v>0.48993317307349299</v>
      </c>
      <c r="I54" s="307">
        <v>0.48020545480395099</v>
      </c>
      <c r="J54" s="135">
        <v>0.34255105875966402</v>
      </c>
      <c r="K54" s="307">
        <v>0.23793049775717501</v>
      </c>
      <c r="L54" s="135">
        <v>0.33779913732476802</v>
      </c>
      <c r="N54" s="117">
        <v>1.04112038467344</v>
      </c>
      <c r="O54" s="11">
        <v>0.55582160464454</v>
      </c>
      <c r="P54" s="117">
        <v>0.79498463866022895</v>
      </c>
      <c r="Q54" s="11">
        <v>0.57856986715550696</v>
      </c>
      <c r="R54" s="116">
        <v>0.37167146650719002</v>
      </c>
      <c r="S54" s="46">
        <v>0.42268618888548998</v>
      </c>
      <c r="T54" s="116">
        <v>0.18556990175983101</v>
      </c>
      <c r="U54" s="46">
        <v>0.40079648564362602</v>
      </c>
      <c r="W54" s="10">
        <f t="shared" si="4"/>
        <v>0.81054206496153325</v>
      </c>
      <c r="X54" s="10">
        <f t="shared" si="5"/>
        <v>0.7678865721686543</v>
      </c>
      <c r="Y54" s="10">
        <f t="shared" si="6"/>
        <v>0.7832411294946382</v>
      </c>
      <c r="Z54" s="10">
        <f t="shared" si="7"/>
        <v>0.72521746635637652</v>
      </c>
      <c r="AB54" s="10">
        <f t="shared" si="8"/>
        <v>0.53865464966159993</v>
      </c>
      <c r="AC54" s="10">
        <f t="shared" si="9"/>
        <v>0.52698194710279322</v>
      </c>
      <c r="AD54" s="10">
        <f t="shared" si="10"/>
        <v>0.55084789798876144</v>
      </c>
      <c r="AE54" s="10">
        <f t="shared" si="11"/>
        <v>0.50767951577590198</v>
      </c>
    </row>
    <row r="55" spans="1:31" s="13" customFormat="1" ht="15.75" x14ac:dyDescent="0.25">
      <c r="A55" s="309" t="s">
        <v>309</v>
      </c>
      <c r="B55" s="310" t="s">
        <v>2</v>
      </c>
      <c r="C55" s="310">
        <v>2</v>
      </c>
      <c r="D55" s="311">
        <v>0.37005879296605043</v>
      </c>
      <c r="E55" s="312">
        <v>2.20388434206536</v>
      </c>
      <c r="F55" s="313">
        <v>0.54998171570371901</v>
      </c>
      <c r="G55" s="314">
        <v>1.5568641204578</v>
      </c>
      <c r="H55" s="311">
        <v>0.467786547949603</v>
      </c>
      <c r="I55" s="315">
        <v>0.90642994347142503</v>
      </c>
      <c r="J55" s="316">
        <v>0.36904578235170699</v>
      </c>
      <c r="K55" s="315">
        <v>0.46968932551495302</v>
      </c>
      <c r="L55" s="316">
        <v>0.42910927479129202</v>
      </c>
      <c r="N55" s="115">
        <v>0.92570250122261399</v>
      </c>
      <c r="O55" s="12">
        <v>0.47930203012632999</v>
      </c>
      <c r="P55" s="115">
        <v>0.68702719459557204</v>
      </c>
      <c r="Q55" s="12">
        <v>0.40859572569899999</v>
      </c>
      <c r="R55" s="114">
        <v>0.403544701023692</v>
      </c>
      <c r="S55" s="45">
        <v>0.30281915847012503</v>
      </c>
      <c r="T55" s="114">
        <v>0.20846097555089199</v>
      </c>
      <c r="U55" s="45">
        <v>0.37413751122337402</v>
      </c>
      <c r="W55" s="10">
        <f t="shared" si="4"/>
        <v>1.1954648223665245</v>
      </c>
      <c r="X55" s="10">
        <f t="shared" si="5"/>
        <v>1.0789429251011899</v>
      </c>
      <c r="Y55" s="10">
        <f t="shared" si="6"/>
        <v>0.97129769938669597</v>
      </c>
      <c r="Z55" s="10">
        <f t="shared" si="7"/>
        <v>0.93909661568003566</v>
      </c>
      <c r="AB55" s="10">
        <f t="shared" si="8"/>
        <v>1.427435054150678</v>
      </c>
      <c r="AC55" s="10">
        <f t="shared" si="9"/>
        <v>1.2217085347923382</v>
      </c>
      <c r="AD55" s="10">
        <f t="shared" si="10"/>
        <v>1.0892934232715534</v>
      </c>
      <c r="AE55" s="10">
        <f t="shared" si="11"/>
        <v>1.0688510841297441</v>
      </c>
    </row>
    <row r="56" spans="1:31" s="13" customFormat="1" ht="15.75" x14ac:dyDescent="0.25">
      <c r="A56" s="317" t="s">
        <v>52</v>
      </c>
      <c r="B56" s="137" t="s">
        <v>2</v>
      </c>
      <c r="C56" s="137">
        <v>4</v>
      </c>
      <c r="D56" s="318">
        <v>0.60561625639459404</v>
      </c>
      <c r="E56" s="319">
        <v>1.7363377990376101</v>
      </c>
      <c r="F56" s="320">
        <v>0.60699410350880001</v>
      </c>
      <c r="G56" s="321">
        <v>1.1196756038921001</v>
      </c>
      <c r="H56" s="318">
        <v>0.540418659667674</v>
      </c>
      <c r="I56" s="322">
        <v>0.62866266193119003</v>
      </c>
      <c r="J56" s="138">
        <v>0.43679273043497602</v>
      </c>
      <c r="K56" s="322">
        <v>0.32235460037123898</v>
      </c>
      <c r="L56" s="138">
        <v>0.46493266532487398</v>
      </c>
      <c r="N56" s="119">
        <v>0.93059309972847104</v>
      </c>
      <c r="O56" s="10">
        <v>0.53510219888723598</v>
      </c>
      <c r="P56" s="119">
        <v>0.61879832801264001</v>
      </c>
      <c r="Q56" s="10">
        <v>0.46543420634799598</v>
      </c>
      <c r="R56" s="118">
        <v>0.34271525988033702</v>
      </c>
      <c r="S56" s="44">
        <v>0.41671273932214098</v>
      </c>
      <c r="T56" s="118">
        <v>0.17552836760277599</v>
      </c>
      <c r="U56" s="44">
        <v>0.42586891683658201</v>
      </c>
      <c r="W56" s="10">
        <f t="shared" si="4"/>
        <v>1.0165424340059752</v>
      </c>
      <c r="X56" s="10">
        <f t="shared" si="5"/>
        <v>0.89891039253621374</v>
      </c>
      <c r="Y56" s="10">
        <f t="shared" si="6"/>
        <v>0.93635136748537862</v>
      </c>
      <c r="Z56" s="10">
        <f t="shared" si="7"/>
        <v>0.93036015763799251</v>
      </c>
      <c r="AB56" s="10">
        <f t="shared" si="8"/>
        <v>1.1233765227567767</v>
      </c>
      <c r="AC56" s="10">
        <f t="shared" si="9"/>
        <v>0.95650539413609537</v>
      </c>
      <c r="AD56" s="10">
        <f t="shared" si="10"/>
        <v>1.0101941932392093</v>
      </c>
      <c r="AE56" s="10">
        <f t="shared" si="11"/>
        <v>1.0119653516627292</v>
      </c>
    </row>
    <row r="57" spans="1:31" s="13" customFormat="1" ht="15.75" x14ac:dyDescent="0.25">
      <c r="A57" s="323" t="s">
        <v>51</v>
      </c>
      <c r="B57" s="36" t="s">
        <v>2</v>
      </c>
      <c r="C57" s="36">
        <v>7</v>
      </c>
      <c r="D57" s="11">
        <v>0.91046743289805976</v>
      </c>
      <c r="E57" s="324">
        <v>1.5009756581381799</v>
      </c>
      <c r="F57" s="257">
        <v>0.44994990539253599</v>
      </c>
      <c r="G57" s="325">
        <v>1.03174028645567</v>
      </c>
      <c r="H57" s="11">
        <v>0.43063747884076098</v>
      </c>
      <c r="I57" s="326">
        <v>0.47239064173217998</v>
      </c>
      <c r="J57" s="149">
        <v>0.29530794454042197</v>
      </c>
      <c r="K57" s="326">
        <v>0.24427579214662801</v>
      </c>
      <c r="L57" s="149">
        <v>0.343208663267909</v>
      </c>
      <c r="N57" s="117">
        <v>1.2037564913407199</v>
      </c>
      <c r="O57" s="11">
        <v>0.54147850072810599</v>
      </c>
      <c r="P57" s="117">
        <v>0.81468650000031695</v>
      </c>
      <c r="Q57" s="11">
        <v>0.51746107887366</v>
      </c>
      <c r="R57" s="116">
        <v>0.37000188938269901</v>
      </c>
      <c r="S57" s="46">
        <v>0.37188071992854999</v>
      </c>
      <c r="T57" s="116">
        <v>0.19126284775028099</v>
      </c>
      <c r="U57" s="46">
        <v>0.375607773775543</v>
      </c>
      <c r="W57" s="10">
        <f t="shared" si="4"/>
        <v>1.0068646397815144</v>
      </c>
      <c r="X57" s="10">
        <f t="shared" si="5"/>
        <v>0.91000853953321592</v>
      </c>
      <c r="Y57" s="10">
        <f t="shared" si="6"/>
        <v>0.93761400365179504</v>
      </c>
      <c r="Z57" s="10">
        <f t="shared" si="7"/>
        <v>0.88141371536874624</v>
      </c>
      <c r="AB57" s="10">
        <f t="shared" si="8"/>
        <v>0.88946650717285392</v>
      </c>
      <c r="AC57" s="10">
        <f t="shared" si="9"/>
        <v>0.79935291303903122</v>
      </c>
      <c r="AD57" s="10">
        <f t="shared" si="10"/>
        <v>0.8224681240038676</v>
      </c>
      <c r="AE57" s="10">
        <f t="shared" si="11"/>
        <v>0.76938763898715301</v>
      </c>
    </row>
    <row r="58" spans="1:31" s="13" customFormat="1" ht="15.75" x14ac:dyDescent="0.25"/>
    <row r="59" spans="1:31" s="13" customFormat="1" ht="15.75" x14ac:dyDescent="0.25"/>
    <row r="60" spans="1:31" s="13" customFormat="1" ht="15.75" x14ac:dyDescent="0.25">
      <c r="A60" s="13" t="s">
        <v>330</v>
      </c>
      <c r="D60" s="752" t="s">
        <v>111</v>
      </c>
      <c r="E60" s="50" t="s">
        <v>327</v>
      </c>
      <c r="F60" s="50"/>
      <c r="G60" s="50"/>
      <c r="H60" s="50"/>
      <c r="I60" s="50"/>
      <c r="J60" s="50"/>
      <c r="K60" s="50"/>
      <c r="L60" s="50"/>
      <c r="N60" s="50" t="s">
        <v>146</v>
      </c>
      <c r="O60" s="50"/>
      <c r="P60" s="50"/>
      <c r="Q60" s="50"/>
      <c r="R60" s="50"/>
      <c r="S60" s="50"/>
      <c r="T60" s="50"/>
      <c r="U60" s="50"/>
    </row>
    <row r="61" spans="1:31" s="13" customFormat="1" ht="15.75" x14ac:dyDescent="0.25">
      <c r="D61" s="753"/>
      <c r="E61" s="34" t="s">
        <v>311</v>
      </c>
      <c r="F61" s="34"/>
      <c r="G61" s="34" t="s">
        <v>5</v>
      </c>
      <c r="H61" s="34"/>
      <c r="I61" s="166" t="s">
        <v>4</v>
      </c>
      <c r="J61" s="166"/>
      <c r="K61" s="166" t="s">
        <v>3</v>
      </c>
      <c r="L61" s="166"/>
      <c r="N61" s="34" t="s">
        <v>311</v>
      </c>
      <c r="O61" s="34"/>
      <c r="P61" s="34" t="s">
        <v>5</v>
      </c>
      <c r="Q61" s="34"/>
      <c r="R61" s="166" t="s">
        <v>4</v>
      </c>
      <c r="S61" s="166"/>
      <c r="T61" s="166" t="s">
        <v>3</v>
      </c>
      <c r="U61" s="166"/>
    </row>
    <row r="62" spans="1:31" s="13" customFormat="1" ht="37.5" x14ac:dyDescent="0.25">
      <c r="C62" s="336" t="s">
        <v>326</v>
      </c>
      <c r="D62" s="113">
        <v>1</v>
      </c>
      <c r="E62" s="48" t="s">
        <v>328</v>
      </c>
      <c r="F62" s="48" t="s">
        <v>329</v>
      </c>
      <c r="G62" s="48" t="s">
        <v>121</v>
      </c>
      <c r="H62" s="48" t="s">
        <v>188</v>
      </c>
      <c r="I62" s="48" t="s">
        <v>120</v>
      </c>
      <c r="J62" s="48" t="s">
        <v>189</v>
      </c>
      <c r="K62" s="48" t="s">
        <v>119</v>
      </c>
      <c r="L62" s="48" t="s">
        <v>190</v>
      </c>
      <c r="N62" s="48" t="s">
        <v>312</v>
      </c>
      <c r="O62" s="48" t="s">
        <v>313</v>
      </c>
      <c r="P62" s="48" t="s">
        <v>118</v>
      </c>
      <c r="Q62" s="48" t="s">
        <v>185</v>
      </c>
      <c r="R62" s="48" t="s">
        <v>117</v>
      </c>
      <c r="S62" s="48" t="s">
        <v>186</v>
      </c>
      <c r="T62" s="48" t="s">
        <v>116</v>
      </c>
      <c r="U62" s="48" t="s">
        <v>187</v>
      </c>
      <c r="W62" s="23" t="s">
        <v>332</v>
      </c>
    </row>
    <row r="63" spans="1:31" s="13" customFormat="1" ht="15.75" x14ac:dyDescent="0.25">
      <c r="D63" s="337" t="s">
        <v>314</v>
      </c>
      <c r="E63" s="115">
        <v>2.1968714444179702</v>
      </c>
      <c r="F63" s="12">
        <v>0.65716776994297699</v>
      </c>
      <c r="G63" s="115">
        <v>1.5496102909712399</v>
      </c>
      <c r="H63" s="12">
        <v>0.616617685600657</v>
      </c>
      <c r="I63" s="114">
        <v>0.75769525805666604</v>
      </c>
      <c r="J63" s="45">
        <v>0.54223279857345097</v>
      </c>
      <c r="K63" s="114">
        <v>0.34777482093723999</v>
      </c>
      <c r="L63" s="45">
        <v>0.52599624700598302</v>
      </c>
      <c r="N63" s="115">
        <v>1.0928934377375299</v>
      </c>
      <c r="O63" s="12">
        <v>0.57832164173848499</v>
      </c>
      <c r="P63" s="115">
        <v>0.77641604820323795</v>
      </c>
      <c r="Q63" s="12">
        <v>0.59078379861112995</v>
      </c>
      <c r="R63" s="114">
        <v>0.37143462416505701</v>
      </c>
      <c r="S63" s="45">
        <v>0.552875404377553</v>
      </c>
      <c r="T63" s="114">
        <v>0.17104208942381899</v>
      </c>
      <c r="U63" s="45">
        <v>0.55842902125521898</v>
      </c>
    </row>
    <row r="64" spans="1:31" s="13" customFormat="1" ht="15.75" x14ac:dyDescent="0.25">
      <c r="D64" s="23" t="s">
        <v>316</v>
      </c>
      <c r="E64" s="119">
        <v>1.30358904580216</v>
      </c>
      <c r="F64" s="10">
        <v>0.49882182131809799</v>
      </c>
      <c r="G64" s="119">
        <v>0.86408237482685102</v>
      </c>
      <c r="H64" s="10">
        <v>0.41412790258774201</v>
      </c>
      <c r="I64" s="118">
        <v>0.46627431482704501</v>
      </c>
      <c r="J64" s="44">
        <v>0.42490748169750397</v>
      </c>
      <c r="K64" s="118">
        <v>0.23934445669274501</v>
      </c>
      <c r="L64" s="44">
        <v>0.47504546802901798</v>
      </c>
      <c r="N64" s="119">
        <v>0.71015661133488905</v>
      </c>
      <c r="O64" s="10">
        <v>0.630612330737233</v>
      </c>
      <c r="P64" s="119">
        <v>0.46347407450146699</v>
      </c>
      <c r="Q64" s="10">
        <v>0.48244656851222401</v>
      </c>
      <c r="R64" s="118">
        <v>0.25244015806022302</v>
      </c>
      <c r="S64" s="44">
        <v>0.55431523124894</v>
      </c>
      <c r="T64" s="118">
        <v>0.12852115527310801</v>
      </c>
      <c r="U64" s="44">
        <v>0.59827290554977097</v>
      </c>
    </row>
    <row r="65" spans="3:31" s="13" customFormat="1" ht="15.75" x14ac:dyDescent="0.25">
      <c r="D65" s="258" t="s">
        <v>318</v>
      </c>
      <c r="E65" s="117">
        <v>1.0433619967821599</v>
      </c>
      <c r="F65" s="11">
        <v>0.66648260728285602</v>
      </c>
      <c r="G65" s="117">
        <v>0.76646597250433002</v>
      </c>
      <c r="H65" s="11">
        <v>0.65928579066175996</v>
      </c>
      <c r="I65" s="116">
        <v>0.37611666281013301</v>
      </c>
      <c r="J65" s="46">
        <v>0.58895572345805602</v>
      </c>
      <c r="K65" s="116">
        <v>0.17255135275236999</v>
      </c>
      <c r="L65" s="46">
        <v>0.59052919114051206</v>
      </c>
      <c r="N65" s="117">
        <v>0.56080433606182201</v>
      </c>
      <c r="O65" s="11">
        <v>0.69834178950793502</v>
      </c>
      <c r="P65" s="117">
        <v>0.41894255279797799</v>
      </c>
      <c r="Q65" s="11">
        <v>0.67883136137521505</v>
      </c>
      <c r="R65" s="116">
        <v>0.20473444606788599</v>
      </c>
      <c r="S65" s="46">
        <v>0.56825002469524699</v>
      </c>
      <c r="T65" s="116">
        <v>9.42100378680127E-2</v>
      </c>
      <c r="U65" s="46">
        <v>0.57841665995706204</v>
      </c>
    </row>
    <row r="66" spans="3:31" s="13" customFormat="1" ht="15.75" x14ac:dyDescent="0.25">
      <c r="D66" s="337" t="s">
        <v>320</v>
      </c>
      <c r="E66" s="115">
        <v>2.6346662035035302</v>
      </c>
      <c r="F66" s="12">
        <v>0.68233968900983499</v>
      </c>
      <c r="G66" s="115">
        <v>1.6797675281118301</v>
      </c>
      <c r="H66" s="12">
        <v>0.54684999932482004</v>
      </c>
      <c r="I66" s="114">
        <v>0.88041331874900797</v>
      </c>
      <c r="J66" s="45">
        <v>0.45086389085191098</v>
      </c>
      <c r="K66" s="114">
        <v>0.44108365601213101</v>
      </c>
      <c r="L66" s="45">
        <v>0.50049794283358795</v>
      </c>
      <c r="N66" s="115">
        <v>1.32138019996012</v>
      </c>
      <c r="O66" s="12">
        <v>0.66714154082785704</v>
      </c>
      <c r="P66" s="115">
        <v>0.83934698727184698</v>
      </c>
      <c r="Q66" s="12">
        <v>0.559706012305627</v>
      </c>
      <c r="R66" s="114">
        <v>0.43957858882119299</v>
      </c>
      <c r="S66" s="45">
        <v>0.50631878816682896</v>
      </c>
      <c r="T66" s="114">
        <v>0.22281373971631499</v>
      </c>
      <c r="U66" s="45">
        <v>0.59080933440724603</v>
      </c>
      <c r="W66" s="10">
        <f>E66/E63</f>
        <v>1.1992810094545825</v>
      </c>
      <c r="X66" s="10">
        <f>G66/G63</f>
        <v>1.0839935291466167</v>
      </c>
      <c r="Y66" s="10">
        <f>I66/I63</f>
        <v>1.1619622920791253</v>
      </c>
      <c r="Z66" s="10">
        <f>K66/K63</f>
        <v>1.2683024458856085</v>
      </c>
      <c r="AB66" s="10">
        <f>N66/N63</f>
        <v>1.2090659110330058</v>
      </c>
      <c r="AC66" s="10">
        <f>P66/P63</f>
        <v>1.0810531147755669</v>
      </c>
      <c r="AD66" s="10">
        <f>R66/R63</f>
        <v>1.1834615305703282</v>
      </c>
      <c r="AE66" s="10">
        <f>T66/T63</f>
        <v>1.3026836871959211</v>
      </c>
    </row>
    <row r="67" spans="3:31" s="13" customFormat="1" ht="15.75" x14ac:dyDescent="0.25">
      <c r="D67" s="23" t="s">
        <v>322</v>
      </c>
      <c r="E67" s="335">
        <v>1.7650610524902699</v>
      </c>
      <c r="F67" s="10">
        <v>0.61891176604253695</v>
      </c>
      <c r="G67" s="119">
        <v>1.0064880366078699</v>
      </c>
      <c r="H67" s="10">
        <v>0.49265177549261102</v>
      </c>
      <c r="I67" s="118">
        <v>0.58864914318626804</v>
      </c>
      <c r="J67" s="44">
        <v>0.47524824601864002</v>
      </c>
      <c r="K67" s="118">
        <v>0.29990587681671799</v>
      </c>
      <c r="L67" s="44">
        <v>0.50518678932094996</v>
      </c>
      <c r="N67" s="335">
        <v>1.0454064404744201</v>
      </c>
      <c r="O67" s="10">
        <v>0.77663312662320005</v>
      </c>
      <c r="P67" s="119">
        <v>0.59188393862648703</v>
      </c>
      <c r="Q67" s="10">
        <v>0.65885962266279796</v>
      </c>
      <c r="R67" s="118">
        <v>0.346208965465583</v>
      </c>
      <c r="S67" s="44">
        <v>0.65668020654204995</v>
      </c>
      <c r="T67" s="118">
        <v>0.177628626247928</v>
      </c>
      <c r="U67" s="44">
        <v>0.68175310609397799</v>
      </c>
      <c r="W67" s="10">
        <f>E67/E64</f>
        <v>1.354001138759297</v>
      </c>
      <c r="X67" s="10">
        <f>G67/G64</f>
        <v>1.1648056550274559</v>
      </c>
      <c r="Y67" s="10">
        <f>I67/I64</f>
        <v>1.2624524329730997</v>
      </c>
      <c r="Z67" s="10">
        <f>K67/K64</f>
        <v>1.2530303854152671</v>
      </c>
      <c r="AB67" s="10">
        <f>N67/N64</f>
        <v>1.472078727126624</v>
      </c>
      <c r="AC67" s="10">
        <f>P67/P64</f>
        <v>1.2770594326406355</v>
      </c>
      <c r="AD67" s="10">
        <f>R67/R64</f>
        <v>1.3714496462285932</v>
      </c>
      <c r="AE67" s="10">
        <f>T67/T64</f>
        <v>1.3820964017205293</v>
      </c>
    </row>
    <row r="68" spans="3:31" s="13" customFormat="1" ht="15.75" x14ac:dyDescent="0.25">
      <c r="D68" s="258" t="s">
        <v>324</v>
      </c>
      <c r="E68" s="334">
        <v>1.51127931535212</v>
      </c>
      <c r="F68" s="11">
        <v>0.51163873691012995</v>
      </c>
      <c r="G68" s="117">
        <v>0.938892471255106</v>
      </c>
      <c r="H68" s="11">
        <v>0.51033773209423605</v>
      </c>
      <c r="I68" s="116">
        <v>0.44292008088215001</v>
      </c>
      <c r="J68" s="46">
        <v>0.471860372864295</v>
      </c>
      <c r="K68" s="116">
        <v>0.21530803353060299</v>
      </c>
      <c r="L68" s="46">
        <v>0.45359089663270902</v>
      </c>
      <c r="N68" s="334">
        <v>1.07070108183948</v>
      </c>
      <c r="O68" s="11">
        <v>0.72001109075949998</v>
      </c>
      <c r="P68" s="117">
        <v>0.65122202698882603</v>
      </c>
      <c r="Q68" s="11">
        <v>0.72994012417291299</v>
      </c>
      <c r="R68" s="116">
        <v>0.304314759838475</v>
      </c>
      <c r="S68" s="46">
        <v>0.69490087077668705</v>
      </c>
      <c r="T68" s="116">
        <v>0.147155270856548</v>
      </c>
      <c r="U68" s="46">
        <v>0.69788971514352205</v>
      </c>
      <c r="W68" s="10">
        <f>E68/E65</f>
        <v>1.4484707321265939</v>
      </c>
      <c r="X68" s="10">
        <f>G68/G65</f>
        <v>1.2249630184982567</v>
      </c>
      <c r="Y68" s="10">
        <f>I68/I65</f>
        <v>1.1776135563176044</v>
      </c>
      <c r="Z68" s="10">
        <f>K68/K65</f>
        <v>1.2477910494251152</v>
      </c>
      <c r="AB68" s="10">
        <f>N68/N65</f>
        <v>1.9092239716945554</v>
      </c>
      <c r="AC68" s="10">
        <f>P68/P65</f>
        <v>1.5544423039376896</v>
      </c>
      <c r="AD68" s="10">
        <f>R68/R65</f>
        <v>1.4863876874806408</v>
      </c>
      <c r="AE68" s="10">
        <f>T68/T65</f>
        <v>1.5619914203060934</v>
      </c>
    </row>
    <row r="69" spans="3:31" s="13" customFormat="1" ht="15.75" x14ac:dyDescent="0.25"/>
    <row r="70" spans="3:31" s="13" customFormat="1" ht="15.75" x14ac:dyDescent="0.25">
      <c r="D70" s="752" t="s">
        <v>111</v>
      </c>
      <c r="E70" s="50" t="s">
        <v>327</v>
      </c>
      <c r="F70" s="50"/>
      <c r="G70" s="50"/>
      <c r="H70" s="50"/>
      <c r="I70" s="50"/>
      <c r="J70" s="50"/>
      <c r="K70" s="50"/>
      <c r="L70" s="50"/>
      <c r="N70" s="50" t="s">
        <v>146</v>
      </c>
      <c r="O70" s="50"/>
      <c r="P70" s="50"/>
      <c r="Q70" s="50"/>
      <c r="R70" s="50"/>
      <c r="S70" s="50"/>
      <c r="T70" s="50"/>
      <c r="U70" s="50"/>
    </row>
    <row r="71" spans="3:31" s="13" customFormat="1" ht="15.75" x14ac:dyDescent="0.25">
      <c r="D71" s="753"/>
      <c r="E71" s="34" t="s">
        <v>311</v>
      </c>
      <c r="F71" s="34"/>
      <c r="G71" s="34" t="s">
        <v>5</v>
      </c>
      <c r="H71" s="34"/>
      <c r="I71" s="166" t="s">
        <v>4</v>
      </c>
      <c r="J71" s="166"/>
      <c r="K71" s="166" t="s">
        <v>3</v>
      </c>
      <c r="L71" s="166"/>
      <c r="N71" s="34" t="s">
        <v>311</v>
      </c>
      <c r="O71" s="34"/>
      <c r="P71" s="34" t="s">
        <v>5</v>
      </c>
      <c r="Q71" s="34"/>
      <c r="R71" s="166" t="s">
        <v>4</v>
      </c>
      <c r="S71" s="166"/>
      <c r="T71" s="166" t="s">
        <v>3</v>
      </c>
      <c r="U71" s="166"/>
    </row>
    <row r="72" spans="3:31" s="13" customFormat="1" ht="37.5" x14ac:dyDescent="0.25">
      <c r="C72" s="336" t="s">
        <v>331</v>
      </c>
      <c r="D72" s="113">
        <v>1</v>
      </c>
      <c r="E72" s="48" t="s">
        <v>328</v>
      </c>
      <c r="F72" s="48" t="s">
        <v>329</v>
      </c>
      <c r="G72" s="48" t="s">
        <v>121</v>
      </c>
      <c r="H72" s="48" t="s">
        <v>188</v>
      </c>
      <c r="I72" s="48" t="s">
        <v>120</v>
      </c>
      <c r="J72" s="48" t="s">
        <v>189</v>
      </c>
      <c r="K72" s="48" t="s">
        <v>119</v>
      </c>
      <c r="L72" s="48" t="s">
        <v>190</v>
      </c>
      <c r="N72" s="48" t="s">
        <v>312</v>
      </c>
      <c r="O72" s="48" t="s">
        <v>313</v>
      </c>
      <c r="P72" s="48" t="s">
        <v>118</v>
      </c>
      <c r="Q72" s="48" t="s">
        <v>185</v>
      </c>
      <c r="R72" s="48" t="s">
        <v>117</v>
      </c>
      <c r="S72" s="48" t="s">
        <v>186</v>
      </c>
      <c r="T72" s="48" t="s">
        <v>116</v>
      </c>
      <c r="U72" s="48" t="s">
        <v>187</v>
      </c>
    </row>
    <row r="73" spans="3:31" s="13" customFormat="1" ht="15.75" x14ac:dyDescent="0.25">
      <c r="D73" s="337" t="s">
        <v>315</v>
      </c>
      <c r="E73" s="115">
        <v>2.21529168696213</v>
      </c>
      <c r="F73" s="12">
        <v>0.68535112683033395</v>
      </c>
      <c r="G73" s="115">
        <v>1.59178630582243</v>
      </c>
      <c r="H73" s="12">
        <v>0.62346769035164495</v>
      </c>
      <c r="I73" s="114">
        <v>0.76422302988188695</v>
      </c>
      <c r="J73" s="45">
        <v>0.54561719453199897</v>
      </c>
      <c r="K73" s="114">
        <v>0.343648464602341</v>
      </c>
      <c r="L73" s="45">
        <v>0.56525909256121798</v>
      </c>
      <c r="N73" s="115">
        <v>1.1295189514558801</v>
      </c>
      <c r="O73" s="12">
        <v>0.647498358970507</v>
      </c>
      <c r="P73" s="115">
        <v>0.829819348422694</v>
      </c>
      <c r="Q73" s="12">
        <v>0.60364033628908098</v>
      </c>
      <c r="R73" s="114">
        <v>0.41100446223730602</v>
      </c>
      <c r="S73" s="45">
        <v>0.52732798209904697</v>
      </c>
      <c r="T73" s="114">
        <v>0.19115966987520899</v>
      </c>
      <c r="U73" s="45">
        <v>0.54175509287581503</v>
      </c>
    </row>
    <row r="74" spans="3:31" s="13" customFormat="1" ht="15.75" x14ac:dyDescent="0.25">
      <c r="D74" s="23" t="s">
        <v>317</v>
      </c>
      <c r="E74" s="119">
        <v>1.2830052315925899</v>
      </c>
      <c r="F74" s="10">
        <v>0.68339427748791504</v>
      </c>
      <c r="G74" s="119">
        <v>0.93869773595299</v>
      </c>
      <c r="H74" s="10">
        <v>0.64901932004844798</v>
      </c>
      <c r="I74" s="118">
        <v>0.49729410045498001</v>
      </c>
      <c r="J74" s="44">
        <v>0.56053673100102597</v>
      </c>
      <c r="K74" s="118">
        <v>0.245562329738962</v>
      </c>
      <c r="L74" s="44">
        <v>0.526747476760418</v>
      </c>
      <c r="N74" s="119">
        <v>0.68336923269236205</v>
      </c>
      <c r="O74" s="10">
        <v>0.68326560578759699</v>
      </c>
      <c r="P74" s="119">
        <v>0.52241018898160696</v>
      </c>
      <c r="Q74" s="10">
        <v>0.67001185927106199</v>
      </c>
      <c r="R74" s="118">
        <v>0.25465569988223602</v>
      </c>
      <c r="S74" s="44">
        <v>0.535363729276227</v>
      </c>
      <c r="T74" s="118">
        <v>0.12603840829496701</v>
      </c>
      <c r="U74" s="44">
        <v>0.51725092839118902</v>
      </c>
    </row>
    <row r="75" spans="3:31" s="13" customFormat="1" ht="15.75" x14ac:dyDescent="0.25">
      <c r="D75" s="258" t="s">
        <v>319</v>
      </c>
      <c r="E75" s="117">
        <v>1.0821094970359799</v>
      </c>
      <c r="F75" s="11">
        <v>0.49105680441295901</v>
      </c>
      <c r="G75" s="117">
        <v>0.78656579322587195</v>
      </c>
      <c r="H75" s="11">
        <v>0.54832476918048301</v>
      </c>
      <c r="I75" s="116">
        <v>0.37693184336354502</v>
      </c>
      <c r="J75" s="46">
        <v>0.47323669004004398</v>
      </c>
      <c r="K75" s="116">
        <v>0.16903275693034001</v>
      </c>
      <c r="L75" s="46">
        <v>0.51693524039045802</v>
      </c>
      <c r="N75" s="117">
        <v>0.58586330128605801</v>
      </c>
      <c r="O75" s="11">
        <v>0.55645041733190304</v>
      </c>
      <c r="P75" s="117">
        <v>0.43365128706471601</v>
      </c>
      <c r="Q75" s="11">
        <v>0.59064501741002895</v>
      </c>
      <c r="R75" s="116">
        <v>0.207945647548539</v>
      </c>
      <c r="S75" s="46">
        <v>0.55450784760842198</v>
      </c>
      <c r="T75" s="116">
        <v>9.3474114040632203E-2</v>
      </c>
      <c r="U75" s="46">
        <v>0.57006631287360099</v>
      </c>
    </row>
    <row r="76" spans="3:31" s="13" customFormat="1" ht="15.75" x14ac:dyDescent="0.25">
      <c r="D76" s="337" t="s">
        <v>321</v>
      </c>
      <c r="E76" s="115">
        <v>2.5776344979955099</v>
      </c>
      <c r="F76" s="12">
        <v>0.66937351466647399</v>
      </c>
      <c r="G76" s="115">
        <v>1.6465822178603999</v>
      </c>
      <c r="H76" s="12">
        <v>0.52994764371139902</v>
      </c>
      <c r="I76" s="114">
        <v>0.89026183529909098</v>
      </c>
      <c r="J76" s="45">
        <v>0.46817618650463499</v>
      </c>
      <c r="K76" s="114">
        <v>0.42752796351730799</v>
      </c>
      <c r="L76" s="45">
        <v>0.47884720754441301</v>
      </c>
      <c r="N76" s="115">
        <v>1.2537034598949099</v>
      </c>
      <c r="O76" s="12">
        <v>0.66777791541765197</v>
      </c>
      <c r="P76" s="115">
        <v>0.80524273198186902</v>
      </c>
      <c r="Q76" s="12">
        <v>0.57102878758815001</v>
      </c>
      <c r="R76" s="114">
        <v>0.422856423100192</v>
      </c>
      <c r="S76" s="45">
        <v>0.59040520984584</v>
      </c>
      <c r="T76" s="114">
        <v>0.20065160708562799</v>
      </c>
      <c r="U76" s="45">
        <v>0.60127590071789405</v>
      </c>
      <c r="W76" s="10">
        <f>E76/E73</f>
        <v>1.1635643798809481</v>
      </c>
      <c r="X76" s="10">
        <f>G76/G73</f>
        <v>1.034424163493264</v>
      </c>
      <c r="Y76" s="10">
        <f>I76/I73</f>
        <v>1.1649241131043693</v>
      </c>
      <c r="Z76" s="10">
        <f>K76/K73</f>
        <v>1.2440851845854446</v>
      </c>
      <c r="AB76" s="10">
        <f>N76/N73</f>
        <v>1.1099445992286927</v>
      </c>
      <c r="AC76" s="10">
        <f>P76/P73</f>
        <v>0.97038317256937934</v>
      </c>
      <c r="AD76" s="10">
        <f>R76/R73</f>
        <v>1.0288365746648338</v>
      </c>
      <c r="AE76" s="10">
        <f>T76/T73</f>
        <v>1.0496544967702415</v>
      </c>
    </row>
    <row r="77" spans="3:31" s="13" customFormat="1" ht="15.75" x14ac:dyDescent="0.25">
      <c r="D77" s="23" t="s">
        <v>323</v>
      </c>
      <c r="E77" s="335">
        <v>1.5214746534932999</v>
      </c>
      <c r="F77" s="10">
        <v>0.51311439258346203</v>
      </c>
      <c r="G77" s="119">
        <v>1.10948417930482</v>
      </c>
      <c r="H77" s="10">
        <v>0.36606608192609702</v>
      </c>
      <c r="I77" s="118">
        <v>0.60899907105027595</v>
      </c>
      <c r="J77" s="44">
        <v>0.321162884149512</v>
      </c>
      <c r="K77" s="118">
        <v>0.30907760308728999</v>
      </c>
      <c r="L77" s="44">
        <v>0.430925024680341</v>
      </c>
      <c r="N77" s="335">
        <v>0.77340568281718003</v>
      </c>
      <c r="O77" s="10">
        <v>0.66887535885553595</v>
      </c>
      <c r="P77" s="119">
        <v>0.54690470584339801</v>
      </c>
      <c r="Q77" s="10">
        <v>0.50479763839068104</v>
      </c>
      <c r="R77" s="118">
        <v>0.29681143430085599</v>
      </c>
      <c r="S77" s="44">
        <v>0.44435203785921901</v>
      </c>
      <c r="T77" s="118">
        <v>0.151848588756227</v>
      </c>
      <c r="U77" s="44">
        <v>0.51139712645469604</v>
      </c>
      <c r="W77" s="10">
        <f>E77/E74</f>
        <v>1.1858678484145373</v>
      </c>
      <c r="X77" s="10">
        <f>G77/G74</f>
        <v>1.1819397627271822</v>
      </c>
      <c r="Y77" s="10">
        <f>I77/I74</f>
        <v>1.2246255696439909</v>
      </c>
      <c r="Z77" s="10">
        <f>K77/K74</f>
        <v>1.2586523487370644</v>
      </c>
      <c r="AB77" s="10">
        <f>N77/N74</f>
        <v>1.131753736951383</v>
      </c>
      <c r="AC77" s="10">
        <f>P77/P74</f>
        <v>1.0468875174688705</v>
      </c>
      <c r="AD77" s="10">
        <f>R77/R74</f>
        <v>1.1655401172568085</v>
      </c>
      <c r="AE77" s="10">
        <f>T77/T74</f>
        <v>1.2047802793641804</v>
      </c>
    </row>
    <row r="78" spans="3:31" s="13" customFormat="1" ht="15.75" x14ac:dyDescent="0.25">
      <c r="D78" s="258" t="s">
        <v>325</v>
      </c>
      <c r="E78" s="334">
        <v>1.4256529807692799</v>
      </c>
      <c r="F78" s="11">
        <v>0.51210493853235095</v>
      </c>
      <c r="G78" s="117">
        <v>1.01462690656944</v>
      </c>
      <c r="H78" s="11">
        <v>0.46706148789380397</v>
      </c>
      <c r="I78" s="116">
        <v>0.514895728855848</v>
      </c>
      <c r="J78" s="46">
        <v>0.38280153874233502</v>
      </c>
      <c r="K78" s="116">
        <v>0.25246824354549502</v>
      </c>
      <c r="L78" s="46">
        <v>0.40776716466895402</v>
      </c>
      <c r="N78" s="334">
        <v>0.91416438200789596</v>
      </c>
      <c r="O78" s="11">
        <v>0.72722403485926401</v>
      </c>
      <c r="P78" s="117">
        <v>0.64987598017272497</v>
      </c>
      <c r="Q78" s="11">
        <v>0.69878891192861103</v>
      </c>
      <c r="R78" s="116">
        <v>0.32453531264548302</v>
      </c>
      <c r="S78" s="46">
        <v>0.65993405331298105</v>
      </c>
      <c r="T78" s="116">
        <v>0.15863773335265199</v>
      </c>
      <c r="U78" s="46">
        <v>0.63358084190061603</v>
      </c>
      <c r="W78" s="10">
        <f>E78/E75</f>
        <v>1.3174757126467371</v>
      </c>
      <c r="X78" s="10">
        <f>G78/G75</f>
        <v>1.289945374319218</v>
      </c>
      <c r="Y78" s="10">
        <f>I78/I75</f>
        <v>1.3660181221654943</v>
      </c>
      <c r="Z78" s="10">
        <f>K78/K75</f>
        <v>1.4936054296833103</v>
      </c>
      <c r="AB78" s="10">
        <f>N78/N75</f>
        <v>1.5603714723232667</v>
      </c>
      <c r="AC78" s="10">
        <f>P78/P75</f>
        <v>1.4986142081384868</v>
      </c>
      <c r="AD78" s="10">
        <f>R78/R75</f>
        <v>1.5606737456225406</v>
      </c>
      <c r="AE78" s="10">
        <f>T78/T75</f>
        <v>1.6971301090234872</v>
      </c>
    </row>
    <row r="79" spans="3:31" s="13" customFormat="1" ht="15.75" x14ac:dyDescent="0.25"/>
    <row r="80" spans="3:31" s="13" customFormat="1" ht="15.75" x14ac:dyDescent="0.25"/>
    <row r="81" spans="5:20" s="53" customFormat="1" ht="15.75" x14ac:dyDescent="0.25">
      <c r="E81" s="338">
        <f t="shared" ref="E81:E86" si="12">ABS((E73-E63)/E73)</f>
        <v>8.3150416049363515E-3</v>
      </c>
      <c r="G81" s="338">
        <f t="shared" ref="G81:G86" si="13">ABS((G73-G63)/G73)</f>
        <v>2.6496028202352778E-2</v>
      </c>
      <c r="I81" s="338">
        <f t="shared" ref="I81:I86" si="14">ABS((I73-I63)/I73)</f>
        <v>8.5417104300426466E-3</v>
      </c>
      <c r="K81" s="338">
        <f t="shared" ref="K81:K86" si="15">ABS((K73-K63)/K73)</f>
        <v>1.2007492423031433E-2</v>
      </c>
      <c r="N81" s="338">
        <f t="shared" ref="N81:N86" si="16">ABS((N73-N63)/N73)</f>
        <v>3.242576290653839E-2</v>
      </c>
      <c r="P81" s="338">
        <f t="shared" ref="P81:P86" si="17">ABS((P73-P63)/P73)</f>
        <v>6.435533266483133E-2</v>
      </c>
      <c r="R81" s="338">
        <f t="shared" ref="R81:R86" si="18">ABS((R73-R63)/R73)</f>
        <v>9.6275933007759287E-2</v>
      </c>
      <c r="T81" s="338">
        <f t="shared" ref="T81:T86" si="19">ABS((T73-T63)/T73)</f>
        <v>0.1052396693534937</v>
      </c>
    </row>
    <row r="82" spans="5:20" s="13" customFormat="1" ht="15.75" x14ac:dyDescent="0.25">
      <c r="E82" s="338">
        <f t="shared" si="12"/>
        <v>1.6043437472206865E-2</v>
      </c>
      <c r="G82" s="338">
        <f t="shared" si="13"/>
        <v>7.9488165645129158E-2</v>
      </c>
      <c r="I82" s="338">
        <f t="shared" si="14"/>
        <v>6.2377143826067211E-2</v>
      </c>
      <c r="K82" s="338">
        <f t="shared" si="15"/>
        <v>2.5320956405759463E-2</v>
      </c>
      <c r="N82" s="338">
        <f t="shared" si="16"/>
        <v>3.9198982571967939E-2</v>
      </c>
      <c r="P82" s="338">
        <f t="shared" si="17"/>
        <v>0.11281578292917827</v>
      </c>
      <c r="R82" s="338">
        <f t="shared" si="18"/>
        <v>8.7001462093232729E-3</v>
      </c>
      <c r="T82" s="338">
        <f t="shared" si="19"/>
        <v>1.9698336497003623E-2</v>
      </c>
    </row>
    <row r="83" spans="5:20" s="13" customFormat="1" ht="15.75" x14ac:dyDescent="0.25">
      <c r="E83" s="338">
        <f t="shared" si="12"/>
        <v>3.580737472497357E-2</v>
      </c>
      <c r="G83" s="338">
        <f t="shared" si="13"/>
        <v>2.5553896310578587E-2</v>
      </c>
      <c r="I83" s="338">
        <f t="shared" si="14"/>
        <v>2.1626736179616965E-3</v>
      </c>
      <c r="K83" s="338">
        <f t="shared" si="15"/>
        <v>2.0816058886621792E-2</v>
      </c>
      <c r="N83" s="338">
        <f t="shared" si="16"/>
        <v>4.2772717064249989E-2</v>
      </c>
      <c r="P83" s="338">
        <f t="shared" si="17"/>
        <v>3.3918345697295169E-2</v>
      </c>
      <c r="R83" s="338">
        <f t="shared" si="18"/>
        <v>1.5442503935570234E-2</v>
      </c>
      <c r="T83" s="338">
        <f t="shared" si="19"/>
        <v>7.8730227607249487E-3</v>
      </c>
    </row>
    <row r="84" spans="5:20" s="13" customFormat="1" ht="15.75" x14ac:dyDescent="0.25">
      <c r="E84" s="338">
        <f t="shared" si="12"/>
        <v>2.2125598315964046E-2</v>
      </c>
      <c r="G84" s="338">
        <f t="shared" si="13"/>
        <v>2.0154056014616593E-2</v>
      </c>
      <c r="I84" s="338">
        <f t="shared" si="14"/>
        <v>1.1062494380402499E-2</v>
      </c>
      <c r="K84" s="338">
        <f t="shared" si="15"/>
        <v>3.1707148190493126E-2</v>
      </c>
      <c r="N84" s="338">
        <f t="shared" si="16"/>
        <v>5.3981457521767535E-2</v>
      </c>
      <c r="P84" s="338">
        <f t="shared" si="17"/>
        <v>4.2352763875360078E-2</v>
      </c>
      <c r="R84" s="338">
        <f t="shared" si="18"/>
        <v>3.9545729489933339E-2</v>
      </c>
      <c r="T84" s="338">
        <f t="shared" si="19"/>
        <v>0.11045081049976004</v>
      </c>
    </row>
    <row r="85" spans="5:20" s="13" customFormat="1" ht="15.75" x14ac:dyDescent="0.25">
      <c r="E85" s="338">
        <f t="shared" si="12"/>
        <v>0.16009888724580232</v>
      </c>
      <c r="G85" s="338">
        <f t="shared" si="13"/>
        <v>9.2832457296944407E-2</v>
      </c>
      <c r="I85" s="338">
        <f t="shared" si="14"/>
        <v>3.3415367660434285E-2</v>
      </c>
      <c r="K85" s="338">
        <f t="shared" si="15"/>
        <v>2.9674509504921044E-2</v>
      </c>
      <c r="N85" s="338">
        <f t="shared" si="16"/>
        <v>0.35169221496596687</v>
      </c>
      <c r="P85" s="338">
        <f t="shared" si="17"/>
        <v>8.2243272552802782E-2</v>
      </c>
      <c r="R85" s="338">
        <f t="shared" si="18"/>
        <v>0.16642731868158539</v>
      </c>
      <c r="T85" s="338">
        <f t="shared" si="19"/>
        <v>0.16977462683625899</v>
      </c>
    </row>
    <row r="86" spans="5:20" s="13" customFormat="1" ht="15.75" x14ac:dyDescent="0.25">
      <c r="E86" s="338">
        <f t="shared" si="12"/>
        <v>6.0061133906959781E-2</v>
      </c>
      <c r="G86" s="338">
        <f t="shared" si="13"/>
        <v>7.4642644329628569E-2</v>
      </c>
      <c r="I86" s="338">
        <f t="shared" si="14"/>
        <v>0.13978684215080864</v>
      </c>
      <c r="K86" s="338">
        <f t="shared" si="15"/>
        <v>0.14718766009157791</v>
      </c>
      <c r="N86" s="338">
        <f t="shared" si="16"/>
        <v>0.17123473952000021</v>
      </c>
      <c r="P86" s="338">
        <f t="shared" si="17"/>
        <v>2.0712364469037785E-3</v>
      </c>
      <c r="R86" s="338">
        <f t="shared" si="18"/>
        <v>6.2306171375244503E-2</v>
      </c>
      <c r="T86" s="338">
        <f t="shared" si="19"/>
        <v>7.2381660109694421E-2</v>
      </c>
    </row>
    <row r="87" spans="5:20" s="333" customFormat="1" ht="15.75" x14ac:dyDescent="0.25">
      <c r="E87" s="338"/>
    </row>
    <row r="88" spans="5:20" s="13" customFormat="1" ht="15.75" x14ac:dyDescent="0.25"/>
  </sheetData>
  <mergeCells count="4">
    <mergeCell ref="K5:K6"/>
    <mergeCell ref="A5:A6"/>
    <mergeCell ref="D60:D61"/>
    <mergeCell ref="D70:D71"/>
  </mergeCells>
  <conditionalFormatting sqref="E81:T86">
    <cfRule type="cellIs" dxfId="1" priority="2" operator="greaterThan">
      <formula>0.1</formula>
    </cfRule>
  </conditionalFormatting>
  <conditionalFormatting sqref="W66:Z68 AB66:AE68 W76:Z78 AB76:AE78">
    <cfRule type="cellIs" dxfId="0" priority="1" operator="lessThan">
      <formula>1</formula>
    </cfRule>
  </conditionalFormatting>
  <printOptions horizontalCentered="1"/>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6">
    <tabColor rgb="FF00FF00"/>
  </sheetPr>
  <dimension ref="A2:AK41"/>
  <sheetViews>
    <sheetView zoomScaleNormal="100" workbookViewId="0">
      <selection activeCell="N16" sqref="N16"/>
    </sheetView>
  </sheetViews>
  <sheetFormatPr defaultRowHeight="15" x14ac:dyDescent="0.25"/>
  <cols>
    <col min="1" max="1" width="7.5703125" style="9" customWidth="1"/>
    <col min="2" max="3" width="9.140625" style="9"/>
    <col min="4" max="10" width="10.85546875" style="9" customWidth="1"/>
    <col min="11" max="13" width="13.85546875" style="9" customWidth="1"/>
    <col min="14" max="14" width="9.140625" style="9"/>
    <col min="15" max="15" width="13.28515625" style="9" customWidth="1"/>
    <col min="16" max="16" width="12.28515625" style="9" customWidth="1"/>
    <col min="17" max="17" width="15.140625" style="9" customWidth="1"/>
    <col min="18" max="18" width="9.140625" style="9"/>
    <col min="19" max="19" width="13.28515625" style="9" customWidth="1"/>
    <col min="20" max="20" width="9.140625" style="9"/>
    <col min="21" max="21" width="7.5703125" style="9" customWidth="1"/>
    <col min="22" max="23" width="9.140625" style="9"/>
    <col min="24" max="25" width="10.85546875" style="9" customWidth="1"/>
    <col min="26" max="26" width="14" style="9" customWidth="1"/>
    <col min="27" max="28" width="10.85546875" style="9" customWidth="1"/>
    <col min="29" max="31" width="13.85546875" style="9" customWidth="1"/>
    <col min="32" max="32" width="9.140625" style="9"/>
    <col min="33" max="33" width="13.28515625" style="9" customWidth="1"/>
    <col min="34" max="34" width="9.140625" style="9"/>
    <col min="35" max="35" width="13.28515625" style="9" customWidth="1"/>
    <col min="36" max="36" width="9.140625" style="9"/>
    <col min="37" max="37" width="13.28515625" style="9" customWidth="1"/>
    <col min="38" max="16384" width="9.140625" style="9"/>
  </cols>
  <sheetData>
    <row r="2" spans="1:33" ht="15.75" x14ac:dyDescent="0.25">
      <c r="A2" s="47" t="s">
        <v>287</v>
      </c>
      <c r="B2" s="13"/>
      <c r="C2" s="13"/>
      <c r="D2" s="13"/>
      <c r="E2" s="13"/>
      <c r="F2" s="13"/>
      <c r="G2" s="13"/>
      <c r="H2" s="13"/>
      <c r="I2" s="13"/>
      <c r="J2" s="13"/>
      <c r="K2" s="13"/>
      <c r="L2" s="13"/>
      <c r="M2" s="13"/>
      <c r="W2"/>
      <c r="X2"/>
      <c r="Y2"/>
      <c r="Z2"/>
      <c r="AA2"/>
      <c r="AB2"/>
      <c r="AC2"/>
      <c r="AD2"/>
      <c r="AE2"/>
      <c r="AF2"/>
      <c r="AG2"/>
    </row>
    <row r="3" spans="1:33" ht="31.5" customHeight="1" x14ac:dyDescent="0.25">
      <c r="A3" s="721" t="s">
        <v>636</v>
      </c>
      <c r="B3" s="721"/>
      <c r="C3" s="721"/>
      <c r="D3" s="721"/>
      <c r="E3" s="721"/>
      <c r="F3" s="721"/>
      <c r="G3" s="721"/>
      <c r="H3" s="721"/>
      <c r="I3" s="721"/>
      <c r="J3" s="721"/>
      <c r="K3" s="721"/>
      <c r="L3" s="721"/>
      <c r="M3" s="721"/>
      <c r="N3" s="5"/>
      <c r="O3" s="5"/>
      <c r="P3" s="5"/>
      <c r="Q3" s="5"/>
      <c r="R3" s="5"/>
      <c r="S3" s="5"/>
      <c r="W3"/>
      <c r="X3"/>
      <c r="Y3"/>
      <c r="Z3"/>
      <c r="AA3"/>
      <c r="AB3"/>
      <c r="AC3"/>
      <c r="AD3"/>
      <c r="AE3"/>
      <c r="AF3"/>
      <c r="AG3"/>
    </row>
    <row r="4" spans="1:33" ht="15.75" x14ac:dyDescent="0.25">
      <c r="A4" s="13"/>
      <c r="B4" s="13"/>
      <c r="C4" s="13"/>
      <c r="D4" s="13"/>
      <c r="E4" s="13"/>
      <c r="F4" s="13"/>
      <c r="G4" s="13"/>
      <c r="H4" s="13"/>
      <c r="I4" s="13"/>
      <c r="J4" s="13"/>
      <c r="K4" s="13"/>
      <c r="N4"/>
      <c r="O4"/>
      <c r="P4"/>
      <c r="Q4"/>
      <c r="R4"/>
      <c r="S4"/>
      <c r="T4"/>
      <c r="U4"/>
      <c r="W4"/>
      <c r="X4"/>
      <c r="Y4"/>
      <c r="Z4"/>
      <c r="AA4"/>
      <c r="AB4"/>
      <c r="AC4"/>
      <c r="AD4"/>
      <c r="AE4"/>
      <c r="AF4"/>
      <c r="AG4"/>
    </row>
    <row r="5" spans="1:33" ht="15.75" x14ac:dyDescent="0.25">
      <c r="A5" s="13"/>
      <c r="B5" s="13"/>
      <c r="C5" s="13"/>
      <c r="D5" s="718" t="s">
        <v>390</v>
      </c>
      <c r="E5" s="719"/>
      <c r="F5" s="719" t="s">
        <v>391</v>
      </c>
      <c r="G5" s="719"/>
      <c r="H5" s="719" t="s">
        <v>357</v>
      </c>
      <c r="I5" s="719"/>
      <c r="J5" s="719" t="s">
        <v>356</v>
      </c>
      <c r="K5" s="720"/>
      <c r="N5"/>
      <c r="O5"/>
      <c r="P5"/>
      <c r="Q5"/>
      <c r="R5"/>
      <c r="S5"/>
      <c r="T5"/>
      <c r="U5"/>
      <c r="W5"/>
      <c r="X5"/>
      <c r="Y5"/>
      <c r="Z5"/>
      <c r="AA5"/>
      <c r="AB5"/>
      <c r="AC5"/>
      <c r="AD5"/>
      <c r="AE5"/>
      <c r="AF5"/>
      <c r="AG5"/>
    </row>
    <row r="6" spans="1:33" ht="37.5" x14ac:dyDescent="0.25">
      <c r="A6" s="1" t="s">
        <v>111</v>
      </c>
      <c r="B6" s="7" t="s">
        <v>102</v>
      </c>
      <c r="C6" s="246" t="s">
        <v>85</v>
      </c>
      <c r="D6" s="128" t="s">
        <v>141</v>
      </c>
      <c r="E6" s="41" t="s">
        <v>138</v>
      </c>
      <c r="F6" s="41" t="s">
        <v>141</v>
      </c>
      <c r="G6" s="41" t="s">
        <v>138</v>
      </c>
      <c r="H6" s="41" t="s">
        <v>141</v>
      </c>
      <c r="I6" s="41" t="s">
        <v>138</v>
      </c>
      <c r="J6" s="41" t="s">
        <v>141</v>
      </c>
      <c r="K6" s="127" t="s">
        <v>138</v>
      </c>
      <c r="L6" s="8" t="s">
        <v>147</v>
      </c>
      <c r="N6"/>
      <c r="O6"/>
      <c r="P6"/>
      <c r="Q6"/>
      <c r="R6"/>
      <c r="S6"/>
      <c r="T6"/>
      <c r="U6"/>
      <c r="V6" s="13"/>
      <c r="W6"/>
      <c r="X6"/>
      <c r="Y6"/>
      <c r="Z6"/>
      <c r="AA6"/>
      <c r="AB6"/>
      <c r="AC6"/>
      <c r="AD6"/>
      <c r="AE6"/>
      <c r="AF6"/>
      <c r="AG6"/>
    </row>
    <row r="7" spans="1:33" ht="21" customHeight="1" x14ac:dyDescent="0.25">
      <c r="A7" s="15">
        <v>2211</v>
      </c>
      <c r="B7" s="15" t="s">
        <v>1</v>
      </c>
      <c r="C7" s="134">
        <v>2</v>
      </c>
      <c r="D7" s="129">
        <v>2</v>
      </c>
      <c r="E7" s="44">
        <v>0.230794592546015</v>
      </c>
      <c r="F7" s="43">
        <v>1.66</v>
      </c>
      <c r="G7" s="44">
        <v>0.23673173867106001</v>
      </c>
      <c r="H7" s="43">
        <v>1.28</v>
      </c>
      <c r="I7" s="44">
        <v>0.22940126446581799</v>
      </c>
      <c r="J7" s="43">
        <v>1.02</v>
      </c>
      <c r="K7" s="135">
        <v>0.149966772222726</v>
      </c>
      <c r="L7" s="148">
        <f t="shared" ref="L7:L12" si="0">GEOMEAN(D7, F7, H7,J7)</f>
        <v>1.4429027338911238</v>
      </c>
      <c r="N7" s="596">
        <f>MIN(K7:K12, I7:I12, G7:G12, E7:E12)</f>
        <v>0.131278973074095</v>
      </c>
      <c r="O7" s="596"/>
      <c r="P7" s="596"/>
      <c r="Q7" s="596"/>
      <c r="R7" s="596"/>
      <c r="S7" s="596"/>
      <c r="T7" s="596"/>
      <c r="U7" s="596"/>
      <c r="V7" s="596"/>
      <c r="W7"/>
      <c r="X7"/>
      <c r="Y7"/>
      <c r="Z7"/>
      <c r="AA7"/>
      <c r="AB7"/>
      <c r="AC7"/>
      <c r="AD7"/>
      <c r="AE7"/>
      <c r="AF7"/>
      <c r="AG7"/>
    </row>
    <row r="8" spans="1:33" ht="21" customHeight="1" x14ac:dyDescent="0.25">
      <c r="A8" s="15">
        <v>2213</v>
      </c>
      <c r="B8" s="15" t="s">
        <v>1</v>
      </c>
      <c r="C8" s="134">
        <v>4</v>
      </c>
      <c r="D8" s="129">
        <v>1.62</v>
      </c>
      <c r="E8" s="44">
        <v>0.31263662782107499</v>
      </c>
      <c r="F8" s="43">
        <v>1.37</v>
      </c>
      <c r="G8" s="44">
        <v>0.27075808413659003</v>
      </c>
      <c r="H8" s="43">
        <v>1.59</v>
      </c>
      <c r="I8" s="44">
        <v>0.15873225270426999</v>
      </c>
      <c r="J8" s="43">
        <v>1.66</v>
      </c>
      <c r="K8" s="135">
        <v>0.131278973074095</v>
      </c>
      <c r="L8" s="136">
        <f t="shared" si="0"/>
        <v>1.555733481840563</v>
      </c>
      <c r="N8" s="596">
        <f>MAX(K7:K12, I7:I12, G7:G12, E7:E12)</f>
        <v>0.42540645064135202</v>
      </c>
      <c r="O8" s="596"/>
      <c r="P8" s="596"/>
      <c r="Q8" s="596"/>
      <c r="R8" s="596"/>
      <c r="S8" s="596"/>
      <c r="T8" s="596"/>
      <c r="U8" s="596"/>
      <c r="V8" s="596"/>
      <c r="W8"/>
      <c r="X8"/>
      <c r="Y8"/>
      <c r="Z8"/>
      <c r="AA8"/>
      <c r="AB8"/>
      <c r="AC8"/>
      <c r="AD8"/>
      <c r="AE8"/>
      <c r="AF8"/>
      <c r="AG8"/>
    </row>
    <row r="9" spans="1:33" ht="21" customHeight="1" x14ac:dyDescent="0.25">
      <c r="A9" s="15">
        <v>2215</v>
      </c>
      <c r="B9" s="15" t="s">
        <v>1</v>
      </c>
      <c r="C9" s="134">
        <v>7</v>
      </c>
      <c r="D9" s="129">
        <v>1.93</v>
      </c>
      <c r="E9" s="44">
        <v>0.38017116347367602</v>
      </c>
      <c r="F9" s="43">
        <v>1.93</v>
      </c>
      <c r="G9" s="44">
        <v>0.42540645064135202</v>
      </c>
      <c r="H9" s="43">
        <v>1.65</v>
      </c>
      <c r="I9" s="44">
        <v>0.35022627410887902</v>
      </c>
      <c r="J9" s="43">
        <v>2</v>
      </c>
      <c r="K9" s="135">
        <v>0.33586904533865097</v>
      </c>
      <c r="L9" s="136">
        <f t="shared" si="0"/>
        <v>1.872436677178936</v>
      </c>
      <c r="N9" s="596"/>
      <c r="O9" s="596"/>
      <c r="P9" s="596"/>
      <c r="Q9" s="596"/>
      <c r="R9" s="596"/>
      <c r="S9" s="596"/>
      <c r="T9" s="596"/>
      <c r="U9" s="596"/>
      <c r="V9" s="596"/>
      <c r="W9"/>
      <c r="X9"/>
      <c r="Y9"/>
      <c r="Z9"/>
      <c r="AA9"/>
      <c r="AB9"/>
      <c r="AC9"/>
      <c r="AD9"/>
      <c r="AE9"/>
      <c r="AF9"/>
      <c r="AG9"/>
    </row>
    <row r="10" spans="1:33" ht="21" customHeight="1" x14ac:dyDescent="0.25">
      <c r="A10" s="137">
        <v>2219</v>
      </c>
      <c r="B10" s="137" t="s">
        <v>2</v>
      </c>
      <c r="C10" s="244">
        <v>2</v>
      </c>
      <c r="D10" s="130">
        <v>1.47</v>
      </c>
      <c r="E10" s="139">
        <v>0.192050228004913</v>
      </c>
      <c r="F10" s="131">
        <v>1.46</v>
      </c>
      <c r="G10" s="139">
        <v>0.26133434476228401</v>
      </c>
      <c r="H10" s="131">
        <v>0.83</v>
      </c>
      <c r="I10" s="139">
        <v>0.25418231203022301</v>
      </c>
      <c r="J10" s="131">
        <v>0.99</v>
      </c>
      <c r="K10" s="138">
        <v>0.13519968183999101</v>
      </c>
      <c r="L10" s="559">
        <f t="shared" si="0"/>
        <v>1.1523804167282006</v>
      </c>
      <c r="N10" s="596"/>
      <c r="O10" s="596"/>
      <c r="P10" s="596"/>
      <c r="Q10" s="596"/>
      <c r="R10" s="596"/>
      <c r="S10" s="596"/>
      <c r="T10" s="596"/>
      <c r="U10" s="596"/>
      <c r="V10" s="596"/>
      <c r="W10"/>
      <c r="X10"/>
      <c r="Y10"/>
      <c r="Z10"/>
      <c r="AA10"/>
      <c r="AB10"/>
      <c r="AC10"/>
      <c r="AD10"/>
      <c r="AE10"/>
      <c r="AF10"/>
      <c r="AG10"/>
    </row>
    <row r="11" spans="1:33" ht="21" customHeight="1" x14ac:dyDescent="0.25">
      <c r="A11" s="137">
        <v>2221</v>
      </c>
      <c r="B11" s="137" t="s">
        <v>2</v>
      </c>
      <c r="C11" s="244">
        <v>4</v>
      </c>
      <c r="D11" s="130">
        <v>1.74</v>
      </c>
      <c r="E11" s="139">
        <v>0.25356120536854498</v>
      </c>
      <c r="F11" s="131">
        <v>1.49</v>
      </c>
      <c r="G11" s="139">
        <v>0.22562832709682901</v>
      </c>
      <c r="H11" s="131">
        <v>1.49</v>
      </c>
      <c r="I11" s="139">
        <v>0.27847149014790901</v>
      </c>
      <c r="J11" s="131">
        <v>1.56</v>
      </c>
      <c r="K11" s="138">
        <v>0.15551897234300699</v>
      </c>
      <c r="L11" s="559">
        <f t="shared" si="0"/>
        <v>1.5667929036515902</v>
      </c>
      <c r="N11" s="596"/>
      <c r="O11" s="596"/>
      <c r="P11" s="596"/>
      <c r="Q11" s="596"/>
      <c r="R11" s="596"/>
      <c r="S11" s="596"/>
      <c r="T11" s="596"/>
      <c r="U11" s="596"/>
      <c r="V11" s="596"/>
      <c r="W11"/>
      <c r="X11"/>
      <c r="Y11"/>
      <c r="Z11"/>
      <c r="AA11"/>
      <c r="AB11"/>
      <c r="AC11"/>
      <c r="AD11"/>
      <c r="AE11"/>
      <c r="AF11"/>
      <c r="AG11"/>
    </row>
    <row r="12" spans="1:33" ht="21" customHeight="1" x14ac:dyDescent="0.25">
      <c r="A12" s="140">
        <v>2223</v>
      </c>
      <c r="B12" s="140" t="s">
        <v>2</v>
      </c>
      <c r="C12" s="245">
        <v>7</v>
      </c>
      <c r="D12" s="132">
        <v>2</v>
      </c>
      <c r="E12" s="142">
        <v>0.37278852121281902</v>
      </c>
      <c r="F12" s="133">
        <v>1.81</v>
      </c>
      <c r="G12" s="142">
        <v>0.35826625619972002</v>
      </c>
      <c r="H12" s="133">
        <v>0.99</v>
      </c>
      <c r="I12" s="142">
        <v>0.38469754109696203</v>
      </c>
      <c r="J12" s="133">
        <v>2</v>
      </c>
      <c r="K12" s="141">
        <v>0.25062238672395398</v>
      </c>
      <c r="L12" s="560">
        <f t="shared" si="0"/>
        <v>1.636226568076308</v>
      </c>
      <c r="N12" s="596"/>
      <c r="O12" s="596"/>
      <c r="P12" s="596"/>
      <c r="Q12" s="596"/>
      <c r="R12" s="596"/>
      <c r="S12" s="596"/>
      <c r="T12" s="596"/>
      <c r="U12" s="596"/>
      <c r="V12" s="596"/>
      <c r="W12"/>
      <c r="X12"/>
      <c r="Y12"/>
      <c r="Z12"/>
      <c r="AA12"/>
      <c r="AB12"/>
      <c r="AC12"/>
      <c r="AD12"/>
      <c r="AE12"/>
      <c r="AF12"/>
      <c r="AG12"/>
    </row>
    <row r="13" spans="1:33" ht="21" customHeight="1" x14ac:dyDescent="0.25">
      <c r="A13" s="50"/>
      <c r="B13" s="50"/>
      <c r="C13" s="146" t="s">
        <v>137</v>
      </c>
      <c r="D13" s="145"/>
      <c r="E13" s="144">
        <f>GEOMEAN(E7:E12)</f>
        <v>0.28153613062213401</v>
      </c>
      <c r="F13" s="145"/>
      <c r="G13" s="144">
        <f>GEOMEAN(G7:G12)</f>
        <v>0.28845163268031532</v>
      </c>
      <c r="H13" s="144"/>
      <c r="I13" s="144">
        <f>GEOMEAN(I7:I12)</f>
        <v>0.26512002436954674</v>
      </c>
      <c r="J13" s="145"/>
      <c r="K13" s="144">
        <f>GEOMEAN(K7:K12)</f>
        <v>0.18072706010136316</v>
      </c>
      <c r="N13"/>
      <c r="W13"/>
      <c r="X13"/>
      <c r="Y13"/>
      <c r="Z13"/>
      <c r="AA13"/>
      <c r="AB13"/>
      <c r="AC13"/>
      <c r="AD13"/>
      <c r="AE13"/>
      <c r="AF13"/>
      <c r="AG13"/>
    </row>
    <row r="14" spans="1:33" ht="20.100000000000001" customHeight="1" x14ac:dyDescent="0.35">
      <c r="A14" s="13" t="s">
        <v>142</v>
      </c>
      <c r="G14" s="13"/>
      <c r="H14" s="13"/>
      <c r="I14" s="13"/>
      <c r="J14" s="13"/>
      <c r="K14" s="13"/>
      <c r="L14" s="13"/>
      <c r="N14"/>
      <c r="W14"/>
      <c r="X14"/>
      <c r="Y14"/>
      <c r="Z14"/>
      <c r="AA14"/>
      <c r="AB14"/>
      <c r="AC14"/>
      <c r="AD14"/>
      <c r="AE14"/>
      <c r="AF14"/>
      <c r="AG14"/>
    </row>
    <row r="15" spans="1:33" ht="20.100000000000001" customHeight="1" x14ac:dyDescent="0.25">
      <c r="A15" s="147" t="s">
        <v>199</v>
      </c>
      <c r="G15" s="13"/>
      <c r="H15" s="13"/>
      <c r="I15" s="13"/>
      <c r="J15" s="13"/>
      <c r="K15" s="13"/>
      <c r="L15" s="13"/>
      <c r="W15"/>
      <c r="X15"/>
      <c r="Y15"/>
      <c r="Z15"/>
      <c r="AA15"/>
      <c r="AB15"/>
      <c r="AC15"/>
      <c r="AD15"/>
      <c r="AE15"/>
      <c r="AF15"/>
      <c r="AG15"/>
    </row>
    <row r="16" spans="1:33" ht="20.100000000000001" customHeight="1" x14ac:dyDescent="0.35">
      <c r="A16" s="13" t="s">
        <v>198</v>
      </c>
      <c r="G16" s="13"/>
      <c r="H16" s="13"/>
      <c r="I16" s="13"/>
      <c r="J16" s="13"/>
      <c r="K16" s="13"/>
      <c r="L16" s="13"/>
      <c r="W16"/>
      <c r="X16"/>
      <c r="Y16"/>
      <c r="Z16"/>
      <c r="AA16"/>
      <c r="AB16"/>
      <c r="AC16"/>
      <c r="AD16"/>
      <c r="AE16"/>
      <c r="AF16"/>
      <c r="AG16"/>
    </row>
    <row r="17" spans="1:33" ht="20.100000000000001" customHeight="1" x14ac:dyDescent="0.25">
      <c r="A17" s="13"/>
      <c r="G17" s="13"/>
      <c r="H17" s="13"/>
      <c r="I17" s="13"/>
      <c r="J17" s="13"/>
      <c r="K17" s="13"/>
      <c r="L17" s="13"/>
      <c r="W17"/>
      <c r="X17"/>
      <c r="Y17"/>
      <c r="Z17"/>
      <c r="AA17"/>
      <c r="AB17"/>
      <c r="AC17"/>
      <c r="AD17"/>
      <c r="AE17"/>
      <c r="AF17"/>
      <c r="AG17"/>
    </row>
    <row r="18" spans="1:33" ht="20.100000000000001" customHeight="1" x14ac:dyDescent="0.25">
      <c r="A18" s="206" t="s">
        <v>206</v>
      </c>
      <c r="G18" s="13"/>
      <c r="H18" s="13"/>
      <c r="I18" s="13"/>
      <c r="J18" s="13"/>
      <c r="K18" s="13"/>
      <c r="L18" s="13"/>
      <c r="W18"/>
      <c r="X18"/>
      <c r="Y18"/>
      <c r="Z18"/>
      <c r="AA18"/>
      <c r="AB18"/>
      <c r="AC18"/>
      <c r="AD18"/>
      <c r="AE18"/>
      <c r="AF18"/>
      <c r="AG18"/>
    </row>
    <row r="19" spans="1:33" ht="60" customHeight="1" x14ac:dyDescent="0.3">
      <c r="A19" s="722" t="s">
        <v>202</v>
      </c>
      <c r="B19" s="722"/>
      <c r="C19" s="722"/>
      <c r="D19" s="722"/>
      <c r="E19" s="722"/>
      <c r="F19" s="722"/>
      <c r="G19" s="722"/>
      <c r="H19" s="722"/>
      <c r="I19" s="722"/>
      <c r="J19" s="722"/>
      <c r="K19" s="722"/>
      <c r="L19" s="722"/>
      <c r="M19" s="722"/>
      <c r="N19" s="188"/>
      <c r="O19" s="188"/>
      <c r="P19" s="188"/>
      <c r="W19"/>
      <c r="X19"/>
      <c r="Y19"/>
      <c r="Z19"/>
      <c r="AA19"/>
      <c r="AB19"/>
      <c r="AC19"/>
      <c r="AD19"/>
      <c r="AE19"/>
      <c r="AF19"/>
      <c r="AG19"/>
    </row>
    <row r="20" spans="1:33" ht="15.75" x14ac:dyDescent="0.25">
      <c r="D20" s="718" t="s">
        <v>390</v>
      </c>
      <c r="E20" s="719"/>
      <c r="F20" s="719" t="s">
        <v>391</v>
      </c>
      <c r="G20" s="719"/>
      <c r="H20" s="719" t="s">
        <v>357</v>
      </c>
      <c r="I20" s="719"/>
      <c r="J20" s="719" t="s">
        <v>356</v>
      </c>
      <c r="K20" s="720"/>
      <c r="L20" s="13"/>
      <c r="M20" s="13"/>
      <c r="T20" s="13"/>
      <c r="U20" s="13"/>
      <c r="V20" s="13"/>
      <c r="W20"/>
      <c r="X20"/>
      <c r="Y20"/>
      <c r="Z20"/>
      <c r="AA20"/>
      <c r="AB20"/>
      <c r="AC20"/>
      <c r="AD20"/>
      <c r="AE20"/>
      <c r="AF20"/>
      <c r="AG20"/>
    </row>
    <row r="21" spans="1:33" ht="45" x14ac:dyDescent="0.25">
      <c r="A21" s="124"/>
      <c r="B21" s="187" t="s">
        <v>200</v>
      </c>
      <c r="D21" s="48" t="s">
        <v>177</v>
      </c>
      <c r="E21" s="171" t="s">
        <v>196</v>
      </c>
      <c r="G21" s="170" t="s">
        <v>196</v>
      </c>
      <c r="H21" s="170"/>
      <c r="I21" s="170" t="s">
        <v>196</v>
      </c>
      <c r="K21" s="170" t="s">
        <v>196</v>
      </c>
      <c r="L21" s="13"/>
      <c r="M21" s="13"/>
      <c r="T21" s="13"/>
      <c r="U21" s="13"/>
      <c r="V21" s="13"/>
      <c r="W21"/>
      <c r="X21"/>
      <c r="Y21"/>
      <c r="Z21"/>
      <c r="AA21"/>
      <c r="AB21"/>
      <c r="AC21"/>
      <c r="AD21"/>
      <c r="AE21"/>
      <c r="AF21"/>
      <c r="AG21"/>
    </row>
    <row r="22" spans="1:33" ht="15.75" x14ac:dyDescent="0.25">
      <c r="A22" s="124"/>
      <c r="D22" s="45">
        <v>1.4429027338911238</v>
      </c>
      <c r="E22" s="549">
        <v>0.31390996850330199</v>
      </c>
      <c r="F22" s="547"/>
      <c r="G22" s="436">
        <v>0.274363313014585</v>
      </c>
      <c r="H22" s="45"/>
      <c r="I22" s="436">
        <v>0.250086433835157</v>
      </c>
      <c r="J22" s="547"/>
      <c r="K22" s="550">
        <v>0.37850327650951998</v>
      </c>
      <c r="L22" s="13"/>
      <c r="M22"/>
      <c r="N22"/>
      <c r="O22"/>
      <c r="P22"/>
      <c r="T22" s="13"/>
      <c r="U22" s="13"/>
      <c r="V22" s="13"/>
      <c r="W22"/>
      <c r="X22"/>
      <c r="Y22"/>
      <c r="Z22"/>
      <c r="AA22"/>
      <c r="AB22"/>
      <c r="AC22"/>
      <c r="AD22"/>
      <c r="AE22"/>
      <c r="AF22"/>
      <c r="AG22"/>
    </row>
    <row r="23" spans="1:33" ht="15.75" x14ac:dyDescent="0.25">
      <c r="D23" s="44">
        <v>1.555733481840563</v>
      </c>
      <c r="E23" s="549">
        <v>0.33879492055531601</v>
      </c>
      <c r="G23" s="436">
        <v>0.31606684064621299</v>
      </c>
      <c r="H23" s="44"/>
      <c r="I23" s="436">
        <v>0.172384627976021</v>
      </c>
      <c r="K23" s="550">
        <v>0.203015970776629</v>
      </c>
      <c r="L23" s="13"/>
      <c r="M23"/>
      <c r="N23"/>
      <c r="O23"/>
      <c r="P23"/>
      <c r="T23" s="13"/>
      <c r="U23" s="13"/>
      <c r="V23" s="13"/>
      <c r="W23"/>
      <c r="X23"/>
      <c r="Y23"/>
      <c r="Z23"/>
      <c r="AA23"/>
      <c r="AB23"/>
      <c r="AC23"/>
      <c r="AD23"/>
      <c r="AE23"/>
      <c r="AF23"/>
      <c r="AG23"/>
    </row>
    <row r="24" spans="1:33" ht="15.75" x14ac:dyDescent="0.25">
      <c r="D24" s="135">
        <v>1.872436677178936</v>
      </c>
      <c r="E24" s="549">
        <v>0.41287443584858402</v>
      </c>
      <c r="G24" s="436">
        <v>0.44771906420869001</v>
      </c>
      <c r="H24" s="44"/>
      <c r="I24" s="436">
        <v>0.37620219265384103</v>
      </c>
      <c r="K24" s="550">
        <v>0.40741491944601599</v>
      </c>
      <c r="L24" s="13"/>
      <c r="M24"/>
      <c r="N24"/>
      <c r="O24"/>
      <c r="P24"/>
      <c r="T24" s="13"/>
      <c r="U24" s="13"/>
      <c r="V24" s="13"/>
      <c r="W24"/>
      <c r="X24"/>
      <c r="Y24"/>
      <c r="Z24"/>
      <c r="AA24"/>
      <c r="AB24"/>
      <c r="AC24"/>
      <c r="AD24"/>
      <c r="AE24"/>
      <c r="AF24"/>
      <c r="AG24"/>
    </row>
    <row r="25" spans="1:33" ht="15.75" x14ac:dyDescent="0.25">
      <c r="D25" s="139">
        <v>1.1523804167282006</v>
      </c>
      <c r="E25" s="551">
        <v>0.33381287663296899</v>
      </c>
      <c r="G25" s="552">
        <v>0.33658541696315702</v>
      </c>
      <c r="H25" s="139"/>
      <c r="I25" s="552">
        <v>0.34338981116115103</v>
      </c>
      <c r="K25" s="553">
        <v>0.25652004319025301</v>
      </c>
      <c r="L25" s="13"/>
      <c r="M25"/>
      <c r="N25"/>
      <c r="O25"/>
      <c r="P25"/>
      <c r="T25" s="13"/>
      <c r="U25" s="13"/>
      <c r="V25" s="13"/>
      <c r="W25"/>
      <c r="X25"/>
      <c r="Y25"/>
      <c r="Z25"/>
      <c r="AA25"/>
      <c r="AB25"/>
      <c r="AC25"/>
      <c r="AD25"/>
      <c r="AE25"/>
      <c r="AF25"/>
      <c r="AG25"/>
    </row>
    <row r="26" spans="1:33" ht="15.75" x14ac:dyDescent="0.25">
      <c r="D26" s="139">
        <v>1.5667929036515902</v>
      </c>
      <c r="E26" s="551">
        <v>0.27239949394166102</v>
      </c>
      <c r="G26" s="552">
        <v>0.27540299769527499</v>
      </c>
      <c r="H26" s="139"/>
      <c r="I26" s="552">
        <v>0.30575141219352198</v>
      </c>
      <c r="K26" s="553">
        <v>0.15683488375260801</v>
      </c>
      <c r="M26"/>
      <c r="N26"/>
      <c r="O26"/>
      <c r="P26"/>
      <c r="T26" s="13"/>
      <c r="W26"/>
      <c r="X26"/>
      <c r="Y26"/>
      <c r="Z26"/>
      <c r="AA26"/>
      <c r="AB26"/>
      <c r="AC26"/>
      <c r="AD26"/>
      <c r="AE26"/>
      <c r="AF26"/>
      <c r="AG26"/>
    </row>
    <row r="27" spans="1:33" ht="15.75" x14ac:dyDescent="0.25">
      <c r="D27" s="142">
        <v>1.636226568076308</v>
      </c>
      <c r="E27" s="554">
        <v>0.44218560753076203</v>
      </c>
      <c r="F27" s="548"/>
      <c r="G27" s="555">
        <v>0.395873931084608</v>
      </c>
      <c r="H27" s="142"/>
      <c r="I27" s="555">
        <v>0.42100184880799002</v>
      </c>
      <c r="J27" s="548"/>
      <c r="K27" s="556">
        <v>0.40387812525366801</v>
      </c>
      <c r="M27"/>
      <c r="N27"/>
      <c r="O27"/>
      <c r="P27"/>
      <c r="T27" s="13"/>
      <c r="W27"/>
      <c r="X27"/>
      <c r="Y27"/>
      <c r="Z27"/>
      <c r="AA27"/>
      <c r="AB27"/>
      <c r="AC27"/>
      <c r="AD27"/>
      <c r="AE27"/>
      <c r="AF27"/>
      <c r="AG27"/>
    </row>
    <row r="28" spans="1:33" ht="15.75" x14ac:dyDescent="0.25">
      <c r="D28" s="9" t="s">
        <v>197</v>
      </c>
      <c r="E28" s="143">
        <f>GEOMEAN(E22:E27)</f>
        <v>0.34765274481651481</v>
      </c>
      <c r="G28" s="143">
        <f>GEOMEAN(G22:G27)</f>
        <v>0.33544544882419924</v>
      </c>
      <c r="H28" s="44"/>
      <c r="I28" s="143">
        <f>GEOMEAN(I22:I27)</f>
        <v>0.29916329776876077</v>
      </c>
      <c r="K28" s="143">
        <f>GEOMEAN(K22:K27)</f>
        <v>0.28253690260130959</v>
      </c>
      <c r="M28"/>
      <c r="N28"/>
      <c r="O28"/>
      <c r="P28"/>
      <c r="T28" s="13"/>
      <c r="W28"/>
      <c r="X28"/>
      <c r="Y28"/>
      <c r="Z28"/>
      <c r="AA28"/>
      <c r="AB28"/>
      <c r="AC28"/>
      <c r="AD28"/>
      <c r="AE28"/>
      <c r="AF28"/>
      <c r="AG28"/>
    </row>
    <row r="29" spans="1:33" ht="15.75" x14ac:dyDescent="0.25">
      <c r="D29"/>
      <c r="E29"/>
      <c r="F29"/>
      <c r="G29"/>
      <c r="H29"/>
      <c r="I29"/>
      <c r="J29"/>
      <c r="T29" s="13"/>
      <c r="W29"/>
      <c r="X29"/>
      <c r="Y29"/>
      <c r="Z29"/>
      <c r="AA29"/>
      <c r="AB29"/>
      <c r="AC29"/>
      <c r="AD29"/>
      <c r="AE29"/>
      <c r="AF29"/>
      <c r="AG29"/>
    </row>
    <row r="30" spans="1:33" ht="15.75" x14ac:dyDescent="0.25">
      <c r="D30" s="718" t="s">
        <v>390</v>
      </c>
      <c r="E30" s="719"/>
      <c r="F30" s="719" t="s">
        <v>391</v>
      </c>
      <c r="G30" s="719"/>
      <c r="H30" s="719" t="s">
        <v>357</v>
      </c>
      <c r="I30" s="719"/>
      <c r="J30" s="719" t="s">
        <v>356</v>
      </c>
      <c r="K30" s="720"/>
      <c r="T30" s="13"/>
      <c r="W30"/>
      <c r="X30"/>
      <c r="Y30"/>
      <c r="Z30"/>
      <c r="AA30"/>
      <c r="AB30"/>
      <c r="AC30"/>
      <c r="AD30"/>
      <c r="AE30"/>
      <c r="AF30"/>
      <c r="AG30"/>
    </row>
    <row r="31" spans="1:33" ht="45" x14ac:dyDescent="0.25">
      <c r="B31" s="187" t="s">
        <v>201</v>
      </c>
      <c r="D31" s="128" t="s">
        <v>141</v>
      </c>
      <c r="E31" s="41" t="s">
        <v>138</v>
      </c>
      <c r="F31" s="128" t="s">
        <v>141</v>
      </c>
      <c r="G31" s="127" t="s">
        <v>138</v>
      </c>
      <c r="H31" s="128" t="s">
        <v>141</v>
      </c>
      <c r="I31" s="127" t="s">
        <v>138</v>
      </c>
      <c r="J31" s="128" t="s">
        <v>141</v>
      </c>
      <c r="K31" s="127" t="s">
        <v>138</v>
      </c>
      <c r="T31" s="13"/>
      <c r="W31"/>
      <c r="X31"/>
      <c r="Y31"/>
      <c r="Z31"/>
      <c r="AA31"/>
      <c r="AB31"/>
      <c r="AC31"/>
      <c r="AD31"/>
      <c r="AE31"/>
      <c r="AF31"/>
      <c r="AG31"/>
    </row>
    <row r="32" spans="1:33" ht="15.75" x14ac:dyDescent="0.25">
      <c r="D32" s="181">
        <v>2.06</v>
      </c>
      <c r="E32" s="155">
        <v>0.22534520248805001</v>
      </c>
      <c r="F32" s="181">
        <v>1.66</v>
      </c>
      <c r="G32" s="182">
        <v>0.23673173867106001</v>
      </c>
      <c r="H32" s="181">
        <v>1.28</v>
      </c>
      <c r="I32" s="182">
        <v>0.22940126446581799</v>
      </c>
      <c r="J32" s="181">
        <v>1.02</v>
      </c>
      <c r="K32" s="182">
        <v>0.149966772222726</v>
      </c>
      <c r="M32"/>
      <c r="N32"/>
      <c r="O32"/>
      <c r="P32"/>
      <c r="Q32"/>
      <c r="R32"/>
      <c r="S32"/>
      <c r="T32"/>
      <c r="W32"/>
      <c r="X32"/>
      <c r="Y32"/>
      <c r="Z32"/>
      <c r="AA32"/>
      <c r="AB32"/>
      <c r="AC32"/>
      <c r="AD32"/>
      <c r="AE32"/>
      <c r="AF32"/>
      <c r="AG32"/>
    </row>
    <row r="33" spans="4:37" ht="15.75" x14ac:dyDescent="0.25">
      <c r="D33" s="181">
        <v>1.62</v>
      </c>
      <c r="E33" s="155">
        <v>0.31263662782107499</v>
      </c>
      <c r="F33" s="181">
        <v>1.37</v>
      </c>
      <c r="G33" s="182">
        <v>0.27075808413659003</v>
      </c>
      <c r="H33" s="181">
        <v>1.59</v>
      </c>
      <c r="I33" s="182">
        <v>0.15873225270426999</v>
      </c>
      <c r="J33" s="181">
        <v>1.66</v>
      </c>
      <c r="K33" s="182">
        <v>0.131278973074095</v>
      </c>
      <c r="M33"/>
      <c r="N33"/>
      <c r="O33"/>
      <c r="P33"/>
      <c r="Q33"/>
      <c r="R33"/>
      <c r="S33"/>
      <c r="T33"/>
      <c r="W33"/>
      <c r="X33"/>
      <c r="Y33"/>
      <c r="Z33"/>
      <c r="AA33"/>
      <c r="AB33"/>
      <c r="AC33"/>
      <c r="AD33"/>
      <c r="AE33"/>
      <c r="AF33"/>
      <c r="AG33"/>
    </row>
    <row r="34" spans="4:37" ht="15.75" x14ac:dyDescent="0.25">
      <c r="D34" s="181">
        <v>3.58</v>
      </c>
      <c r="E34" s="155">
        <v>0.19260187581260099</v>
      </c>
      <c r="F34" s="181">
        <v>3.56</v>
      </c>
      <c r="G34" s="182">
        <v>0.18506489208753801</v>
      </c>
      <c r="H34" s="181">
        <v>3.58</v>
      </c>
      <c r="I34" s="182">
        <v>0.33606158006532399</v>
      </c>
      <c r="J34" s="181">
        <v>2.75</v>
      </c>
      <c r="K34" s="182">
        <v>0.134642932748712</v>
      </c>
      <c r="M34"/>
      <c r="N34"/>
      <c r="O34"/>
      <c r="P34"/>
      <c r="Q34"/>
      <c r="R34"/>
      <c r="S34"/>
      <c r="T34"/>
      <c r="W34"/>
      <c r="X34"/>
      <c r="Y34"/>
      <c r="Z34"/>
      <c r="AA34"/>
      <c r="AB34"/>
      <c r="AC34"/>
      <c r="AD34"/>
      <c r="AE34"/>
      <c r="AF34"/>
      <c r="AG34"/>
    </row>
    <row r="35" spans="4:37" ht="15.75" x14ac:dyDescent="0.25">
      <c r="D35" s="183">
        <v>1.47</v>
      </c>
      <c r="E35" s="557">
        <v>0.192050228004913</v>
      </c>
      <c r="F35" s="183">
        <v>1.46</v>
      </c>
      <c r="G35" s="184">
        <v>0.26133434476228401</v>
      </c>
      <c r="H35" s="183">
        <v>0.83</v>
      </c>
      <c r="I35" s="184">
        <v>0.25418231203022301</v>
      </c>
      <c r="J35" s="183">
        <v>0.99</v>
      </c>
      <c r="K35" s="184">
        <v>0.13519968183999101</v>
      </c>
      <c r="M35"/>
      <c r="N35"/>
      <c r="O35"/>
      <c r="P35"/>
      <c r="Q35"/>
      <c r="R35"/>
      <c r="S35"/>
      <c r="T35"/>
      <c r="W35"/>
      <c r="X35"/>
      <c r="Y35"/>
      <c r="Z35"/>
      <c r="AA35"/>
      <c r="AB35"/>
      <c r="AC35"/>
      <c r="AD35"/>
      <c r="AE35"/>
      <c r="AF35"/>
      <c r="AG35"/>
      <c r="AH35" s="13"/>
    </row>
    <row r="36" spans="4:37" ht="15.75" x14ac:dyDescent="0.25">
      <c r="D36" s="183">
        <v>1.74</v>
      </c>
      <c r="E36" s="557">
        <v>0.25356120536854498</v>
      </c>
      <c r="F36" s="183">
        <v>1.49</v>
      </c>
      <c r="G36" s="184">
        <v>0.22562832709682901</v>
      </c>
      <c r="H36" s="183">
        <v>1.49</v>
      </c>
      <c r="I36" s="184">
        <v>0.27847149014790901</v>
      </c>
      <c r="J36" s="183">
        <v>1.56</v>
      </c>
      <c r="K36" s="184">
        <v>0.15551897234300699</v>
      </c>
      <c r="M36"/>
      <c r="N36"/>
      <c r="O36"/>
      <c r="P36"/>
      <c r="Q36"/>
      <c r="R36"/>
      <c r="S36"/>
      <c r="T36"/>
      <c r="W36"/>
      <c r="X36"/>
      <c r="Y36"/>
      <c r="Z36"/>
      <c r="AA36"/>
      <c r="AB36"/>
      <c r="AC36"/>
      <c r="AD36"/>
      <c r="AE36"/>
      <c r="AF36"/>
      <c r="AG36"/>
      <c r="AH36" s="13"/>
      <c r="AI36" s="13"/>
      <c r="AJ36" s="13"/>
      <c r="AK36" s="13"/>
    </row>
    <row r="37" spans="4:37" ht="15.75" x14ac:dyDescent="0.25">
      <c r="D37" s="185">
        <v>2.21</v>
      </c>
      <c r="E37" s="558">
        <v>0.33528137914016198</v>
      </c>
      <c r="F37" s="185">
        <v>1.81</v>
      </c>
      <c r="G37" s="186">
        <v>0.35826625619972002</v>
      </c>
      <c r="H37" s="185">
        <v>0.99</v>
      </c>
      <c r="I37" s="186">
        <v>0.38469754109696203</v>
      </c>
      <c r="J37" s="185">
        <v>2.31</v>
      </c>
      <c r="K37" s="186">
        <v>0.22336150212054801</v>
      </c>
      <c r="M37"/>
      <c r="N37"/>
      <c r="O37"/>
      <c r="P37"/>
      <c r="Q37"/>
      <c r="R37"/>
      <c r="S37"/>
      <c r="T37"/>
      <c r="U37" s="13"/>
      <c r="V37" s="13"/>
      <c r="W37"/>
      <c r="X37"/>
      <c r="Y37"/>
      <c r="Z37"/>
      <c r="AA37"/>
      <c r="AB37"/>
      <c r="AC37"/>
      <c r="AD37"/>
      <c r="AE37"/>
      <c r="AF37"/>
      <c r="AG37"/>
      <c r="AH37" s="13"/>
      <c r="AI37" s="13"/>
      <c r="AJ37" s="13"/>
      <c r="AK37" s="13"/>
    </row>
    <row r="38" spans="4:37" ht="15.75" x14ac:dyDescent="0.25">
      <c r="D38" s="9" t="s">
        <v>197</v>
      </c>
      <c r="E38" s="143">
        <f>GEOMEAN(E32:E37)</f>
        <v>0.24598537818432792</v>
      </c>
      <c r="F38"/>
      <c r="G38" s="143">
        <f>GEOMEAN(G32:G37)</f>
        <v>0.25108821504471679</v>
      </c>
      <c r="H38" s="44"/>
      <c r="I38" s="143">
        <f>GEOMEAN(I32:I37)</f>
        <v>0.26330203833150184</v>
      </c>
      <c r="J38"/>
      <c r="K38" s="143">
        <f>GEOMEAN(K32:K37)</f>
        <v>0.1522381593554053</v>
      </c>
      <c r="T38" s="13"/>
      <c r="U38" s="13"/>
      <c r="V38" s="13"/>
      <c r="W38"/>
      <c r="X38"/>
      <c r="Y38"/>
      <c r="Z38"/>
      <c r="AA38"/>
      <c r="AB38"/>
      <c r="AC38"/>
      <c r="AD38"/>
      <c r="AE38"/>
      <c r="AF38"/>
      <c r="AG38"/>
      <c r="AH38" s="13"/>
      <c r="AI38" s="13"/>
      <c r="AJ38" s="13"/>
      <c r="AK38" s="13"/>
    </row>
    <row r="39" spans="4:37" ht="15.75" x14ac:dyDescent="0.25">
      <c r="W39"/>
      <c r="X39"/>
      <c r="Y39"/>
      <c r="Z39"/>
      <c r="AA39"/>
      <c r="AB39"/>
      <c r="AC39"/>
      <c r="AD39"/>
      <c r="AE39"/>
      <c r="AF39"/>
      <c r="AG39"/>
      <c r="AH39" s="13"/>
      <c r="AI39" s="13"/>
      <c r="AJ39" s="13"/>
      <c r="AK39" s="13"/>
    </row>
    <row r="40" spans="4:37" ht="15.75" x14ac:dyDescent="0.25">
      <c r="W40"/>
      <c r="X40"/>
      <c r="Y40"/>
      <c r="Z40"/>
      <c r="AA40"/>
      <c r="AB40"/>
      <c r="AC40"/>
      <c r="AD40"/>
      <c r="AE40"/>
      <c r="AF40"/>
      <c r="AG40"/>
      <c r="AH40" s="13"/>
      <c r="AI40" s="13"/>
      <c r="AJ40" s="13"/>
      <c r="AK40" s="13"/>
    </row>
    <row r="41" spans="4:37" ht="15.75" x14ac:dyDescent="0.25">
      <c r="W41"/>
      <c r="X41"/>
      <c r="Y41"/>
      <c r="Z41"/>
      <c r="AA41"/>
      <c r="AB41"/>
      <c r="AC41"/>
      <c r="AD41"/>
      <c r="AE41"/>
      <c r="AF41"/>
      <c r="AG41"/>
      <c r="AH41" s="13"/>
      <c r="AI41" s="13"/>
      <c r="AJ41" s="13"/>
      <c r="AK41" s="13"/>
    </row>
  </sheetData>
  <mergeCells count="14">
    <mergeCell ref="D5:E5"/>
    <mergeCell ref="F5:G5"/>
    <mergeCell ref="J5:K5"/>
    <mergeCell ref="A3:M3"/>
    <mergeCell ref="D30:E30"/>
    <mergeCell ref="F30:G30"/>
    <mergeCell ref="J30:K30"/>
    <mergeCell ref="H5:I5"/>
    <mergeCell ref="A19:M19"/>
    <mergeCell ref="H30:I30"/>
    <mergeCell ref="D20:E20"/>
    <mergeCell ref="F20:G20"/>
    <mergeCell ref="H20:I20"/>
    <mergeCell ref="J20:K2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B0F0"/>
  </sheetPr>
  <dimension ref="A6:AN83"/>
  <sheetViews>
    <sheetView topLeftCell="A10" zoomScaleNormal="100" workbookViewId="0">
      <selection activeCell="G70" sqref="G70"/>
    </sheetView>
  </sheetViews>
  <sheetFormatPr defaultRowHeight="15.75" x14ac:dyDescent="0.25"/>
  <cols>
    <col min="1" max="1" width="9.140625" style="13"/>
    <col min="2" max="2" width="17.5703125" style="13" customWidth="1"/>
    <col min="3" max="5" width="15.5703125" style="13" customWidth="1"/>
    <col min="6" max="6" width="9.140625" style="13"/>
    <col min="7" max="7" width="17.28515625" style="13" customWidth="1"/>
    <col min="8" max="8" width="14.7109375" style="13" customWidth="1"/>
    <col min="9" max="9" width="12.7109375" style="13" hidden="1" customWidth="1"/>
    <col min="10" max="10" width="14.42578125" style="13" hidden="1" customWidth="1"/>
    <col min="11" max="11" width="12.7109375" style="13" hidden="1" customWidth="1"/>
    <col min="12" max="12" width="14.42578125" style="13" hidden="1" customWidth="1"/>
    <col min="13" max="13" width="16.140625" style="13" customWidth="1"/>
    <col min="14" max="14" width="14.28515625" style="13" bestFit="1" customWidth="1"/>
    <col min="15" max="15" width="18" style="13" bestFit="1" customWidth="1"/>
    <col min="16" max="16" width="13.7109375" style="13" bestFit="1" customWidth="1"/>
    <col min="17" max="17" width="9.140625" style="13"/>
    <col min="18" max="18" width="9.5703125" style="13" bestFit="1" customWidth="1"/>
    <col min="19" max="20" width="9.140625" style="13"/>
    <col min="21" max="21" width="11.140625" style="13" bestFit="1" customWidth="1"/>
    <col min="22" max="22" width="9.28515625" style="13" bestFit="1" customWidth="1"/>
    <col min="23" max="23" width="10" style="13" bestFit="1" customWidth="1"/>
    <col min="24" max="24" width="9.140625" style="13"/>
    <col min="25" max="25" width="9.85546875" style="13" bestFit="1" customWidth="1"/>
    <col min="26" max="26" width="13.7109375" style="13" bestFit="1" customWidth="1"/>
    <col min="27" max="30" width="9.140625" style="13"/>
    <col min="31" max="31" width="13.7109375" style="13" bestFit="1" customWidth="1"/>
    <col min="32" max="35" width="9.140625" style="13"/>
    <col min="36" max="36" width="13.7109375" style="13" bestFit="1" customWidth="1"/>
    <col min="37" max="16384" width="9.140625" style="13"/>
  </cols>
  <sheetData>
    <row r="6" spans="2:6" x14ac:dyDescent="0.25">
      <c r="C6" s="13" t="s">
        <v>479</v>
      </c>
    </row>
    <row r="7" spans="2:6" x14ac:dyDescent="0.25">
      <c r="B7" s="47" t="s">
        <v>412</v>
      </c>
    </row>
    <row r="8" spans="2:6" ht="52.5" customHeight="1" x14ac:dyDescent="0.25">
      <c r="B8" s="759" t="s">
        <v>417</v>
      </c>
      <c r="C8" s="759"/>
      <c r="D8" s="759"/>
      <c r="E8" s="759"/>
      <c r="F8" s="759"/>
    </row>
    <row r="9" spans="2:6" ht="29.25" customHeight="1" x14ac:dyDescent="0.25">
      <c r="B9" s="428" t="s">
        <v>408</v>
      </c>
      <c r="C9" s="760" t="s">
        <v>409</v>
      </c>
      <c r="D9" s="760"/>
      <c r="E9" s="760"/>
      <c r="F9" s="760"/>
    </row>
    <row r="10" spans="2:6" ht="31.5" x14ac:dyDescent="0.25">
      <c r="B10" s="429">
        <v>0</v>
      </c>
      <c r="C10" s="6" t="s">
        <v>410</v>
      </c>
      <c r="D10" s="6" t="s">
        <v>418</v>
      </c>
      <c r="E10" s="6" t="s">
        <v>419</v>
      </c>
      <c r="F10" s="6" t="s">
        <v>411</v>
      </c>
    </row>
    <row r="11" spans="2:6" ht="18.75" customHeight="1" x14ac:dyDescent="0.25">
      <c r="B11" s="429" t="s">
        <v>413</v>
      </c>
      <c r="C11" s="6">
        <v>0.4</v>
      </c>
      <c r="D11" s="6">
        <v>0.9</v>
      </c>
      <c r="E11" s="430">
        <v>0.7</v>
      </c>
      <c r="F11" s="430">
        <f>SUM(C11:E11)</f>
        <v>2</v>
      </c>
    </row>
    <row r="12" spans="2:6" ht="18.75" customHeight="1" x14ac:dyDescent="0.25">
      <c r="B12" s="262" t="s">
        <v>414</v>
      </c>
      <c r="C12" s="5">
        <v>1.9</v>
      </c>
      <c r="D12" s="5">
        <v>4.8</v>
      </c>
      <c r="E12" s="431">
        <v>3.3</v>
      </c>
      <c r="F12" s="431">
        <f>SUM(C12:E12)</f>
        <v>10</v>
      </c>
    </row>
    <row r="13" spans="2:6" ht="18.75" customHeight="1" x14ac:dyDescent="0.25">
      <c r="B13" s="262" t="s">
        <v>415</v>
      </c>
      <c r="C13" s="5">
        <v>9.6</v>
      </c>
      <c r="D13" s="5">
        <v>14.4</v>
      </c>
      <c r="E13" s="431">
        <v>16.399999999999999</v>
      </c>
      <c r="F13" s="431">
        <f>SUM(C13:E13)</f>
        <v>40.4</v>
      </c>
    </row>
    <row r="14" spans="2:6" ht="18.75" customHeight="1" x14ac:dyDescent="0.25">
      <c r="B14" s="432" t="s">
        <v>416</v>
      </c>
      <c r="C14" s="113">
        <v>19.2</v>
      </c>
      <c r="D14" s="113">
        <v>47.9</v>
      </c>
      <c r="E14" s="433">
        <v>32.9</v>
      </c>
      <c r="F14" s="433">
        <f>SUM(C14:E14)</f>
        <v>100</v>
      </c>
    </row>
    <row r="15" spans="2:6" x14ac:dyDescent="0.25">
      <c r="B15" s="444" t="s">
        <v>420</v>
      </c>
    </row>
    <row r="18" spans="1:40" s="3" customFormat="1" ht="24.75" customHeight="1" x14ac:dyDescent="0.25">
      <c r="G18" s="277" t="s">
        <v>111</v>
      </c>
      <c r="H18" s="55" t="s">
        <v>431</v>
      </c>
      <c r="I18" s="55" t="s">
        <v>432</v>
      </c>
      <c r="J18" s="55" t="s">
        <v>433</v>
      </c>
      <c r="K18" s="55" t="s">
        <v>450</v>
      </c>
      <c r="L18" s="55" t="s">
        <v>451</v>
      </c>
      <c r="M18" s="489" t="s">
        <v>452</v>
      </c>
      <c r="N18" s="55" t="s">
        <v>434</v>
      </c>
      <c r="O18" s="278" t="s">
        <v>435</v>
      </c>
      <c r="P18" s="502" t="s">
        <v>436</v>
      </c>
      <c r="Q18" s="757" t="s">
        <v>443</v>
      </c>
      <c r="R18" s="739"/>
      <c r="S18" s="739"/>
      <c r="T18" s="758"/>
      <c r="U18" s="502" t="s">
        <v>437</v>
      </c>
      <c r="V18" s="757" t="s">
        <v>444</v>
      </c>
      <c r="W18" s="739"/>
      <c r="X18" s="739"/>
      <c r="Y18" s="758"/>
      <c r="Z18" s="502" t="s">
        <v>438</v>
      </c>
      <c r="AA18" s="757" t="s">
        <v>445</v>
      </c>
      <c r="AB18" s="739"/>
      <c r="AC18" s="739"/>
      <c r="AD18" s="758"/>
      <c r="AE18" s="502" t="s">
        <v>439</v>
      </c>
      <c r="AF18" s="757" t="s">
        <v>446</v>
      </c>
      <c r="AG18" s="739"/>
      <c r="AH18" s="739"/>
      <c r="AI18" s="758"/>
      <c r="AJ18" s="502" t="s">
        <v>440</v>
      </c>
      <c r="AK18" s="757" t="s">
        <v>447</v>
      </c>
      <c r="AL18" s="739"/>
      <c r="AM18" s="739"/>
      <c r="AN18" s="758"/>
    </row>
    <row r="19" spans="1:40" ht="24.75" customHeight="1" x14ac:dyDescent="0.25">
      <c r="G19" s="483"/>
      <c r="H19" s="490" t="s">
        <v>453</v>
      </c>
      <c r="I19" s="42" t="s">
        <v>442</v>
      </c>
      <c r="J19" s="42" t="s">
        <v>442</v>
      </c>
      <c r="K19" s="3"/>
      <c r="L19" s="3"/>
      <c r="M19" s="484"/>
      <c r="O19" s="473"/>
      <c r="P19" s="15" t="s">
        <v>442</v>
      </c>
      <c r="Q19" s="472"/>
      <c r="T19" s="473"/>
      <c r="U19" s="15" t="s">
        <v>442</v>
      </c>
      <c r="V19" s="472"/>
      <c r="Y19" s="473"/>
      <c r="Z19" s="15" t="s">
        <v>442</v>
      </c>
      <c r="AA19" s="472"/>
      <c r="AD19" s="473"/>
      <c r="AE19" s="15" t="s">
        <v>442</v>
      </c>
      <c r="AF19" s="472"/>
      <c r="AI19" s="473"/>
      <c r="AJ19" s="15" t="s">
        <v>442</v>
      </c>
      <c r="AK19" s="472"/>
      <c r="AN19" s="473"/>
    </row>
    <row r="20" spans="1:40" ht="24.75" customHeight="1" x14ac:dyDescent="0.25">
      <c r="G20" s="482" t="s">
        <v>314</v>
      </c>
      <c r="H20" s="55" t="s">
        <v>441</v>
      </c>
      <c r="I20" s="45">
        <v>0.22416636273408</v>
      </c>
      <c r="J20" s="45">
        <v>0.58215897770695002</v>
      </c>
      <c r="K20" s="485">
        <v>7.5065750225349103E-3</v>
      </c>
      <c r="L20" s="485">
        <v>6.5851705765894497E-2</v>
      </c>
      <c r="M20" s="486">
        <v>1.3249394064335701E-4</v>
      </c>
      <c r="N20" s="12">
        <v>0.14000000000000001</v>
      </c>
      <c r="O20" s="471">
        <v>221</v>
      </c>
      <c r="P20" s="474">
        <v>0.14128894282127999</v>
      </c>
      <c r="Q20" s="475">
        <v>91.741413836305199</v>
      </c>
      <c r="R20" s="476">
        <v>0.36224142515212598</v>
      </c>
      <c r="S20" s="476">
        <v>2.45985922000339</v>
      </c>
      <c r="T20" s="477">
        <v>5.4345790335083404</v>
      </c>
      <c r="U20" s="474">
        <v>0.22416636273408</v>
      </c>
      <c r="V20" s="475">
        <v>78.808877899928305</v>
      </c>
      <c r="W20" s="476">
        <v>1.18445741410217</v>
      </c>
      <c r="X20" s="476">
        <v>5.8522268110400004</v>
      </c>
      <c r="Y20" s="477">
        <v>14.153934886097501</v>
      </c>
      <c r="Z20" s="474">
        <v>0.58215897770695002</v>
      </c>
      <c r="AA20" s="475">
        <v>23.541967867946202</v>
      </c>
      <c r="AB20" s="476">
        <v>4.15152378366954</v>
      </c>
      <c r="AC20" s="476">
        <v>16.249957887840299</v>
      </c>
      <c r="AD20" s="477">
        <v>56.056489182661601</v>
      </c>
      <c r="AE20" s="474">
        <v>0.83702082872286898</v>
      </c>
      <c r="AF20" s="475">
        <v>10.620084787725499</v>
      </c>
      <c r="AG20" s="476">
        <v>4.1331431057011896</v>
      </c>
      <c r="AH20" s="476">
        <v>16.254272894930999</v>
      </c>
      <c r="AI20" s="477">
        <v>68.992500167323001</v>
      </c>
      <c r="AJ20" s="474">
        <v>1.1569653161351201</v>
      </c>
      <c r="AK20" s="475">
        <v>4.8925690684627003</v>
      </c>
      <c r="AL20" s="476">
        <v>3.5417999526738</v>
      </c>
      <c r="AM20" s="476">
        <v>14.4623965674082</v>
      </c>
      <c r="AN20" s="477">
        <v>77.103235211798804</v>
      </c>
    </row>
    <row r="21" spans="1:40" ht="24.75" customHeight="1" x14ac:dyDescent="0.25">
      <c r="G21" s="491" t="s">
        <v>316</v>
      </c>
      <c r="H21" s="492" t="s">
        <v>448</v>
      </c>
      <c r="I21" s="493">
        <v>0.154929556191787</v>
      </c>
      <c r="J21" s="493">
        <v>0.38089442374733201</v>
      </c>
      <c r="K21" s="494">
        <v>2.9569324281501501E-3</v>
      </c>
      <c r="L21" s="494">
        <v>4.3480712891651202E-2</v>
      </c>
      <c r="M21" s="495">
        <v>1.0952565360844E-4</v>
      </c>
      <c r="N21" s="496">
        <v>0.39</v>
      </c>
      <c r="O21" s="497">
        <v>2584</v>
      </c>
      <c r="P21" s="498">
        <v>0.102687950347174</v>
      </c>
      <c r="Q21" s="499">
        <v>97.8272153623425</v>
      </c>
      <c r="R21" s="500">
        <v>0.24919870163961999</v>
      </c>
      <c r="S21" s="500">
        <v>-0.28038609036988599</v>
      </c>
      <c r="T21" s="501">
        <v>2.20095508853856</v>
      </c>
      <c r="U21" s="498">
        <v>0.154929556191787</v>
      </c>
      <c r="V21" s="499">
        <v>90.896979476255495</v>
      </c>
      <c r="W21" s="500">
        <v>1.32039366221646</v>
      </c>
      <c r="X21" s="500">
        <v>0.100780222633373</v>
      </c>
      <c r="Y21" s="501">
        <v>7.6826956945431997</v>
      </c>
      <c r="Z21" s="498">
        <v>0.38089442374733201</v>
      </c>
      <c r="AA21" s="499">
        <v>28.9459592397262</v>
      </c>
      <c r="AB21" s="500">
        <v>9.2554955836314896</v>
      </c>
      <c r="AC21" s="500">
        <v>12.6039949123198</v>
      </c>
      <c r="AD21" s="501">
        <v>49.194292284030801</v>
      </c>
      <c r="AE21" s="498">
        <v>0.55313781925839001</v>
      </c>
      <c r="AF21" s="499">
        <v>10.346730898259199</v>
      </c>
      <c r="AG21" s="500">
        <v>8.8580351325292597</v>
      </c>
      <c r="AH21" s="500">
        <v>17.416439364696199</v>
      </c>
      <c r="AI21" s="501">
        <v>63.378795457165097</v>
      </c>
      <c r="AJ21" s="498">
        <v>0.78777078778203802</v>
      </c>
      <c r="AK21" s="499">
        <v>3.3261314554525798</v>
      </c>
      <c r="AL21" s="500">
        <v>6.3173124037274198</v>
      </c>
      <c r="AM21" s="500">
        <v>17.703984409195499</v>
      </c>
      <c r="AN21" s="501">
        <v>72.652582852444297</v>
      </c>
    </row>
    <row r="22" spans="1:40" ht="24.75" customHeight="1" x14ac:dyDescent="0.25">
      <c r="G22" s="487" t="s">
        <v>318</v>
      </c>
      <c r="H22" s="14" t="s">
        <v>449</v>
      </c>
      <c r="I22" s="46">
        <v>0.1056121745739</v>
      </c>
      <c r="J22" s="46">
        <v>0.25677429170931099</v>
      </c>
      <c r="K22" s="52">
        <v>4.9021942233628902E-3</v>
      </c>
      <c r="L22" s="52">
        <v>5.0528748744657598E-2</v>
      </c>
      <c r="M22" s="488">
        <v>1.08478805380601E-4</v>
      </c>
      <c r="N22" s="11">
        <v>0.09</v>
      </c>
      <c r="O22" s="65">
        <v>358</v>
      </c>
      <c r="P22" s="478">
        <v>6.8251373514319702E-2</v>
      </c>
      <c r="Q22" s="479">
        <v>83.946585047393995</v>
      </c>
      <c r="R22" s="480">
        <v>-0.41027833637574601</v>
      </c>
      <c r="S22" s="480">
        <v>5.2226136408700103</v>
      </c>
      <c r="T22" s="481">
        <v>11.2654562612106</v>
      </c>
      <c r="U22" s="478">
        <v>0.1056121745739</v>
      </c>
      <c r="V22" s="479">
        <v>67.753919088394596</v>
      </c>
      <c r="W22" s="480">
        <v>-4.7214475472693897E-2</v>
      </c>
      <c r="X22" s="480">
        <v>8.7768272051829008</v>
      </c>
      <c r="Y22" s="481">
        <v>23.519701733200801</v>
      </c>
      <c r="Z22" s="478">
        <v>0.25677429170931099</v>
      </c>
      <c r="AA22" s="479">
        <v>23.082123144588401</v>
      </c>
      <c r="AB22" s="480">
        <v>1.9579876345418099</v>
      </c>
      <c r="AC22" s="480">
        <v>13.613831851543701</v>
      </c>
      <c r="AD22" s="481">
        <v>61.346333495193299</v>
      </c>
      <c r="AE22" s="478">
        <v>0.36907168474757401</v>
      </c>
      <c r="AF22" s="479">
        <v>11.7754889145313</v>
      </c>
      <c r="AG22" s="480">
        <v>2.4581736361854398</v>
      </c>
      <c r="AH22" s="480">
        <v>12.580944751371799</v>
      </c>
      <c r="AI22" s="481">
        <v>73.185525627493703</v>
      </c>
      <c r="AJ22" s="478">
        <v>0.523054625576023</v>
      </c>
      <c r="AK22" s="479">
        <v>5.72891038115017</v>
      </c>
      <c r="AL22" s="480">
        <v>2.4874558283677302</v>
      </c>
      <c r="AM22" s="480">
        <v>10.5548012886973</v>
      </c>
      <c r="AN22" s="481">
        <v>81.228828803026303</v>
      </c>
    </row>
    <row r="23" spans="1:40" ht="24.75" customHeight="1" x14ac:dyDescent="0.25">
      <c r="G23" s="482" t="s">
        <v>320</v>
      </c>
      <c r="H23" s="55" t="s">
        <v>441</v>
      </c>
      <c r="I23" s="45">
        <v>0.36989602264659699</v>
      </c>
      <c r="J23" s="45">
        <v>0.85650670501556503</v>
      </c>
      <c r="K23" s="485">
        <v>1.2025555872861899E-2</v>
      </c>
      <c r="L23" s="485">
        <v>0.10924205248374599</v>
      </c>
      <c r="M23" s="486">
        <v>1.8903991141172799E-4</v>
      </c>
      <c r="N23" s="12">
        <v>0.34</v>
      </c>
      <c r="O23" s="471">
        <v>410</v>
      </c>
      <c r="P23" s="474">
        <v>0.240212180037814</v>
      </c>
      <c r="Q23" s="475">
        <v>73.407690975660103</v>
      </c>
      <c r="R23" s="476">
        <v>-0.88000063747081703</v>
      </c>
      <c r="S23" s="476">
        <v>-0.73941976671852905</v>
      </c>
      <c r="T23" s="477">
        <v>28.211446116954299</v>
      </c>
      <c r="U23" s="474">
        <v>0.36989602264659699</v>
      </c>
      <c r="V23" s="475">
        <v>52.335219132467998</v>
      </c>
      <c r="W23" s="476">
        <v>-9.8976300911364501E-2</v>
      </c>
      <c r="X23" s="476">
        <v>4.9382518972677598</v>
      </c>
      <c r="Y23" s="477">
        <v>42.8255444253018</v>
      </c>
      <c r="Z23" s="474">
        <v>0.85650670501556503</v>
      </c>
      <c r="AA23" s="475">
        <v>12.2081350158464</v>
      </c>
      <c r="AB23" s="476">
        <v>4.3039021719175103</v>
      </c>
      <c r="AC23" s="476">
        <v>18.491108908126201</v>
      </c>
      <c r="AD23" s="477">
        <v>64.996862618766698</v>
      </c>
      <c r="AE23" s="474">
        <v>1.14484521747378</v>
      </c>
      <c r="AF23" s="475">
        <v>6.0029862601630297</v>
      </c>
      <c r="AG23" s="476">
        <v>4.7716705116017097</v>
      </c>
      <c r="AH23" s="476">
        <v>19.930424096177301</v>
      </c>
      <c r="AI23" s="477">
        <v>69.294919145476399</v>
      </c>
      <c r="AJ23" s="474">
        <v>1.4902245007879</v>
      </c>
      <c r="AK23" s="475">
        <v>2.9227953202689299</v>
      </c>
      <c r="AL23" s="476">
        <v>4.4052345437811002</v>
      </c>
      <c r="AM23" s="476">
        <v>19.5345771576686</v>
      </c>
      <c r="AN23" s="477">
        <v>73.137392833415603</v>
      </c>
    </row>
    <row r="24" spans="1:40" ht="24.75" customHeight="1" x14ac:dyDescent="0.25">
      <c r="G24" s="491" t="s">
        <v>322</v>
      </c>
      <c r="H24" s="492" t="s">
        <v>448</v>
      </c>
      <c r="I24" s="493">
        <v>0.25333779069096701</v>
      </c>
      <c r="J24" s="493">
        <v>0.59741864845140802</v>
      </c>
      <c r="K24" s="494">
        <v>8.6173714903280199E-3</v>
      </c>
      <c r="L24" s="494">
        <v>0.104201477599002</v>
      </c>
      <c r="M24" s="495">
        <v>1.7241079488375001E-4</v>
      </c>
      <c r="N24" s="496">
        <v>0.36</v>
      </c>
      <c r="O24" s="497">
        <v>889</v>
      </c>
      <c r="P24" s="498">
        <v>0.163196415573062</v>
      </c>
      <c r="Q24" s="499">
        <v>81.8363092296932</v>
      </c>
      <c r="R24" s="500">
        <v>-0.33029563008596002</v>
      </c>
      <c r="S24" s="500">
        <v>-0.589919936575936</v>
      </c>
      <c r="T24" s="501">
        <v>19.0785890329532</v>
      </c>
      <c r="U24" s="498">
        <v>0.25333779069096701</v>
      </c>
      <c r="V24" s="499">
        <v>57.772290026896499</v>
      </c>
      <c r="W24" s="500">
        <v>0.51626069625013105</v>
      </c>
      <c r="X24" s="500">
        <v>5.6910690704091502</v>
      </c>
      <c r="Y24" s="501">
        <v>36.019239620103399</v>
      </c>
      <c r="Z24" s="498">
        <v>0.59741864845140802</v>
      </c>
      <c r="AA24" s="499">
        <v>11.388571651046799</v>
      </c>
      <c r="AB24" s="500">
        <v>4.6011821448391901</v>
      </c>
      <c r="AC24" s="500">
        <v>23.228783124057799</v>
      </c>
      <c r="AD24" s="501">
        <v>60.781539183344101</v>
      </c>
      <c r="AE24" s="498">
        <v>0.79802082826938003</v>
      </c>
      <c r="AF24" s="499">
        <v>5.3398379764796902</v>
      </c>
      <c r="AG24" s="500">
        <v>4.6320421944650496</v>
      </c>
      <c r="AH24" s="500">
        <v>24.529262513747501</v>
      </c>
      <c r="AI24" s="501">
        <v>65.498859868239194</v>
      </c>
      <c r="AJ24" s="498">
        <v>1.0305714774288</v>
      </c>
      <c r="AK24" s="499">
        <v>2.5444851899944498</v>
      </c>
      <c r="AL24" s="500">
        <v>3.9757757016752602</v>
      </c>
      <c r="AM24" s="500">
        <v>23.525335810967199</v>
      </c>
      <c r="AN24" s="501">
        <v>69.954401603386799</v>
      </c>
    </row>
    <row r="25" spans="1:40" ht="24.75" customHeight="1" thickBot="1" x14ac:dyDescent="0.3">
      <c r="G25" s="487" t="s">
        <v>324</v>
      </c>
      <c r="H25" s="14" t="s">
        <v>449</v>
      </c>
      <c r="I25" s="46">
        <v>0.187443329481806</v>
      </c>
      <c r="J25" s="46">
        <v>0.46295032838837302</v>
      </c>
      <c r="K25" s="52">
        <v>4.0820760870799297E-3</v>
      </c>
      <c r="L25" s="52">
        <v>5.3887869682543603E-2</v>
      </c>
      <c r="M25" s="488">
        <v>1.0440156743392001E-4</v>
      </c>
      <c r="N25" s="11">
        <v>0.37</v>
      </c>
      <c r="O25" s="65">
        <v>1565</v>
      </c>
      <c r="P25" s="478">
        <v>0.116878794613934</v>
      </c>
      <c r="Q25" s="479">
        <v>97.466386661855097</v>
      </c>
      <c r="R25" s="480">
        <v>0.18357702082326899</v>
      </c>
      <c r="S25" s="480">
        <v>0.54789470488322101</v>
      </c>
      <c r="T25" s="481">
        <v>1.80739858922244</v>
      </c>
      <c r="U25" s="478">
        <v>0.187443329481806</v>
      </c>
      <c r="V25" s="479">
        <v>86.288505174883099</v>
      </c>
      <c r="W25" s="480">
        <v>1.32442448005501</v>
      </c>
      <c r="X25" s="480">
        <v>3.4365220878698599</v>
      </c>
      <c r="Y25" s="481">
        <v>8.9542357840384401</v>
      </c>
      <c r="Z25" s="478">
        <v>0.46295032838837302</v>
      </c>
      <c r="AA25" s="479">
        <v>22.538580436891198</v>
      </c>
      <c r="AB25" s="480">
        <v>6.9241539283580602</v>
      </c>
      <c r="AC25" s="480">
        <v>19.008901699083601</v>
      </c>
      <c r="AD25" s="481">
        <v>51.5282406778176</v>
      </c>
      <c r="AE25" s="478">
        <v>0.62742749108860796</v>
      </c>
      <c r="AF25" s="479">
        <v>10.1315591264449</v>
      </c>
      <c r="AG25" s="480">
        <v>6.6312785492170603</v>
      </c>
      <c r="AH25" s="480">
        <v>20.1835010153886</v>
      </c>
      <c r="AI25" s="481">
        <v>63.0536606649924</v>
      </c>
      <c r="AJ25" s="478">
        <v>0.80994173296302996</v>
      </c>
      <c r="AK25" s="479">
        <v>4.84943238056551</v>
      </c>
      <c r="AL25" s="480">
        <v>5.5524477835179802</v>
      </c>
      <c r="AM25" s="480">
        <v>19.014809274322399</v>
      </c>
      <c r="AN25" s="481">
        <v>70.583310912471305</v>
      </c>
    </row>
    <row r="26" spans="1:40" ht="17.25" thickTop="1" thickBot="1" x14ac:dyDescent="0.3">
      <c r="B26" s="542" t="s">
        <v>395</v>
      </c>
    </row>
    <row r="27" spans="1:40" ht="19.5" thickTop="1" x14ac:dyDescent="0.25">
      <c r="A27" s="538" t="s">
        <v>480</v>
      </c>
      <c r="B27" s="527" t="s">
        <v>481</v>
      </c>
      <c r="C27" s="527" t="s">
        <v>482</v>
      </c>
      <c r="D27" s="539" t="s">
        <v>483</v>
      </c>
    </row>
    <row r="28" spans="1:40" x14ac:dyDescent="0.25">
      <c r="A28" s="534">
        <v>1.5571173044912599E-3</v>
      </c>
      <c r="B28" s="533">
        <v>1.10550438232477E-4</v>
      </c>
      <c r="C28" s="533">
        <v>7.8045915498345199E-5</v>
      </c>
      <c r="D28" s="535">
        <v>4.3729842475180697E-5</v>
      </c>
      <c r="G28" s="482" t="s">
        <v>314</v>
      </c>
      <c r="H28" s="55" t="s">
        <v>441</v>
      </c>
      <c r="I28" s="45">
        <v>0.22416636273408</v>
      </c>
      <c r="J28" s="45">
        <v>0.58215897770695002</v>
      </c>
      <c r="K28" s="485">
        <v>1.9790142998483098E-2</v>
      </c>
      <c r="L28" s="485">
        <v>0.108902746911423</v>
      </c>
      <c r="M28" s="486">
        <v>2.2257360110257101E-4</v>
      </c>
    </row>
    <row r="29" spans="1:40" x14ac:dyDescent="0.25">
      <c r="A29" s="534">
        <v>8.75898585825815E-4</v>
      </c>
      <c r="B29" s="533">
        <v>1.3539998298817501E-4</v>
      </c>
      <c r="C29" s="533">
        <v>8.5282471333106402E-5</v>
      </c>
      <c r="D29" s="535">
        <v>5.3852163039438299E-5</v>
      </c>
      <c r="G29" s="491" t="s">
        <v>316</v>
      </c>
      <c r="H29" s="492" t="s">
        <v>448</v>
      </c>
      <c r="I29" s="493">
        <v>0.154929556191787</v>
      </c>
      <c r="J29" s="493">
        <v>0.38089442374733201</v>
      </c>
      <c r="K29" s="494">
        <v>8.3874014687391994E-3</v>
      </c>
      <c r="L29" s="494">
        <v>7.8806550535441403E-2</v>
      </c>
      <c r="M29" s="495">
        <v>1.6710158820572001E-4</v>
      </c>
    </row>
    <row r="30" spans="1:40" x14ac:dyDescent="0.25">
      <c r="A30" s="534">
        <v>9.6345087059620095E-4</v>
      </c>
      <c r="B30" s="533">
        <v>9.4449668196064902E-5</v>
      </c>
      <c r="C30" s="533">
        <v>7.7153259072856102E-5</v>
      </c>
      <c r="D30" s="535">
        <v>5.3373984529796202E-5</v>
      </c>
      <c r="G30" s="487" t="s">
        <v>318</v>
      </c>
      <c r="H30" s="14" t="s">
        <v>449</v>
      </c>
      <c r="I30" s="46">
        <v>0.1056121745739</v>
      </c>
      <c r="J30" s="46">
        <v>0.25677429170931099</v>
      </c>
      <c r="K30" s="52">
        <v>1.18335607825025E-2</v>
      </c>
      <c r="L30" s="52">
        <v>8.0415200711444604E-2</v>
      </c>
      <c r="M30" s="488">
        <v>1.66908986498451E-4</v>
      </c>
      <c r="AC30" s="13" t="s">
        <v>124</v>
      </c>
    </row>
    <row r="31" spans="1:40" x14ac:dyDescent="0.25">
      <c r="A31" s="534">
        <v>1.7180390543591699E-3</v>
      </c>
      <c r="B31" s="533">
        <v>2.1091952860145501E-4</v>
      </c>
      <c r="C31" s="533">
        <v>1.5546793420059699E-4</v>
      </c>
      <c r="D31" s="535">
        <v>9.0476066421294198E-5</v>
      </c>
      <c r="G31" s="482" t="s">
        <v>320</v>
      </c>
      <c r="H31" s="55" t="s">
        <v>441</v>
      </c>
      <c r="I31" s="45">
        <v>0.36989602264659699</v>
      </c>
      <c r="J31" s="45">
        <v>0.85650670501556503</v>
      </c>
      <c r="K31" s="485">
        <v>2.5032490705979099E-2</v>
      </c>
      <c r="L31" s="485">
        <v>0.157959932452229</v>
      </c>
      <c r="M31" s="486">
        <v>2.9454146691446602E-4</v>
      </c>
    </row>
    <row r="32" spans="1:40" x14ac:dyDescent="0.25">
      <c r="A32" s="534">
        <v>1.3551363647157E-3</v>
      </c>
      <c r="B32" s="533">
        <v>1.8072961441347799E-4</v>
      </c>
      <c r="C32" s="533">
        <v>1.21601713732412E-4</v>
      </c>
      <c r="D32" s="535">
        <v>5.6952558298525703E-5</v>
      </c>
      <c r="G32" s="491" t="s">
        <v>322</v>
      </c>
      <c r="H32" s="492" t="s">
        <v>448</v>
      </c>
      <c r="I32" s="493">
        <v>0.25333779069096701</v>
      </c>
      <c r="J32" s="493">
        <v>0.59741864845140802</v>
      </c>
      <c r="K32" s="494">
        <v>1.8994394560773901E-2</v>
      </c>
      <c r="L32" s="494">
        <v>0.153073901657234</v>
      </c>
      <c r="M32" s="495">
        <v>2.65641013308293E-4</v>
      </c>
      <c r="U32"/>
      <c r="V32"/>
      <c r="W32"/>
      <c r="X32"/>
      <c r="Y32"/>
      <c r="Z32"/>
      <c r="AA32"/>
      <c r="AB32"/>
      <c r="AC32"/>
      <c r="AD32"/>
      <c r="AE32"/>
    </row>
    <row r="33" spans="1:31" x14ac:dyDescent="0.25">
      <c r="A33" s="536">
        <v>1.0751960144188E-3</v>
      </c>
      <c r="B33" s="537">
        <v>1.23075384840919E-4</v>
      </c>
      <c r="C33" s="537">
        <v>8.2749655805741502E-5</v>
      </c>
      <c r="D33" s="488">
        <v>4.94186224567082E-5</v>
      </c>
      <c r="G33" s="487" t="s">
        <v>324</v>
      </c>
      <c r="H33" s="14" t="s">
        <v>449</v>
      </c>
      <c r="I33" s="46">
        <v>0.187443329481806</v>
      </c>
      <c r="J33" s="46">
        <v>0.46295032838837302</v>
      </c>
      <c r="K33" s="52">
        <v>1.13069053979152E-2</v>
      </c>
      <c r="L33" s="52">
        <v>9.13977705620755E-2</v>
      </c>
      <c r="M33" s="488">
        <v>1.6995523107973199E-4</v>
      </c>
      <c r="U33"/>
      <c r="V33"/>
      <c r="W33"/>
      <c r="X33"/>
      <c r="Y33"/>
      <c r="Z33"/>
      <c r="AA33"/>
      <c r="AB33"/>
      <c r="AC33"/>
      <c r="AD33"/>
      <c r="AE33"/>
    </row>
    <row r="34" spans="1:31" ht="16.5" thickBot="1" x14ac:dyDescent="0.3">
      <c r="U34"/>
      <c r="V34"/>
      <c r="W34"/>
      <c r="X34"/>
      <c r="Y34"/>
      <c r="Z34"/>
      <c r="AA34"/>
      <c r="AB34"/>
      <c r="AC34"/>
      <c r="AD34"/>
      <c r="AE34"/>
    </row>
    <row r="35" spans="1:31" ht="24.75" customHeight="1" thickTop="1" thickBot="1" x14ac:dyDescent="0.4">
      <c r="M35" s="542" t="s">
        <v>489</v>
      </c>
      <c r="P35" s="532" t="s">
        <v>485</v>
      </c>
      <c r="Q35" s="34" t="s">
        <v>491</v>
      </c>
      <c r="R35" s="471" t="s">
        <v>490</v>
      </c>
      <c r="U35"/>
      <c r="V35"/>
      <c r="W35"/>
      <c r="X35"/>
      <c r="Y35"/>
      <c r="Z35"/>
      <c r="AA35"/>
      <c r="AB35"/>
      <c r="AC35"/>
      <c r="AD35"/>
      <c r="AE35"/>
    </row>
    <row r="36" spans="1:31" ht="24.75" customHeight="1" thickTop="1" thickBot="1" x14ac:dyDescent="0.4">
      <c r="B36" s="542" t="s">
        <v>484</v>
      </c>
      <c r="G36" s="277" t="s">
        <v>111</v>
      </c>
      <c r="H36" s="55" t="s">
        <v>486</v>
      </c>
      <c r="I36" s="55" t="s">
        <v>487</v>
      </c>
      <c r="J36" s="55" t="s">
        <v>488</v>
      </c>
      <c r="K36" s="55" t="s">
        <v>450</v>
      </c>
      <c r="L36" s="55" t="s">
        <v>451</v>
      </c>
      <c r="M36" s="489" t="s">
        <v>485</v>
      </c>
      <c r="N36" s="34" t="s">
        <v>491</v>
      </c>
      <c r="O36" s="267" t="s">
        <v>490</v>
      </c>
      <c r="P36" s="754" t="s">
        <v>492</v>
      </c>
      <c r="Q36" s="755"/>
      <c r="R36" s="756"/>
      <c r="U36"/>
      <c r="V36"/>
      <c r="W36"/>
      <c r="X36"/>
      <c r="Y36"/>
      <c r="Z36"/>
      <c r="AA36"/>
      <c r="AB36"/>
      <c r="AC36"/>
      <c r="AD36"/>
      <c r="AE36"/>
    </row>
    <row r="37" spans="1:31" ht="24.75" customHeight="1" thickTop="1" x14ac:dyDescent="0.25">
      <c r="A37" s="540">
        <v>1.5571173044912599E-3</v>
      </c>
      <c r="B37" s="533">
        <v>1.53726517438769E-4</v>
      </c>
      <c r="C37" s="541">
        <v>7.8045915498345199E-5</v>
      </c>
      <c r="D37" s="486">
        <v>4.3729842475180697E-5</v>
      </c>
      <c r="G37" s="482" t="s">
        <v>314</v>
      </c>
      <c r="H37" s="55" t="s">
        <v>441</v>
      </c>
      <c r="I37" s="45">
        <v>0.22416636273408</v>
      </c>
      <c r="J37" s="45">
        <v>0.58215897770695002</v>
      </c>
      <c r="K37" s="79">
        <v>3.7196916765785799E-2</v>
      </c>
      <c r="L37" s="79">
        <v>0.133223987872024</v>
      </c>
      <c r="M37" s="561">
        <v>2.4370455091002299</v>
      </c>
      <c r="N37" s="563">
        <v>4.3729842475180697E-5</v>
      </c>
      <c r="O37" s="562">
        <v>1.5571173044912599E-3</v>
      </c>
      <c r="P37" s="564">
        <f t="shared" ref="P37:R42" si="0">M37/M$37</f>
        <v>1</v>
      </c>
      <c r="Q37" s="12">
        <f t="shared" si="0"/>
        <v>1</v>
      </c>
      <c r="R37" s="565">
        <f t="shared" si="0"/>
        <v>1</v>
      </c>
      <c r="U37"/>
      <c r="V37"/>
      <c r="W37"/>
      <c r="X37"/>
      <c r="Y37"/>
      <c r="Z37"/>
      <c r="AA37"/>
      <c r="AB37"/>
      <c r="AC37"/>
      <c r="AD37"/>
      <c r="AE37"/>
    </row>
    <row r="38" spans="1:31" ht="24.75" customHeight="1" x14ac:dyDescent="0.25">
      <c r="A38" s="534">
        <v>8.75898585825815E-4</v>
      </c>
      <c r="B38" s="533">
        <v>1.8028349989563199E-4</v>
      </c>
      <c r="C38" s="533">
        <v>8.5282471333106402E-5</v>
      </c>
      <c r="D38" s="535">
        <v>5.3852163039438299E-5</v>
      </c>
      <c r="G38" s="483" t="s">
        <v>316</v>
      </c>
      <c r="H38" s="42" t="s">
        <v>448</v>
      </c>
      <c r="I38" s="44">
        <v>0.154929556191787</v>
      </c>
      <c r="J38" s="44">
        <v>0.38089442374733201</v>
      </c>
      <c r="K38" s="269">
        <v>1.7039677797570402E-2</v>
      </c>
      <c r="L38" s="269">
        <v>0.107188083888222</v>
      </c>
      <c r="M38" s="566">
        <v>1.8768818553169899</v>
      </c>
      <c r="N38" s="568">
        <v>5.3852163039438299E-5</v>
      </c>
      <c r="O38" s="567">
        <v>8.75898585825815E-4</v>
      </c>
      <c r="P38" s="569">
        <f t="shared" si="0"/>
        <v>0.77014641224732183</v>
      </c>
      <c r="Q38" s="10">
        <f t="shared" si="0"/>
        <v>1.2314739772959993</v>
      </c>
      <c r="R38" s="305">
        <f t="shared" si="0"/>
        <v>0.56251290978491042</v>
      </c>
      <c r="U38"/>
      <c r="V38"/>
      <c r="W38"/>
      <c r="X38"/>
      <c r="Y38"/>
      <c r="Z38"/>
      <c r="AA38"/>
      <c r="AB38"/>
      <c r="AC38"/>
      <c r="AD38"/>
      <c r="AE38"/>
    </row>
    <row r="39" spans="1:31" ht="24.75" customHeight="1" x14ac:dyDescent="0.25">
      <c r="A39" s="534">
        <v>9.6345087059620095E-4</v>
      </c>
      <c r="B39" s="533">
        <v>1.17765839571495E-4</v>
      </c>
      <c r="C39" s="533">
        <v>7.7153259072856102E-5</v>
      </c>
      <c r="D39" s="535">
        <v>5.3373984529796202E-5</v>
      </c>
      <c r="G39" s="487" t="s">
        <v>318</v>
      </c>
      <c r="H39" s="14" t="s">
        <v>449</v>
      </c>
      <c r="I39" s="46">
        <v>0.1056121745739</v>
      </c>
      <c r="J39" s="46">
        <v>0.25677429170931099</v>
      </c>
      <c r="K39" s="270">
        <v>1.9571312151118202E-2</v>
      </c>
      <c r="L39" s="270">
        <v>9.2845762597595097E-2</v>
      </c>
      <c r="M39" s="570">
        <v>1.7777691397728499</v>
      </c>
      <c r="N39" s="572">
        <v>5.3373984529796202E-5</v>
      </c>
      <c r="O39" s="571">
        <v>9.6345087059620095E-4</v>
      </c>
      <c r="P39" s="569">
        <f t="shared" si="0"/>
        <v>0.7294772022657926</v>
      </c>
      <c r="Q39" s="10">
        <f t="shared" si="0"/>
        <v>1.2205391446376495</v>
      </c>
      <c r="R39" s="305">
        <f t="shared" si="0"/>
        <v>0.61874007039628842</v>
      </c>
      <c r="U39"/>
      <c r="V39"/>
      <c r="W39"/>
      <c r="X39"/>
      <c r="Y39"/>
      <c r="Z39"/>
      <c r="AA39"/>
      <c r="AB39"/>
      <c r="AC39"/>
      <c r="AD39"/>
      <c r="AE39"/>
    </row>
    <row r="40" spans="1:31" ht="24.75" customHeight="1" x14ac:dyDescent="0.25">
      <c r="A40" s="534">
        <v>1.7180390543591699E-3</v>
      </c>
      <c r="B40" s="533">
        <v>2.79821751711972E-4</v>
      </c>
      <c r="C40" s="533">
        <v>1.5546793420059699E-4</v>
      </c>
      <c r="D40" s="535">
        <v>9.0476066421294198E-5</v>
      </c>
      <c r="G40" s="482" t="s">
        <v>320</v>
      </c>
      <c r="H40" s="55" t="s">
        <v>441</v>
      </c>
      <c r="I40" s="45">
        <v>0.36989602264659699</v>
      </c>
      <c r="J40" s="45">
        <v>0.85650670501556503</v>
      </c>
      <c r="K40" s="79">
        <v>4.2583922366234199E-2</v>
      </c>
      <c r="L40" s="79">
        <v>0.209154020314544</v>
      </c>
      <c r="M40" s="561">
        <v>3.3049240175719299</v>
      </c>
      <c r="N40" s="568">
        <v>9.0476066421294198E-5</v>
      </c>
      <c r="O40" s="567">
        <v>1.7180390543591699E-3</v>
      </c>
      <c r="P40" s="564">
        <f t="shared" si="0"/>
        <v>1.3561191226142204</v>
      </c>
      <c r="Q40" s="12">
        <f t="shared" si="0"/>
        <v>2.0689776431882825</v>
      </c>
      <c r="R40" s="565">
        <f t="shared" si="0"/>
        <v>1.103345938937135</v>
      </c>
      <c r="U40"/>
      <c r="V40"/>
      <c r="W40"/>
      <c r="X40"/>
      <c r="Y40"/>
      <c r="Z40"/>
      <c r="AA40"/>
      <c r="AB40"/>
      <c r="AC40"/>
      <c r="AD40"/>
      <c r="AE40"/>
    </row>
    <row r="41" spans="1:31" ht="24.75" customHeight="1" x14ac:dyDescent="0.25">
      <c r="A41" s="534">
        <v>1.3551363647157E-3</v>
      </c>
      <c r="B41" s="533">
        <v>2.4720425165307501E-4</v>
      </c>
      <c r="C41" s="533">
        <v>1.21601713732412E-4</v>
      </c>
      <c r="D41" s="535">
        <v>5.6952558298525703E-5</v>
      </c>
      <c r="G41" s="483" t="s">
        <v>322</v>
      </c>
      <c r="H41" s="42" t="s">
        <v>448</v>
      </c>
      <c r="I41" s="44">
        <v>0.25333779069096701</v>
      </c>
      <c r="J41" s="44">
        <v>0.59741864845140802</v>
      </c>
      <c r="K41" s="269">
        <v>2.9323183663437901E-2</v>
      </c>
      <c r="L41" s="269">
        <v>0.172048263380643</v>
      </c>
      <c r="M41" s="566">
        <v>2.89823520703849</v>
      </c>
      <c r="N41" s="568">
        <v>5.6952558298525703E-5</v>
      </c>
      <c r="O41" s="567">
        <v>1.3551363647157E-3</v>
      </c>
      <c r="P41" s="569">
        <f t="shared" si="0"/>
        <v>1.1892413154436881</v>
      </c>
      <c r="Q41" s="10">
        <f t="shared" si="0"/>
        <v>1.3023728208225238</v>
      </c>
      <c r="R41" s="305">
        <f t="shared" si="0"/>
        <v>0.87028534125657864</v>
      </c>
      <c r="U41"/>
      <c r="V41"/>
      <c r="W41"/>
      <c r="X41"/>
      <c r="Y41"/>
      <c r="Z41"/>
      <c r="AA41"/>
      <c r="AB41"/>
      <c r="AC41"/>
      <c r="AD41"/>
      <c r="AE41"/>
    </row>
    <row r="42" spans="1:31" ht="24.75" customHeight="1" x14ac:dyDescent="0.25">
      <c r="A42" s="536">
        <v>1.0751960144188E-3</v>
      </c>
      <c r="B42" s="537">
        <v>1.686394430552E-4</v>
      </c>
      <c r="C42" s="537">
        <v>8.2749655805741502E-5</v>
      </c>
      <c r="D42" s="488">
        <v>4.94186224567082E-5</v>
      </c>
      <c r="G42" s="487" t="s">
        <v>324</v>
      </c>
      <c r="H42" s="14" t="s">
        <v>449</v>
      </c>
      <c r="I42" s="46">
        <v>0.187443329481806</v>
      </c>
      <c r="J42" s="46">
        <v>0.46295032838837302</v>
      </c>
      <c r="K42" s="270">
        <v>1.3410507707862999E-2</v>
      </c>
      <c r="L42" s="270">
        <v>7.33404319927939E-2</v>
      </c>
      <c r="M42" s="570">
        <v>1.90238109640042</v>
      </c>
      <c r="N42" s="572">
        <v>4.94186224567082E-5</v>
      </c>
      <c r="O42" s="571">
        <v>1.0751960144188E-3</v>
      </c>
      <c r="P42" s="573">
        <f t="shared" si="0"/>
        <v>0.78060959029968591</v>
      </c>
      <c r="Q42" s="11">
        <f t="shared" si="0"/>
        <v>1.1300891944615676</v>
      </c>
      <c r="R42" s="257">
        <f t="shared" si="0"/>
        <v>0.69050418444234496</v>
      </c>
      <c r="U42"/>
      <c r="V42"/>
      <c r="W42"/>
      <c r="X42"/>
      <c r="Y42"/>
      <c r="Z42"/>
      <c r="AA42"/>
      <c r="AB42"/>
      <c r="AC42"/>
      <c r="AD42"/>
      <c r="AE42"/>
    </row>
    <row r="43" spans="1:31" x14ac:dyDescent="0.25">
      <c r="U43"/>
      <c r="V43"/>
      <c r="W43"/>
      <c r="X43"/>
      <c r="Y43"/>
      <c r="Z43"/>
      <c r="AA43"/>
      <c r="AB43"/>
      <c r="AC43"/>
      <c r="AD43"/>
      <c r="AE43"/>
    </row>
    <row r="44" spans="1:31" x14ac:dyDescent="0.25">
      <c r="U44"/>
      <c r="V44"/>
      <c r="W44"/>
      <c r="X44"/>
      <c r="Y44"/>
      <c r="Z44"/>
      <c r="AA44"/>
      <c r="AB44"/>
      <c r="AC44"/>
      <c r="AD44"/>
      <c r="AE44"/>
    </row>
    <row r="45" spans="1:31" x14ac:dyDescent="0.25">
      <c r="U45"/>
      <c r="V45"/>
      <c r="W45"/>
      <c r="X45"/>
      <c r="Y45"/>
      <c r="Z45"/>
      <c r="AA45"/>
      <c r="AB45"/>
      <c r="AC45"/>
      <c r="AD45"/>
      <c r="AE45"/>
    </row>
    <row r="46" spans="1:31" x14ac:dyDescent="0.25">
      <c r="U46"/>
      <c r="V46"/>
      <c r="W46"/>
      <c r="X46"/>
      <c r="Y46"/>
      <c r="Z46"/>
      <c r="AA46"/>
      <c r="AB46"/>
      <c r="AC46"/>
      <c r="AD46"/>
      <c r="AE46"/>
    </row>
    <row r="47" spans="1:31" x14ac:dyDescent="0.25">
      <c r="U47"/>
      <c r="V47"/>
      <c r="W47"/>
      <c r="X47"/>
      <c r="Y47"/>
      <c r="Z47"/>
      <c r="AA47"/>
      <c r="AB47"/>
      <c r="AC47"/>
      <c r="AD47"/>
      <c r="AE47"/>
    </row>
    <row r="48" spans="1:31" x14ac:dyDescent="0.25">
      <c r="U48"/>
      <c r="V48"/>
      <c r="W48"/>
      <c r="X48"/>
      <c r="Y48"/>
      <c r="Z48"/>
      <c r="AA48"/>
      <c r="AB48"/>
      <c r="AC48"/>
      <c r="AD48"/>
      <c r="AE48"/>
    </row>
    <row r="49" spans="4:31" x14ac:dyDescent="0.25">
      <c r="U49"/>
      <c r="V49"/>
      <c r="W49"/>
      <c r="X49"/>
      <c r="Y49"/>
      <c r="Z49"/>
      <c r="AA49"/>
      <c r="AB49"/>
      <c r="AC49"/>
      <c r="AD49"/>
      <c r="AE49"/>
    </row>
    <row r="50" spans="4:31" x14ac:dyDescent="0.25">
      <c r="U50"/>
      <c r="V50"/>
      <c r="W50"/>
      <c r="X50"/>
      <c r="Y50"/>
      <c r="Z50"/>
      <c r="AA50"/>
      <c r="AB50"/>
      <c r="AC50"/>
      <c r="AD50"/>
      <c r="AE50"/>
    </row>
    <row r="51" spans="4:31" x14ac:dyDescent="0.25">
      <c r="U51"/>
      <c r="V51"/>
      <c r="W51"/>
      <c r="X51"/>
      <c r="Y51"/>
      <c r="Z51"/>
      <c r="AA51"/>
      <c r="AB51"/>
      <c r="AC51"/>
      <c r="AD51"/>
      <c r="AE51"/>
    </row>
    <row r="52" spans="4:31" x14ac:dyDescent="0.25">
      <c r="U52"/>
      <c r="V52"/>
      <c r="W52"/>
      <c r="X52"/>
      <c r="Y52"/>
      <c r="Z52"/>
      <c r="AA52"/>
      <c r="AB52"/>
      <c r="AC52"/>
      <c r="AD52"/>
      <c r="AE52"/>
    </row>
    <row r="53" spans="4:31" x14ac:dyDescent="0.25">
      <c r="U53"/>
      <c r="V53"/>
      <c r="W53"/>
      <c r="X53"/>
      <c r="Y53"/>
      <c r="Z53"/>
      <c r="AA53"/>
      <c r="AB53"/>
      <c r="AC53"/>
      <c r="AD53"/>
      <c r="AE53"/>
    </row>
    <row r="54" spans="4:31" x14ac:dyDescent="0.25">
      <c r="U54"/>
      <c r="V54"/>
      <c r="W54"/>
      <c r="X54"/>
      <c r="Y54"/>
      <c r="Z54"/>
      <c r="AA54"/>
      <c r="AB54"/>
      <c r="AC54"/>
      <c r="AD54"/>
      <c r="AE54"/>
    </row>
    <row r="55" spans="4:31" x14ac:dyDescent="0.25">
      <c r="U55"/>
      <c r="V55"/>
      <c r="W55"/>
      <c r="X55"/>
      <c r="Y55"/>
      <c r="Z55"/>
      <c r="AA55"/>
      <c r="AB55"/>
      <c r="AC55"/>
      <c r="AD55"/>
      <c r="AE55"/>
    </row>
    <row r="56" spans="4:31" x14ac:dyDescent="0.25">
      <c r="U56"/>
      <c r="V56"/>
      <c r="W56"/>
      <c r="X56"/>
      <c r="Y56"/>
      <c r="Z56"/>
      <c r="AA56"/>
      <c r="AB56"/>
      <c r="AC56"/>
      <c r="AD56"/>
      <c r="AE56"/>
    </row>
    <row r="57" spans="4:31" x14ac:dyDescent="0.25">
      <c r="U57"/>
      <c r="V57"/>
      <c r="W57"/>
      <c r="X57"/>
      <c r="Y57"/>
      <c r="Z57"/>
      <c r="AA57"/>
      <c r="AB57"/>
      <c r="AC57"/>
      <c r="AD57"/>
      <c r="AE57"/>
    </row>
    <row r="58" spans="4:31" x14ac:dyDescent="0.25">
      <c r="U58"/>
      <c r="V58"/>
      <c r="W58"/>
      <c r="X58"/>
      <c r="Y58"/>
      <c r="Z58"/>
      <c r="AA58"/>
      <c r="AB58"/>
      <c r="AC58"/>
      <c r="AD58"/>
      <c r="AE58"/>
    </row>
    <row r="59" spans="4:31" x14ac:dyDescent="0.25">
      <c r="U59"/>
      <c r="V59"/>
      <c r="W59"/>
      <c r="X59"/>
      <c r="Y59"/>
      <c r="Z59"/>
      <c r="AA59"/>
      <c r="AB59"/>
      <c r="AC59"/>
      <c r="AD59"/>
      <c r="AE59"/>
    </row>
    <row r="60" spans="4:31" ht="16.5" thickBot="1" x14ac:dyDescent="0.3">
      <c r="U60"/>
      <c r="V60"/>
      <c r="W60"/>
      <c r="X60"/>
      <c r="Y60"/>
      <c r="Z60"/>
      <c r="AA60"/>
      <c r="AB60"/>
      <c r="AC60"/>
      <c r="AD60"/>
      <c r="AE60"/>
    </row>
    <row r="61" spans="4:31" ht="16.5" thickTop="1" x14ac:dyDescent="0.25">
      <c r="D61" s="503" t="s">
        <v>454</v>
      </c>
      <c r="E61" s="504" t="s">
        <v>455</v>
      </c>
      <c r="F61" s="504"/>
      <c r="G61" s="505"/>
      <c r="H61" s="505" t="s">
        <v>456</v>
      </c>
      <c r="I61" s="506" t="s">
        <v>457</v>
      </c>
      <c r="J61" s="507" t="s">
        <v>458</v>
      </c>
      <c r="K61" s="508" t="s">
        <v>459</v>
      </c>
      <c r="L61" s="509" t="s">
        <v>460</v>
      </c>
      <c r="M61" s="507" t="s">
        <v>461</v>
      </c>
      <c r="N61" s="508" t="s">
        <v>462</v>
      </c>
      <c r="O61" s="509" t="s">
        <v>463</v>
      </c>
      <c r="P61" s="507" t="s">
        <v>464</v>
      </c>
      <c r="Q61" s="508" t="s">
        <v>465</v>
      </c>
      <c r="R61" s="509" t="s">
        <v>466</v>
      </c>
      <c r="U61"/>
      <c r="V61"/>
      <c r="W61"/>
      <c r="X61"/>
      <c r="Y61"/>
      <c r="Z61"/>
      <c r="AA61"/>
      <c r="AB61"/>
      <c r="AC61"/>
      <c r="AD61"/>
      <c r="AE61"/>
    </row>
    <row r="62" spans="4:31" x14ac:dyDescent="0.25">
      <c r="D62" s="510" t="s">
        <v>467</v>
      </c>
      <c r="E62" s="511" t="s">
        <v>468</v>
      </c>
      <c r="F62" s="511"/>
      <c r="G62" s="512"/>
      <c r="H62" s="512" t="s">
        <v>469</v>
      </c>
      <c r="I62" s="513" t="s">
        <v>470</v>
      </c>
      <c r="J62" s="514">
        <v>10180</v>
      </c>
      <c r="K62" s="515">
        <v>21420</v>
      </c>
      <c r="L62" s="514">
        <v>31132</v>
      </c>
      <c r="M62" s="516">
        <v>18492</v>
      </c>
      <c r="N62" s="515">
        <v>32482</v>
      </c>
      <c r="O62" s="517">
        <v>44444</v>
      </c>
      <c r="P62" s="516">
        <v>22992</v>
      </c>
      <c r="Q62" s="515">
        <v>39982</v>
      </c>
      <c r="R62" s="518">
        <v>52944</v>
      </c>
      <c r="U62"/>
      <c r="V62"/>
      <c r="W62"/>
      <c r="X62"/>
      <c r="Y62"/>
      <c r="Z62"/>
      <c r="AA62"/>
      <c r="AB62"/>
      <c r="AC62"/>
      <c r="AD62"/>
      <c r="AE62"/>
    </row>
    <row r="63" spans="4:31" x14ac:dyDescent="0.25">
      <c r="U63"/>
      <c r="V63"/>
      <c r="W63"/>
      <c r="X63"/>
      <c r="Y63"/>
      <c r="Z63"/>
      <c r="AA63"/>
      <c r="AB63"/>
      <c r="AC63"/>
      <c r="AD63"/>
      <c r="AE63"/>
    </row>
    <row r="64" spans="4:31" x14ac:dyDescent="0.25">
      <c r="J64" s="519">
        <f>LOG10(J62)</f>
        <v>4.0077477780007396</v>
      </c>
      <c r="K64" s="520">
        <f t="shared" ref="K64:R64" si="1">LOG10(K62)</f>
        <v>4.3308194664958366</v>
      </c>
      <c r="L64" s="521">
        <f t="shared" si="1"/>
        <v>4.4932070217767333</v>
      </c>
      <c r="M64" s="519">
        <f t="shared" si="1"/>
        <v>4.2669838847660442</v>
      </c>
      <c r="N64" s="520">
        <f t="shared" si="1"/>
        <v>4.5116427620168791</v>
      </c>
      <c r="O64" s="521">
        <f t="shared" si="1"/>
        <v>4.6478131389221033</v>
      </c>
      <c r="P64" s="519">
        <f t="shared" si="1"/>
        <v>4.3615767507901504</v>
      </c>
      <c r="Q64" s="520">
        <f t="shared" si="1"/>
        <v>4.6018645148255937</v>
      </c>
      <c r="R64" s="521">
        <f t="shared" si="1"/>
        <v>4.7238167498157777</v>
      </c>
      <c r="U64"/>
      <c r="V64"/>
      <c r="W64"/>
      <c r="X64"/>
      <c r="Y64"/>
      <c r="Z64"/>
      <c r="AA64"/>
      <c r="AB64"/>
      <c r="AC64"/>
      <c r="AD64"/>
      <c r="AE64"/>
    </row>
    <row r="65" spans="4:31" x14ac:dyDescent="0.25">
      <c r="U65"/>
      <c r="V65"/>
      <c r="W65"/>
      <c r="X65"/>
      <c r="Y65"/>
      <c r="Z65"/>
      <c r="AA65"/>
      <c r="AB65"/>
      <c r="AC65"/>
      <c r="AD65"/>
      <c r="AE65"/>
    </row>
    <row r="66" spans="4:31" x14ac:dyDescent="0.25">
      <c r="H66" s="13" t="s">
        <v>473</v>
      </c>
      <c r="I66" s="13" t="s">
        <v>471</v>
      </c>
      <c r="J66" s="519">
        <f>LN(J62/K62)/_xlfn.NORM.S.INV(0.1)</f>
        <v>0.58046829631947161</v>
      </c>
      <c r="K66" s="520"/>
      <c r="L66" s="521">
        <f>LN(L62/K62)/_xlfn.NORM.S.INV(0.9)</f>
        <v>0.29176443159245324</v>
      </c>
      <c r="M66" s="519">
        <f>LN(M62/N62)/_xlfn.NORM.S.INV(0.1)</f>
        <v>0.43958268927480498</v>
      </c>
      <c r="N66" s="520"/>
      <c r="O66" s="521">
        <f>LN(O62/N62)/_xlfn.NORM.S.INV(0.9)</f>
        <v>0.24465958951570507</v>
      </c>
      <c r="P66" s="519">
        <f>LN(P62/Q62)/_xlfn.NORM.S.INV(0.1)</f>
        <v>0.43172903718607858</v>
      </c>
      <c r="Q66" s="520"/>
      <c r="R66" s="521">
        <f>LN(R62/Q62)/_xlfn.NORM.S.INV(0.9)</f>
        <v>0.21911361656865982</v>
      </c>
      <c r="T66" s="18"/>
      <c r="U66"/>
      <c r="V66"/>
      <c r="W66"/>
      <c r="X66"/>
      <c r="Y66"/>
      <c r="Z66"/>
      <c r="AA66"/>
      <c r="AB66"/>
      <c r="AC66"/>
      <c r="AD66"/>
      <c r="AE66"/>
    </row>
    <row r="67" spans="4:31" x14ac:dyDescent="0.25">
      <c r="T67" s="15" t="s">
        <v>476</v>
      </c>
      <c r="U67"/>
      <c r="V67"/>
      <c r="W67"/>
      <c r="X67"/>
      <c r="Y67"/>
      <c r="Z67"/>
      <c r="AA67"/>
      <c r="AB67"/>
      <c r="AC67"/>
      <c r="AD67"/>
      <c r="AE67"/>
    </row>
    <row r="68" spans="4:31" x14ac:dyDescent="0.25">
      <c r="H68" s="160" t="s">
        <v>475</v>
      </c>
      <c r="I68" s="526">
        <v>0.27790539666499608</v>
      </c>
      <c r="J68" s="523">
        <f>EXP(_xlfn.NORM.INV(0.1, LN(K62), $I68))</f>
        <v>15001.871632978382</v>
      </c>
      <c r="K68" s="525">
        <f>K62</f>
        <v>21420</v>
      </c>
      <c r="L68" s="524">
        <f>EXP(_xlfn.NORM.INV(0.9, LN(K62), $I68))</f>
        <v>30583.943872135958</v>
      </c>
      <c r="M68" s="523">
        <f>EXP(_xlfn.NORM.INV(0.1, LN(N62), $I68))</f>
        <v>22749.336805901235</v>
      </c>
      <c r="N68" s="525">
        <f>N62</f>
        <v>32482</v>
      </c>
      <c r="O68" s="524">
        <f>EXP(_xlfn.NORM.INV(0.9, LN(N62), $I68))</f>
        <v>46378.509096859088</v>
      </c>
      <c r="P68" s="523">
        <f>EXP(_xlfn.NORM.INV(0.1, LN(Q62), $I68))</f>
        <v>28002.092979913275</v>
      </c>
      <c r="Q68" s="525">
        <f>Q62</f>
        <v>39982</v>
      </c>
      <c r="R68" s="524">
        <f>EXP(_xlfn.NORM.INV(0.9, LN(Q62), $I68))</f>
        <v>57087.172917634984</v>
      </c>
      <c r="T68" s="522">
        <f t="array" ref="T68">SQRT(SUMSQ(J62:R62-J68:R68))</f>
        <v>9364.0251591782417</v>
      </c>
      <c r="U68"/>
      <c r="V68"/>
      <c r="W68"/>
      <c r="X68"/>
      <c r="Y68"/>
      <c r="Z68"/>
      <c r="AA68"/>
      <c r="AB68"/>
      <c r="AC68"/>
      <c r="AD68"/>
      <c r="AE68"/>
    </row>
    <row r="69" spans="4:31" x14ac:dyDescent="0.25">
      <c r="T69" s="522"/>
      <c r="U69"/>
      <c r="V69"/>
      <c r="W69"/>
      <c r="X69"/>
      <c r="Y69"/>
      <c r="Z69"/>
      <c r="AA69"/>
      <c r="AB69"/>
      <c r="AC69"/>
      <c r="AD69"/>
      <c r="AE69"/>
    </row>
    <row r="70" spans="4:31" x14ac:dyDescent="0.25">
      <c r="H70" s="13" t="s">
        <v>474</v>
      </c>
      <c r="I70" s="13" t="s">
        <v>472</v>
      </c>
      <c r="J70" s="519">
        <f>((J62-K62)/_xlfn.NORM.S.INV(0.1))/K62</f>
        <v>0.40945931848055739</v>
      </c>
      <c r="K70" s="520"/>
      <c r="L70" s="521">
        <f>((L62-K62)/_xlfn.NORM.S.INV(0.9))/K62</f>
        <v>0.35379616557679483</v>
      </c>
      <c r="M70" s="519">
        <f>((M62-N62)/_xlfn.NORM.S.INV(0.1))/N62</f>
        <v>0.33607705817229799</v>
      </c>
      <c r="N70" s="520"/>
      <c r="O70" s="521">
        <f>((O62-N62)/_xlfn.NORM.S.INV(0.9))/N62</f>
        <v>0.28735909720207492</v>
      </c>
      <c r="P70" s="519">
        <f>((P62-Q62)/_xlfn.NORM.S.INV(0.1))/Q62</f>
        <v>0.33158339857360108</v>
      </c>
      <c r="Q70" s="520"/>
      <c r="R70" s="521">
        <f>((R62-Q62)/_xlfn.NORM.S.INV(0.9))/Q62</f>
        <v>0.25297139566280269</v>
      </c>
      <c r="T70" s="522"/>
      <c r="U70"/>
      <c r="V70"/>
      <c r="W70"/>
      <c r="X70"/>
      <c r="Y70"/>
      <c r="Z70"/>
      <c r="AA70"/>
      <c r="AB70"/>
      <c r="AC70"/>
      <c r="AD70"/>
      <c r="AE70"/>
    </row>
    <row r="71" spans="4:31" x14ac:dyDescent="0.25">
      <c r="T71" s="522"/>
      <c r="U71"/>
      <c r="V71"/>
      <c r="W71"/>
      <c r="X71"/>
      <c r="Y71"/>
      <c r="Z71"/>
      <c r="AA71"/>
      <c r="AB71"/>
      <c r="AC71"/>
      <c r="AD71"/>
      <c r="AE71"/>
    </row>
    <row r="72" spans="4:31" x14ac:dyDescent="0.25">
      <c r="H72" s="160" t="s">
        <v>475</v>
      </c>
      <c r="I72" s="526">
        <v>0.3</v>
      </c>
      <c r="J72" s="523">
        <f>_xlfn.NORM.INV(0.1, K62, $I72*K62)</f>
        <v>13184.749639810396</v>
      </c>
      <c r="K72" s="525">
        <f>K62</f>
        <v>21420</v>
      </c>
      <c r="L72" s="524">
        <f>_xlfn.NORM.INV(0.9, K62, $I72*K62)</f>
        <v>29655.250360189602</v>
      </c>
      <c r="M72" s="523">
        <f>_xlfn.NORM.INV(0.1, N62, $I72*N62)</f>
        <v>19993.792614394086</v>
      </c>
      <c r="N72" s="525">
        <f>N62</f>
        <v>32482</v>
      </c>
      <c r="O72" s="524">
        <f>_xlfn.NORM.INV(0.9, N62, $I72*N62)</f>
        <v>44970.207385605914</v>
      </c>
      <c r="P72" s="523">
        <f>_xlfn.NORM.INV(0.1, Q62, $I72*Q62)</f>
        <v>24610.301591918731</v>
      </c>
      <c r="Q72" s="525">
        <f>Q62</f>
        <v>39982</v>
      </c>
      <c r="R72" s="524">
        <f>_xlfn.NORM.INV(0.9, Q62, $I72*Q62)</f>
        <v>55353.698408081269</v>
      </c>
      <c r="T72" s="522">
        <f t="array" ref="T72">SQRT(SUMSQ(J62:R62-J72:R72))</f>
        <v>4708.1983418555956</v>
      </c>
      <c r="U72"/>
      <c r="V72"/>
      <c r="W72"/>
      <c r="X72"/>
      <c r="Y72"/>
      <c r="Z72"/>
      <c r="AA72"/>
      <c r="AB72"/>
      <c r="AC72"/>
      <c r="AD72"/>
      <c r="AE72"/>
    </row>
    <row r="73" spans="4:31" x14ac:dyDescent="0.25">
      <c r="D73" s="13">
        <f>_xlfn.NORM.DIST(1.9, 2, 0.6, TRUE)</f>
        <v>0.43381616738909629</v>
      </c>
      <c r="U73"/>
      <c r="V73"/>
      <c r="W73"/>
      <c r="X73"/>
      <c r="Y73"/>
      <c r="Z73"/>
      <c r="AA73"/>
      <c r="AB73"/>
      <c r="AC73"/>
      <c r="AD73"/>
      <c r="AE73"/>
    </row>
    <row r="74" spans="4:31" x14ac:dyDescent="0.25">
      <c r="U74"/>
      <c r="V74"/>
      <c r="W74"/>
      <c r="X74"/>
      <c r="Y74"/>
      <c r="Z74"/>
      <c r="AA74"/>
      <c r="AB74"/>
      <c r="AC74"/>
      <c r="AD74"/>
      <c r="AE74"/>
    </row>
    <row r="75" spans="4:31" x14ac:dyDescent="0.25">
      <c r="L75" s="13">
        <f>_xlfn.NORM.S.INV(0.9)</f>
        <v>1.2815515655446006</v>
      </c>
      <c r="U75"/>
      <c r="V75"/>
      <c r="W75"/>
      <c r="X75"/>
      <c r="Y75"/>
      <c r="Z75"/>
      <c r="AA75"/>
      <c r="AB75"/>
      <c r="AC75"/>
      <c r="AD75"/>
      <c r="AE75"/>
    </row>
    <row r="76" spans="4:31" x14ac:dyDescent="0.25">
      <c r="U76"/>
      <c r="V76"/>
      <c r="W76"/>
      <c r="X76"/>
      <c r="Y76"/>
      <c r="Z76"/>
      <c r="AA76"/>
      <c r="AB76"/>
      <c r="AC76"/>
      <c r="AD76"/>
      <c r="AE76"/>
    </row>
    <row r="77" spans="4:31" x14ac:dyDescent="0.25">
      <c r="U77"/>
      <c r="V77"/>
      <c r="W77"/>
      <c r="X77"/>
      <c r="Y77"/>
      <c r="Z77"/>
      <c r="AA77"/>
      <c r="AB77"/>
      <c r="AC77"/>
      <c r="AD77"/>
      <c r="AE77"/>
    </row>
    <row r="78" spans="4:31" x14ac:dyDescent="0.25">
      <c r="U78"/>
      <c r="V78"/>
      <c r="W78"/>
      <c r="X78"/>
      <c r="Y78"/>
      <c r="Z78"/>
      <c r="AA78"/>
      <c r="AB78"/>
      <c r="AC78"/>
      <c r="AD78"/>
      <c r="AE78"/>
    </row>
    <row r="79" spans="4:31" x14ac:dyDescent="0.25">
      <c r="U79"/>
      <c r="V79"/>
      <c r="W79"/>
      <c r="X79"/>
      <c r="Y79"/>
      <c r="Z79"/>
      <c r="AA79"/>
      <c r="AB79"/>
      <c r="AC79"/>
      <c r="AD79"/>
      <c r="AE79"/>
    </row>
    <row r="80" spans="4:31" x14ac:dyDescent="0.25">
      <c r="U80"/>
      <c r="V80"/>
      <c r="W80"/>
      <c r="X80"/>
      <c r="Y80"/>
      <c r="Z80"/>
      <c r="AA80"/>
      <c r="AB80"/>
      <c r="AC80"/>
      <c r="AD80"/>
      <c r="AE80"/>
    </row>
    <row r="81" spans="21:31" x14ac:dyDescent="0.25">
      <c r="U81"/>
      <c r="V81"/>
      <c r="W81"/>
      <c r="X81"/>
      <c r="Y81"/>
      <c r="Z81"/>
      <c r="AA81"/>
      <c r="AB81"/>
      <c r="AC81"/>
      <c r="AD81"/>
      <c r="AE81"/>
    </row>
    <row r="82" spans="21:31" x14ac:dyDescent="0.25">
      <c r="U82"/>
      <c r="V82"/>
      <c r="W82"/>
      <c r="X82"/>
      <c r="Y82"/>
      <c r="Z82"/>
      <c r="AA82"/>
      <c r="AB82"/>
      <c r="AC82"/>
      <c r="AD82"/>
      <c r="AE82"/>
    </row>
    <row r="83" spans="21:31" x14ac:dyDescent="0.25">
      <c r="U83"/>
      <c r="V83"/>
      <c r="W83"/>
      <c r="X83"/>
      <c r="Y83"/>
      <c r="Z83"/>
      <c r="AA83"/>
      <c r="AB83"/>
      <c r="AC83"/>
      <c r="AD83"/>
      <c r="AE83"/>
    </row>
  </sheetData>
  <mergeCells count="8">
    <mergeCell ref="P36:R36"/>
    <mergeCell ref="AK18:AN18"/>
    <mergeCell ref="B8:F8"/>
    <mergeCell ref="C9:F9"/>
    <mergeCell ref="Q18:T18"/>
    <mergeCell ref="V18:Y18"/>
    <mergeCell ref="AA18:AD18"/>
    <mergeCell ref="AF18:AI18"/>
  </mergeCells>
  <printOptions horizontalCentered="1"/>
  <pageMargins left="0.7" right="0.7"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2">
    <tabColor rgb="FF00FF00"/>
  </sheetPr>
  <dimension ref="A1:AK52"/>
  <sheetViews>
    <sheetView topLeftCell="A29" zoomScale="115" zoomScaleNormal="115" workbookViewId="0">
      <selection activeCell="K35" sqref="K35:O35"/>
    </sheetView>
  </sheetViews>
  <sheetFormatPr defaultRowHeight="15.75" x14ac:dyDescent="0.25"/>
  <cols>
    <col min="1" max="1" width="9.140625" style="13"/>
    <col min="2" max="5" width="11.85546875" style="13" customWidth="1"/>
    <col min="6" max="9" width="12.5703125" style="13" customWidth="1"/>
    <col min="10" max="10" width="14.140625" style="13" customWidth="1"/>
    <col min="11" max="12" width="17" style="13" customWidth="1"/>
    <col min="13" max="13" width="18.140625" style="13" customWidth="1"/>
    <col min="14" max="17" width="12.7109375" style="13" customWidth="1"/>
    <col min="18" max="21" width="17.5703125" style="13" customWidth="1"/>
    <col min="22" max="25" width="15.140625" style="13" customWidth="1"/>
    <col min="26" max="26" width="11.85546875" style="13" customWidth="1"/>
    <col min="27" max="27" width="13.85546875" style="13" customWidth="1"/>
    <col min="28" max="30" width="9.140625" style="13"/>
    <col min="31" max="33" width="13" style="13" customWidth="1"/>
    <col min="34" max="16384" width="9.140625" style="13"/>
  </cols>
  <sheetData>
    <row r="1" spans="1:27" x14ac:dyDescent="0.25">
      <c r="R1"/>
      <c r="S1"/>
      <c r="T1"/>
      <c r="U1"/>
      <c r="V1"/>
      <c r="W1"/>
      <c r="X1"/>
      <c r="Y1"/>
      <c r="Z1"/>
    </row>
    <row r="2" spans="1:27" x14ac:dyDescent="0.25">
      <c r="A2" s="47" t="s">
        <v>286</v>
      </c>
      <c r="R2"/>
      <c r="S2"/>
      <c r="T2"/>
      <c r="U2"/>
      <c r="V2"/>
      <c r="W2"/>
      <c r="X2"/>
      <c r="Y2"/>
      <c r="Z2"/>
    </row>
    <row r="3" spans="1:27" ht="15.75" customHeight="1" x14ac:dyDescent="0.25">
      <c r="A3" s="738" t="s">
        <v>637</v>
      </c>
      <c r="B3" s="738"/>
      <c r="C3" s="738"/>
      <c r="D3" s="738"/>
      <c r="E3" s="738"/>
      <c r="F3" s="738"/>
      <c r="G3" s="738"/>
      <c r="H3" s="738"/>
      <c r="I3" s="738"/>
      <c r="J3" s="738"/>
      <c r="K3" s="738"/>
      <c r="L3" s="544"/>
      <c r="M3" s="544"/>
      <c r="N3" s="544"/>
      <c r="O3" s="544"/>
      <c r="P3" s="544"/>
      <c r="R3"/>
      <c r="S3"/>
      <c r="T3"/>
      <c r="U3"/>
      <c r="V3"/>
      <c r="W3"/>
      <c r="X3"/>
      <c r="Y3"/>
      <c r="Z3"/>
    </row>
    <row r="4" spans="1:27" x14ac:dyDescent="0.25">
      <c r="B4" s="119"/>
      <c r="C4" s="175"/>
      <c r="D4" s="118"/>
      <c r="E4" s="118"/>
      <c r="F4" s="118"/>
      <c r="G4" s="178"/>
      <c r="J4" s="44"/>
      <c r="K4" t="s">
        <v>552</v>
      </c>
      <c r="L4"/>
      <c r="M4"/>
      <c r="N4"/>
      <c r="O4"/>
      <c r="P4"/>
      <c r="Q4"/>
      <c r="R4"/>
    </row>
    <row r="5" spans="1:27" x14ac:dyDescent="0.25">
      <c r="A5" s="55" t="s">
        <v>111</v>
      </c>
      <c r="B5" s="50" t="s">
        <v>178</v>
      </c>
      <c r="C5" s="50"/>
      <c r="D5" s="50"/>
      <c r="E5" s="50"/>
      <c r="F5" s="50">
        <v>1</v>
      </c>
      <c r="G5" s="50">
        <v>1</v>
      </c>
      <c r="H5" s="50">
        <v>1</v>
      </c>
      <c r="I5" s="33">
        <v>1</v>
      </c>
      <c r="K5" s="33" t="s">
        <v>113</v>
      </c>
      <c r="L5" s="33">
        <v>1</v>
      </c>
      <c r="M5" s="33">
        <v>1</v>
      </c>
      <c r="N5" s="33"/>
      <c r="O5" s="33">
        <v>1</v>
      </c>
      <c r="P5" s="33">
        <v>1</v>
      </c>
      <c r="Q5" s="33">
        <v>1</v>
      </c>
      <c r="R5" s="33">
        <v>1</v>
      </c>
      <c r="T5" s="33" t="s">
        <v>453</v>
      </c>
      <c r="U5" s="33">
        <v>1</v>
      </c>
      <c r="V5" s="33">
        <v>1</v>
      </c>
      <c r="W5" s="33"/>
      <c r="X5" s="33">
        <v>1</v>
      </c>
      <c r="Y5" s="33">
        <v>1</v>
      </c>
      <c r="Z5" s="33">
        <v>1</v>
      </c>
      <c r="AA5" s="33">
        <v>1</v>
      </c>
    </row>
    <row r="6" spans="1:27" ht="31.5" x14ac:dyDescent="0.25">
      <c r="B6" s="165" t="s">
        <v>548</v>
      </c>
      <c r="C6" s="168" t="s">
        <v>549</v>
      </c>
      <c r="D6" s="168" t="s">
        <v>550</v>
      </c>
      <c r="E6" s="168" t="s">
        <v>551</v>
      </c>
      <c r="F6" s="7" t="s">
        <v>527</v>
      </c>
      <c r="G6" s="4" t="s">
        <v>529</v>
      </c>
      <c r="H6" s="4" t="s">
        <v>528</v>
      </c>
      <c r="I6" s="4" t="s">
        <v>530</v>
      </c>
      <c r="K6" s="165" t="s">
        <v>548</v>
      </c>
      <c r="L6" s="168" t="s">
        <v>549</v>
      </c>
      <c r="M6" s="168" t="s">
        <v>550</v>
      </c>
      <c r="N6" s="168" t="s">
        <v>551</v>
      </c>
      <c r="O6" s="7" t="s">
        <v>527</v>
      </c>
      <c r="P6" s="4" t="s">
        <v>529</v>
      </c>
      <c r="Q6" s="4" t="s">
        <v>528</v>
      </c>
      <c r="R6" s="4" t="s">
        <v>530</v>
      </c>
      <c r="T6" s="165" t="s">
        <v>548</v>
      </c>
      <c r="U6" s="168" t="s">
        <v>549</v>
      </c>
      <c r="V6" s="168" t="s">
        <v>550</v>
      </c>
      <c r="W6" s="168" t="s">
        <v>551</v>
      </c>
      <c r="X6" s="7" t="s">
        <v>527</v>
      </c>
      <c r="Y6" s="4" t="s">
        <v>529</v>
      </c>
      <c r="Z6" s="4" t="s">
        <v>528</v>
      </c>
      <c r="AA6" s="4" t="s">
        <v>530</v>
      </c>
    </row>
    <row r="7" spans="1:27" x14ac:dyDescent="0.25">
      <c r="A7" s="600">
        <v>2211</v>
      </c>
      <c r="B7" s="595">
        <v>0.37609733830070802</v>
      </c>
      <c r="C7" s="595">
        <v>0.31326726488636297</v>
      </c>
      <c r="D7" s="595">
        <v>0.220158698953169</v>
      </c>
      <c r="E7" s="595">
        <v>3.9435454447724401E-2</v>
      </c>
      <c r="F7" s="595">
        <v>0.1325549010344374</v>
      </c>
      <c r="G7" s="595">
        <v>0.45795058905120301</v>
      </c>
      <c r="H7" s="595">
        <v>0.45795058905120301</v>
      </c>
      <c r="I7" s="595">
        <v>0.13378184654761696</v>
      </c>
      <c r="K7" s="12">
        <v>0.38161510454909298</v>
      </c>
      <c r="L7" s="45">
        <v>0.27753223766461299</v>
      </c>
      <c r="M7" s="45">
        <v>0.18154923189762501</v>
      </c>
      <c r="N7" s="45">
        <v>5.2308216632556498E-2</v>
      </c>
      <c r="O7" s="12">
        <v>0.34917869517004269</v>
      </c>
      <c r="P7" s="45">
        <v>0.31944310636255824</v>
      </c>
      <c r="Q7" s="45">
        <v>0.35638701254703864</v>
      </c>
      <c r="R7" s="45">
        <v>0.34649687787998273</v>
      </c>
      <c r="T7" s="12">
        <v>0.67500000000000004</v>
      </c>
      <c r="U7" s="45">
        <v>0.49089844241087699</v>
      </c>
      <c r="V7" s="45">
        <v>0.32569619821510698</v>
      </c>
      <c r="W7" s="45">
        <v>0.119527189596614</v>
      </c>
      <c r="X7" s="12">
        <v>0.30725512032809532</v>
      </c>
      <c r="Y7" s="45">
        <v>0.28160466421578961</v>
      </c>
      <c r="Z7" s="45">
        <v>0.313341890600773</v>
      </c>
      <c r="AA7" s="45">
        <v>0.39173073558909866</v>
      </c>
    </row>
    <row r="8" spans="1:27" x14ac:dyDescent="0.25">
      <c r="A8" s="601">
        <v>2213</v>
      </c>
      <c r="B8" s="596">
        <v>0.28581433995072802</v>
      </c>
      <c r="C8" s="596">
        <v>0.27655219033388601</v>
      </c>
      <c r="D8" s="596">
        <v>0.21991682906311</v>
      </c>
      <c r="E8" s="596">
        <v>0.102131375545295</v>
      </c>
      <c r="F8" s="596">
        <v>0.23962118556440795</v>
      </c>
      <c r="G8" s="596">
        <v>0.45100655346567325</v>
      </c>
      <c r="H8" s="596">
        <v>0.45100655346567325</v>
      </c>
      <c r="I8" s="596">
        <v>0.34064406429636424</v>
      </c>
      <c r="K8" s="10">
        <v>0.27028139156217501</v>
      </c>
      <c r="L8" s="44">
        <v>0.23611868073471101</v>
      </c>
      <c r="M8" s="44">
        <v>0.124160584391799</v>
      </c>
      <c r="N8" s="44">
        <v>5.3889364800525398E-2</v>
      </c>
      <c r="O8" s="10">
        <v>0.38059406509519661</v>
      </c>
      <c r="P8" s="44">
        <v>0.44544747590799283</v>
      </c>
      <c r="Q8" s="44">
        <v>0.37673226252939673</v>
      </c>
      <c r="R8" s="44">
        <v>0.35217330514321998</v>
      </c>
      <c r="T8" s="10">
        <v>0.435</v>
      </c>
      <c r="U8" s="44">
        <v>0.372295754821523</v>
      </c>
      <c r="V8" s="44">
        <v>0.23050074923573699</v>
      </c>
      <c r="W8" s="44">
        <v>0.118948898765269</v>
      </c>
      <c r="X8" s="10">
        <v>0.33369412039844498</v>
      </c>
      <c r="Y8" s="44">
        <v>0.37162243331714867</v>
      </c>
      <c r="Z8" s="44">
        <v>0.37916328619799167</v>
      </c>
      <c r="AA8" s="44">
        <v>0.41912420020847452</v>
      </c>
    </row>
    <row r="9" spans="1:27" x14ac:dyDescent="0.25">
      <c r="A9" s="602">
        <v>2215</v>
      </c>
      <c r="B9" s="597">
        <v>0.22897386165316899</v>
      </c>
      <c r="C9" s="597">
        <v>0.177998207972381</v>
      </c>
      <c r="D9" s="597">
        <v>0.16345973848234999</v>
      </c>
      <c r="E9" s="597">
        <v>5.5788067294205497E-2</v>
      </c>
      <c r="F9" s="597">
        <v>0.20849146670350188</v>
      </c>
      <c r="G9" s="597">
        <v>0.33984559126456321</v>
      </c>
      <c r="H9" s="597">
        <v>0.33984559126456321</v>
      </c>
      <c r="I9" s="597">
        <v>0.18533039516194777</v>
      </c>
      <c r="K9" s="11">
        <v>9.6318646759481499E-2</v>
      </c>
      <c r="L9" s="46">
        <v>7.4875561750719105E-2</v>
      </c>
      <c r="M9" s="46">
        <v>6.9865164460042595E-2</v>
      </c>
      <c r="N9" s="46">
        <v>3.1673235332287102E-2</v>
      </c>
      <c r="O9" s="11">
        <v>0.17175089521573084</v>
      </c>
      <c r="P9" s="46">
        <v>0.15591846320553551</v>
      </c>
      <c r="Q9" s="46">
        <v>0.2270348493449165</v>
      </c>
      <c r="R9" s="46">
        <v>0.28103519175821029</v>
      </c>
      <c r="T9" s="11">
        <v>0.22</v>
      </c>
      <c r="U9" s="46">
        <v>0.17102216589786801</v>
      </c>
      <c r="V9" s="46">
        <v>0.15957799136849199</v>
      </c>
      <c r="W9" s="46">
        <v>6.4663130486331794E-2</v>
      </c>
      <c r="X9" s="11">
        <v>0.21085682694836841</v>
      </c>
      <c r="Y9" s="46">
        <v>0.19071966984968802</v>
      </c>
      <c r="Z9" s="46">
        <v>0.28517630755038775</v>
      </c>
      <c r="AA9" s="46">
        <v>0.32070371875559356</v>
      </c>
    </row>
    <row r="10" spans="1:27" ht="15.75" customHeight="1" x14ac:dyDescent="0.25">
      <c r="A10" s="600">
        <v>2219</v>
      </c>
      <c r="B10" s="595">
        <v>0.65967414115573098</v>
      </c>
      <c r="C10" s="595">
        <v>0.43555370869154197</v>
      </c>
      <c r="D10" s="595">
        <v>0.257664338551016</v>
      </c>
      <c r="E10" s="595">
        <v>9.8267376337033502E-2</v>
      </c>
      <c r="F10" s="595">
        <v>0.18699827885492046</v>
      </c>
      <c r="G10" s="595">
        <v>0.35238746353228068</v>
      </c>
      <c r="H10" s="595">
        <v>0.35238746353228068</v>
      </c>
      <c r="I10" s="595">
        <v>0.2353935601477733</v>
      </c>
      <c r="K10" s="12">
        <v>0.256406070633661</v>
      </c>
      <c r="L10" s="45">
        <v>0.23461530644838299</v>
      </c>
      <c r="M10" s="45">
        <v>0.20102295502971501</v>
      </c>
      <c r="N10" s="45">
        <v>9.75400298111289E-2</v>
      </c>
      <c r="O10" s="12">
        <v>0.19404412949535604</v>
      </c>
      <c r="P10" s="45">
        <v>0.25618014926289967</v>
      </c>
      <c r="Q10" s="45">
        <v>0.38291747050507496</v>
      </c>
      <c r="R10" s="45">
        <v>0.40034968676801136</v>
      </c>
      <c r="T10" s="12">
        <v>0.46</v>
      </c>
      <c r="U10" s="45">
        <v>0.42090673087241698</v>
      </c>
      <c r="V10" s="45">
        <v>0.36064106861879303</v>
      </c>
      <c r="W10" s="45">
        <v>0.176527801195971</v>
      </c>
      <c r="X10" s="12">
        <v>0.17459517239348976</v>
      </c>
      <c r="Y10" s="45">
        <v>0.23178880124914458</v>
      </c>
      <c r="Z10" s="45">
        <v>0.34268653601623922</v>
      </c>
      <c r="AA10" s="45">
        <v>0.36387313319002473</v>
      </c>
    </row>
    <row r="11" spans="1:27" x14ac:dyDescent="0.25">
      <c r="A11" s="601">
        <v>2221</v>
      </c>
      <c r="B11" s="596">
        <v>0.38391663133995801</v>
      </c>
      <c r="C11" s="596">
        <v>0.18420994234808</v>
      </c>
      <c r="D11" s="596">
        <v>0.123496960723727</v>
      </c>
      <c r="E11" s="596">
        <v>0.11394516141913601</v>
      </c>
      <c r="F11" s="596">
        <v>0.25086881577226472</v>
      </c>
      <c r="G11" s="596">
        <v>0.27454843836734305</v>
      </c>
      <c r="H11" s="596">
        <v>0.27454843836734305</v>
      </c>
      <c r="I11" s="596">
        <v>0.37060647216461112</v>
      </c>
      <c r="K11" s="10">
        <v>0.28857430554971403</v>
      </c>
      <c r="L11" s="44">
        <v>0.23975170964770401</v>
      </c>
      <c r="M11" s="44">
        <v>0.15644560418637601</v>
      </c>
      <c r="N11" s="44">
        <v>6.3806887996528006E-2</v>
      </c>
      <c r="O11" s="10">
        <v>0.27604029818178177</v>
      </c>
      <c r="P11" s="44">
        <v>0.34587265582327531</v>
      </c>
      <c r="Q11" s="44">
        <v>0.33842624568837809</v>
      </c>
      <c r="R11" s="44">
        <v>0.27883874561255445</v>
      </c>
      <c r="T11" s="10">
        <v>0.55000000000000004</v>
      </c>
      <c r="U11" s="44">
        <v>0.46275757273067802</v>
      </c>
      <c r="V11" s="44">
        <v>0.30196401170215897</v>
      </c>
      <c r="W11" s="44">
        <v>0.13623453245516001</v>
      </c>
      <c r="X11" s="10">
        <v>0.31160395229616683</v>
      </c>
      <c r="Y11" s="44">
        <v>0.39341449515906746</v>
      </c>
      <c r="Z11" s="44">
        <v>0.38866073738156898</v>
      </c>
      <c r="AA11" s="44">
        <v>0.3564263613104855</v>
      </c>
    </row>
    <row r="12" spans="1:27" x14ac:dyDescent="0.25">
      <c r="A12" s="602">
        <v>2223</v>
      </c>
      <c r="B12" s="597">
        <v>0.27125864938136002</v>
      </c>
      <c r="C12" s="597">
        <v>0.23804115616445501</v>
      </c>
      <c r="D12" s="597">
        <v>0.196128456553325</v>
      </c>
      <c r="E12" s="597">
        <v>9.0028305008883494E-2</v>
      </c>
      <c r="F12" s="597">
        <v>0.22293000611227209</v>
      </c>
      <c r="G12" s="597">
        <v>0.34336074708798187</v>
      </c>
      <c r="H12" s="597">
        <v>0.34336074708798187</v>
      </c>
      <c r="I12" s="597">
        <v>0.25266315903560016</v>
      </c>
      <c r="K12" s="11">
        <v>0.22411140007763</v>
      </c>
      <c r="L12" s="46">
        <v>0.21062183616880101</v>
      </c>
      <c r="M12" s="46">
        <v>0.188564649242353</v>
      </c>
      <c r="N12" s="46">
        <v>5.9551214798816303E-2</v>
      </c>
      <c r="O12" s="11">
        <v>0.20931276140358743</v>
      </c>
      <c r="P12" s="46">
        <v>0.26112078431452518</v>
      </c>
      <c r="Q12" s="46">
        <v>0.38292435109330125</v>
      </c>
      <c r="R12" s="46">
        <v>0.25400484928977496</v>
      </c>
      <c r="T12" s="11">
        <v>0.375</v>
      </c>
      <c r="U12" s="46">
        <v>0.33677971382037297</v>
      </c>
      <c r="V12" s="46">
        <v>0.29688534477849399</v>
      </c>
      <c r="W12" s="46">
        <v>0.10664525022480301</v>
      </c>
      <c r="X12" s="11">
        <v>0.24813414448978083</v>
      </c>
      <c r="Y12" s="46">
        <v>0.28769476564371993</v>
      </c>
      <c r="Z12" s="46">
        <v>0.41671856812023012</v>
      </c>
      <c r="AA12" s="46">
        <v>0.31851789525862795</v>
      </c>
    </row>
    <row r="13" spans="1:27" ht="18.75" x14ac:dyDescent="0.25">
      <c r="A13" s="189" t="s">
        <v>209</v>
      </c>
      <c r="S13"/>
      <c r="T13"/>
      <c r="U13"/>
      <c r="V13"/>
      <c r="W13"/>
      <c r="X13"/>
      <c r="Y13"/>
      <c r="Z13"/>
    </row>
    <row r="14" spans="1:27" ht="18.75" x14ac:dyDescent="0.35">
      <c r="A14" s="13" t="s">
        <v>204</v>
      </c>
    </row>
    <row r="16" spans="1:27" x14ac:dyDescent="0.25">
      <c r="A16" s="615" t="s">
        <v>36</v>
      </c>
      <c r="B16" s="606">
        <f t="shared" ref="B16" si="0">MIN(B7:B12)</f>
        <v>0.22897386165316899</v>
      </c>
      <c r="C16" s="607">
        <f>MIN(C7:C12)</f>
        <v>0.177998207972381</v>
      </c>
      <c r="D16" s="607">
        <f t="shared" ref="D16:I16" si="1">MIN(D7:D12)</f>
        <v>0.123496960723727</v>
      </c>
      <c r="E16" s="608">
        <f t="shared" si="1"/>
        <v>3.9435454447724401E-2</v>
      </c>
      <c r="F16" s="606">
        <f t="shared" si="1"/>
        <v>0.1325549010344374</v>
      </c>
      <c r="G16" s="607">
        <f t="shared" si="1"/>
        <v>0.27454843836734305</v>
      </c>
      <c r="H16" s="607">
        <f t="shared" si="1"/>
        <v>0.27454843836734305</v>
      </c>
      <c r="I16" s="608">
        <f t="shared" si="1"/>
        <v>0.13378184654761696</v>
      </c>
      <c r="K16" s="18">
        <f>MIN(F7:I12)</f>
        <v>0.1325549010344374</v>
      </c>
    </row>
    <row r="17" spans="1:37" x14ac:dyDescent="0.25">
      <c r="A17" s="616" t="s">
        <v>35</v>
      </c>
      <c r="B17" s="609">
        <f t="shared" ref="B17" si="2">MAX(B7:B12)</f>
        <v>0.65967414115573098</v>
      </c>
      <c r="C17" s="610">
        <f>MAX(C7:C12)</f>
        <v>0.43555370869154197</v>
      </c>
      <c r="D17" s="610">
        <f t="shared" ref="D17:I17" si="3">MAX(D7:D12)</f>
        <v>0.257664338551016</v>
      </c>
      <c r="E17" s="611">
        <f t="shared" si="3"/>
        <v>0.11394516141913601</v>
      </c>
      <c r="F17" s="609">
        <f t="shared" si="3"/>
        <v>0.25086881577226472</v>
      </c>
      <c r="G17" s="610">
        <f t="shared" si="3"/>
        <v>0.45795058905120301</v>
      </c>
      <c r="H17" s="610">
        <f t="shared" si="3"/>
        <v>0.45795058905120301</v>
      </c>
      <c r="I17" s="611">
        <f t="shared" si="3"/>
        <v>0.37060647216461112</v>
      </c>
      <c r="K17" s="18">
        <f>MAX(F7:I12)</f>
        <v>0.45795058905120301</v>
      </c>
    </row>
    <row r="18" spans="1:37" x14ac:dyDescent="0.25">
      <c r="A18" s="617" t="s">
        <v>136</v>
      </c>
      <c r="B18" s="612">
        <f t="shared" ref="B18" si="4">AVERAGE(B7:B12)</f>
        <v>0.36762249363027566</v>
      </c>
      <c r="C18" s="613">
        <f>AVERAGE(C7:C12)</f>
        <v>0.27093707839945119</v>
      </c>
      <c r="D18" s="613">
        <f t="shared" ref="D18:I18" si="5">AVERAGE(D7:D12)</f>
        <v>0.19680417038778283</v>
      </c>
      <c r="E18" s="614">
        <f t="shared" si="5"/>
        <v>8.3265956675379657E-2</v>
      </c>
      <c r="F18" s="612">
        <f t="shared" si="5"/>
        <v>0.20691077567363411</v>
      </c>
      <c r="G18" s="613">
        <f t="shared" si="5"/>
        <v>0.36984989712817423</v>
      </c>
      <c r="H18" s="613">
        <f t="shared" si="5"/>
        <v>0.36984989712817423</v>
      </c>
      <c r="I18" s="614">
        <f t="shared" si="5"/>
        <v>0.25306991622565228</v>
      </c>
    </row>
    <row r="19" spans="1:37" x14ac:dyDescent="0.25">
      <c r="F19" s="10"/>
      <c r="G19" s="10"/>
      <c r="H19" s="10"/>
      <c r="I19" s="10"/>
      <c r="J19" s="10"/>
      <c r="K19" s="10"/>
      <c r="L19" s="10"/>
      <c r="M19" s="10"/>
      <c r="N19" s="10"/>
      <c r="O19" s="10"/>
      <c r="P19" s="10"/>
      <c r="T19" s="10"/>
      <c r="U19" s="10"/>
      <c r="V19" s="10"/>
    </row>
    <row r="20" spans="1:37" customFormat="1" x14ac:dyDescent="0.25">
      <c r="A20" s="206" t="s">
        <v>207</v>
      </c>
      <c r="B20" s="124"/>
      <c r="C20" s="13"/>
      <c r="D20" s="13"/>
      <c r="E20" s="13"/>
      <c r="F20" s="13"/>
      <c r="G20" s="13"/>
      <c r="H20" s="13"/>
      <c r="I20" s="13"/>
      <c r="J20" s="10"/>
      <c r="K20" s="10"/>
      <c r="L20" s="10"/>
      <c r="M20" s="10"/>
      <c r="N20" s="13"/>
      <c r="O20" s="13"/>
      <c r="P20" s="13"/>
      <c r="Q20" s="13"/>
      <c r="R20" s="13"/>
      <c r="S20" s="13"/>
      <c r="T20" s="13"/>
      <c r="U20" s="13"/>
      <c r="V20" s="10"/>
      <c r="W20" s="10"/>
      <c r="X20" s="10"/>
      <c r="Y20" s="13"/>
    </row>
    <row r="21" spans="1:37" customFormat="1" x14ac:dyDescent="0.25">
      <c r="A21" s="13"/>
      <c r="B21" s="33" t="s">
        <v>178</v>
      </c>
      <c r="C21" s="33"/>
      <c r="D21" s="33"/>
      <c r="E21" s="33"/>
      <c r="F21" s="33"/>
      <c r="G21" s="33"/>
      <c r="H21" s="33"/>
      <c r="I21" s="33"/>
      <c r="J21" s="50"/>
      <c r="K21" s="50"/>
      <c r="L21" s="50"/>
      <c r="M21" s="50"/>
      <c r="N21" s="33" t="s">
        <v>113</v>
      </c>
      <c r="O21" s="33"/>
      <c r="P21" s="33"/>
      <c r="Q21" s="33"/>
      <c r="R21" s="33"/>
      <c r="S21" s="33"/>
      <c r="T21" s="33"/>
      <c r="U21" s="13"/>
      <c r="V21" s="13"/>
      <c r="W21" s="13"/>
      <c r="X21" s="13"/>
      <c r="Y21" s="13"/>
      <c r="Z21" s="33" t="s">
        <v>112</v>
      </c>
      <c r="AA21" s="33"/>
      <c r="AB21" s="33"/>
      <c r="AC21" s="33"/>
      <c r="AD21" s="33"/>
      <c r="AE21" s="33"/>
      <c r="AF21" s="33"/>
      <c r="AG21" s="33"/>
      <c r="AH21" s="50"/>
      <c r="AI21" s="50"/>
      <c r="AJ21" s="50"/>
      <c r="AK21" s="50"/>
    </row>
    <row r="22" spans="1:37" customFormat="1" ht="47.25" x14ac:dyDescent="0.25">
      <c r="A22" s="55" t="s">
        <v>111</v>
      </c>
      <c r="B22" s="193" t="s">
        <v>512</v>
      </c>
      <c r="C22" s="193" t="s">
        <v>514</v>
      </c>
      <c r="D22" s="193" t="s">
        <v>516</v>
      </c>
      <c r="E22" s="193" t="s">
        <v>518</v>
      </c>
      <c r="F22" s="168" t="s">
        <v>531</v>
      </c>
      <c r="G22" s="168" t="s">
        <v>532</v>
      </c>
      <c r="H22" s="168" t="s">
        <v>533</v>
      </c>
      <c r="I22" s="168" t="s">
        <v>534</v>
      </c>
      <c r="J22" s="5" t="s">
        <v>527</v>
      </c>
      <c r="K22" s="5" t="s">
        <v>529</v>
      </c>
      <c r="L22" s="5" t="s">
        <v>528</v>
      </c>
      <c r="M22" s="5" t="s">
        <v>530</v>
      </c>
      <c r="N22" s="193" t="s">
        <v>535</v>
      </c>
      <c r="O22" s="193" t="s">
        <v>537</v>
      </c>
      <c r="P22" s="193" t="s">
        <v>539</v>
      </c>
      <c r="Q22" s="193" t="s">
        <v>541</v>
      </c>
      <c r="R22" s="165" t="s">
        <v>523</v>
      </c>
      <c r="S22" s="168" t="s">
        <v>524</v>
      </c>
      <c r="T22" s="168" t="s">
        <v>525</v>
      </c>
      <c r="U22" s="168" t="s">
        <v>526</v>
      </c>
      <c r="V22" s="7" t="s">
        <v>527</v>
      </c>
      <c r="W22" s="4" t="s">
        <v>529</v>
      </c>
      <c r="X22" s="4" t="s">
        <v>528</v>
      </c>
      <c r="Y22" s="4" t="s">
        <v>530</v>
      </c>
      <c r="Z22" s="193" t="s">
        <v>504</v>
      </c>
      <c r="AA22" s="193" t="s">
        <v>506</v>
      </c>
      <c r="AB22" s="193" t="s">
        <v>508</v>
      </c>
      <c r="AC22" s="193" t="s">
        <v>510</v>
      </c>
      <c r="AD22" s="168" t="s">
        <v>543</v>
      </c>
      <c r="AE22" s="168" t="s">
        <v>544</v>
      </c>
      <c r="AF22" s="168" t="s">
        <v>555</v>
      </c>
      <c r="AG22" s="168" t="s">
        <v>545</v>
      </c>
      <c r="AH22" s="5" t="s">
        <v>527</v>
      </c>
      <c r="AI22" s="5" t="s">
        <v>529</v>
      </c>
      <c r="AJ22" s="5" t="s">
        <v>528</v>
      </c>
      <c r="AK22" s="5" t="s">
        <v>530</v>
      </c>
    </row>
    <row r="23" spans="1:37" customFormat="1" x14ac:dyDescent="0.25">
      <c r="A23" s="55">
        <v>2211</v>
      </c>
      <c r="B23" s="194">
        <v>0.61542853557325605</v>
      </c>
      <c r="C23" s="196">
        <v>0.480747714309749</v>
      </c>
      <c r="D23" s="196">
        <v>0.294774331984483</v>
      </c>
      <c r="E23" s="196">
        <v>8.1578068626681696E-2</v>
      </c>
      <c r="F23" s="12">
        <v>0.37609733830070802</v>
      </c>
      <c r="G23" s="12">
        <v>0.31326726488636297</v>
      </c>
      <c r="H23" s="45">
        <v>0.220158698953169</v>
      </c>
      <c r="I23" s="45">
        <v>3.9435454447724401E-2</v>
      </c>
      <c r="J23" s="12">
        <f t="shared" ref="J23:J28" si="6">E23/B23</f>
        <v>0.1325549010344374</v>
      </c>
      <c r="K23" s="45">
        <f t="shared" ref="K23:K28" si="7">H23/C23</f>
        <v>0.45795058905120301</v>
      </c>
      <c r="L23" s="45">
        <f t="shared" ref="L23:M28" si="8">H23/C23</f>
        <v>0.45795058905120301</v>
      </c>
      <c r="M23" s="45">
        <f t="shared" si="8"/>
        <v>0.13378184654761696</v>
      </c>
      <c r="N23" s="194">
        <v>1.0928934377375299</v>
      </c>
      <c r="O23" s="196">
        <v>0.86880020929179902</v>
      </c>
      <c r="P23" s="196">
        <v>0.50941595935307205</v>
      </c>
      <c r="Q23" s="196">
        <v>0.15096302440761</v>
      </c>
      <c r="R23" s="12">
        <v>0.38161510454909298</v>
      </c>
      <c r="S23" s="45">
        <v>0.27753223766461299</v>
      </c>
      <c r="T23" s="45">
        <v>0.18154923189762501</v>
      </c>
      <c r="U23" s="45">
        <v>5.2308216632556498E-2</v>
      </c>
      <c r="V23" s="12">
        <f t="shared" ref="V23:Y28" si="9">R23/N23</f>
        <v>0.34917869517004269</v>
      </c>
      <c r="W23" s="45">
        <f t="shared" si="9"/>
        <v>0.31944310636255824</v>
      </c>
      <c r="X23" s="45">
        <f t="shared" si="9"/>
        <v>0.35638701254703864</v>
      </c>
      <c r="Y23" s="45">
        <f t="shared" si="9"/>
        <v>0.34649687787998273</v>
      </c>
      <c r="Z23" s="194">
        <v>2.1968714444179702</v>
      </c>
      <c r="AA23" s="196">
        <v>1.7432184363065399</v>
      </c>
      <c r="AB23" s="196">
        <v>1.0394275645386799</v>
      </c>
      <c r="AC23" s="196">
        <v>0.305125890662791</v>
      </c>
      <c r="AD23" s="12">
        <v>0.67500000000000004</v>
      </c>
      <c r="AE23" s="12">
        <v>0.49089844241087699</v>
      </c>
      <c r="AF23" s="45">
        <v>0.32569619821510698</v>
      </c>
      <c r="AG23" s="45">
        <v>0.119527189596614</v>
      </c>
      <c r="AH23" s="12">
        <f t="shared" ref="AH23:AK28" si="10">AD23/Z23</f>
        <v>0.30725512032809532</v>
      </c>
      <c r="AI23" s="45">
        <f t="shared" si="10"/>
        <v>0.28160466421578961</v>
      </c>
      <c r="AJ23" s="45">
        <f t="shared" si="10"/>
        <v>0.313341890600773</v>
      </c>
      <c r="AK23" s="45">
        <f t="shared" si="10"/>
        <v>0.39173073558909866</v>
      </c>
    </row>
    <row r="24" spans="1:37" customFormat="1" x14ac:dyDescent="0.25">
      <c r="A24" s="42">
        <v>2213</v>
      </c>
      <c r="B24" s="198">
        <v>0.60356346302022501</v>
      </c>
      <c r="C24" s="200">
        <v>0.48761337806114202</v>
      </c>
      <c r="D24" s="200">
        <v>0.29981845054678402</v>
      </c>
      <c r="E24" s="200">
        <v>0.14462659257226601</v>
      </c>
      <c r="F24" s="10">
        <v>0.28581433995072802</v>
      </c>
      <c r="G24" s="10">
        <v>0.27655219033388601</v>
      </c>
      <c r="H24" s="44">
        <v>0.21991682906311</v>
      </c>
      <c r="I24" s="44">
        <v>0.102131375545295</v>
      </c>
      <c r="J24" s="10">
        <f t="shared" si="6"/>
        <v>0.23962118556440795</v>
      </c>
      <c r="K24" s="44">
        <f t="shared" si="7"/>
        <v>0.45100655346567325</v>
      </c>
      <c r="L24" s="44">
        <f t="shared" si="8"/>
        <v>0.45100655346567325</v>
      </c>
      <c r="M24" s="44">
        <f t="shared" si="8"/>
        <v>0.34064406429636424</v>
      </c>
      <c r="N24" s="198">
        <v>0.71015661133488905</v>
      </c>
      <c r="O24" s="200">
        <v>0.53007075694706896</v>
      </c>
      <c r="P24" s="200">
        <v>0.32957247557769398</v>
      </c>
      <c r="Q24" s="200">
        <v>0.15301944813395199</v>
      </c>
      <c r="R24" s="10">
        <v>0.27028139156217501</v>
      </c>
      <c r="S24" s="44">
        <v>0.23611868073471101</v>
      </c>
      <c r="T24" s="44">
        <v>0.124160584391799</v>
      </c>
      <c r="U24" s="44">
        <v>5.3889364800525398E-2</v>
      </c>
      <c r="V24" s="10">
        <f t="shared" si="9"/>
        <v>0.38059406509519661</v>
      </c>
      <c r="W24" s="44">
        <f t="shared" si="9"/>
        <v>0.44544747590799283</v>
      </c>
      <c r="X24" s="44">
        <f t="shared" si="9"/>
        <v>0.37673226252939673</v>
      </c>
      <c r="Y24" s="44">
        <f t="shared" si="9"/>
        <v>0.35217330514321998</v>
      </c>
      <c r="Z24" s="198">
        <v>1.30358904580216</v>
      </c>
      <c r="AA24" s="200">
        <v>1.0018118429998</v>
      </c>
      <c r="AB24" s="200">
        <v>0.60791948383782601</v>
      </c>
      <c r="AC24" s="200">
        <v>0.28380346137517998</v>
      </c>
      <c r="AD24" s="10">
        <v>0.435</v>
      </c>
      <c r="AE24" s="10">
        <v>0.372295754821523</v>
      </c>
      <c r="AF24" s="44">
        <v>0.23050074923573699</v>
      </c>
      <c r="AG24" s="44">
        <v>0.118948898765269</v>
      </c>
      <c r="AH24" s="10">
        <f t="shared" si="10"/>
        <v>0.33369412039844498</v>
      </c>
      <c r="AI24" s="44">
        <f t="shared" si="10"/>
        <v>0.37162243331714867</v>
      </c>
      <c r="AJ24" s="44">
        <f t="shared" si="10"/>
        <v>0.37916328619799167</v>
      </c>
      <c r="AK24" s="44">
        <f t="shared" si="10"/>
        <v>0.41912420020847452</v>
      </c>
    </row>
    <row r="25" spans="1:37" customFormat="1" x14ac:dyDescent="0.25">
      <c r="A25" s="14">
        <v>2215</v>
      </c>
      <c r="B25" s="202">
        <v>0.566552841883322</v>
      </c>
      <c r="C25" s="204">
        <v>0.48098237165330698</v>
      </c>
      <c r="D25" s="204">
        <v>0.30101952378322</v>
      </c>
      <c r="E25" s="204">
        <v>0.11812143296929099</v>
      </c>
      <c r="F25" s="11">
        <v>0.22897386165316899</v>
      </c>
      <c r="G25" s="11">
        <v>0.177998207972381</v>
      </c>
      <c r="H25" s="46">
        <v>0.16345973848234999</v>
      </c>
      <c r="I25" s="46">
        <v>5.5788067294205497E-2</v>
      </c>
      <c r="J25" s="11">
        <f t="shared" si="6"/>
        <v>0.20849146670350188</v>
      </c>
      <c r="K25" s="46">
        <f t="shared" si="7"/>
        <v>0.33984559126456321</v>
      </c>
      <c r="L25" s="46">
        <f t="shared" si="8"/>
        <v>0.33984559126456321</v>
      </c>
      <c r="M25" s="46">
        <f t="shared" si="8"/>
        <v>0.18533039516194777</v>
      </c>
      <c r="N25" s="202">
        <v>0.56080433606182201</v>
      </c>
      <c r="O25" s="204">
        <v>0.48022254844839202</v>
      </c>
      <c r="P25" s="204">
        <v>0.30772881194948998</v>
      </c>
      <c r="Q25" s="204">
        <v>0.112702025444334</v>
      </c>
      <c r="R25" s="11">
        <v>9.6318646759481499E-2</v>
      </c>
      <c r="S25" s="46">
        <v>7.4875561750719105E-2</v>
      </c>
      <c r="T25" s="46">
        <v>6.9865164460042595E-2</v>
      </c>
      <c r="U25" s="46">
        <v>3.1673235332287102E-2</v>
      </c>
      <c r="V25" s="11">
        <f t="shared" si="9"/>
        <v>0.17175089521573084</v>
      </c>
      <c r="W25" s="46">
        <f t="shared" si="9"/>
        <v>0.15591846320553551</v>
      </c>
      <c r="X25" s="46">
        <f t="shared" si="9"/>
        <v>0.2270348493449165</v>
      </c>
      <c r="Y25" s="46">
        <f t="shared" si="9"/>
        <v>0.28103519175821029</v>
      </c>
      <c r="Z25" s="202">
        <v>1.0433619967821599</v>
      </c>
      <c r="AA25" s="204">
        <v>0.89672012348100105</v>
      </c>
      <c r="AB25" s="204">
        <v>0.55957660977953505</v>
      </c>
      <c r="AC25" s="204">
        <v>0.20162887645095001</v>
      </c>
      <c r="AD25" s="11">
        <v>0.22</v>
      </c>
      <c r="AE25" s="11">
        <v>0.17102216589786801</v>
      </c>
      <c r="AF25" s="46">
        <v>0.15957799136849199</v>
      </c>
      <c r="AG25" s="46">
        <v>6.4663130486331794E-2</v>
      </c>
      <c r="AH25" s="11">
        <f t="shared" si="10"/>
        <v>0.21085682694836841</v>
      </c>
      <c r="AI25" s="46">
        <f t="shared" si="10"/>
        <v>0.19071966984968802</v>
      </c>
      <c r="AJ25" s="46">
        <f t="shared" si="10"/>
        <v>0.28517630755038775</v>
      </c>
      <c r="AK25" s="46">
        <f t="shared" si="10"/>
        <v>0.32070371875559356</v>
      </c>
    </row>
    <row r="26" spans="1:37" customFormat="1" x14ac:dyDescent="0.25">
      <c r="A26" s="55">
        <v>2219</v>
      </c>
      <c r="B26" s="194">
        <v>1.04213221837993</v>
      </c>
      <c r="C26" s="196">
        <v>0.731196098658636</v>
      </c>
      <c r="D26" s="196">
        <v>0.41745991808503202</v>
      </c>
      <c r="E26" s="196">
        <v>0.194876931176307</v>
      </c>
      <c r="F26" s="12">
        <v>0.65967414115573098</v>
      </c>
      <c r="G26" s="12">
        <v>0.43555370869154197</v>
      </c>
      <c r="H26" s="45">
        <v>0.257664338551016</v>
      </c>
      <c r="I26" s="45">
        <v>9.8267376337033502E-2</v>
      </c>
      <c r="J26" s="12">
        <f t="shared" si="6"/>
        <v>0.18699827885492046</v>
      </c>
      <c r="K26" s="45">
        <f t="shared" si="7"/>
        <v>0.35238746353228068</v>
      </c>
      <c r="L26" s="45">
        <f t="shared" si="8"/>
        <v>0.35238746353228068</v>
      </c>
      <c r="M26" s="45">
        <f t="shared" si="8"/>
        <v>0.2353935601477733</v>
      </c>
      <c r="N26" s="194">
        <v>1.32138019996012</v>
      </c>
      <c r="O26" s="196">
        <v>0.91582156979545604</v>
      </c>
      <c r="P26" s="196">
        <v>0.52497723534150098</v>
      </c>
      <c r="Q26" s="196">
        <v>0.243637082867633</v>
      </c>
      <c r="R26" s="12">
        <v>0.256406070633661</v>
      </c>
      <c r="S26" s="45">
        <v>0.23461530644838299</v>
      </c>
      <c r="T26" s="45">
        <v>0.20102295502971501</v>
      </c>
      <c r="U26" s="45">
        <v>9.75400298111289E-2</v>
      </c>
      <c r="V26" s="12">
        <f t="shared" si="9"/>
        <v>0.19404412949535604</v>
      </c>
      <c r="W26" s="45">
        <f t="shared" si="9"/>
        <v>0.25618014926289967</v>
      </c>
      <c r="X26" s="45">
        <f t="shared" si="9"/>
        <v>0.38291747050507496</v>
      </c>
      <c r="Y26" s="45">
        <f t="shared" si="9"/>
        <v>0.40034968676801136</v>
      </c>
      <c r="Z26" s="194">
        <v>2.6346662035035302</v>
      </c>
      <c r="AA26" s="196">
        <v>1.8159062413890901</v>
      </c>
      <c r="AB26" s="196">
        <v>1.05239345791427</v>
      </c>
      <c r="AC26" s="196">
        <v>0.48513557362253301</v>
      </c>
      <c r="AD26" s="12">
        <v>0.46</v>
      </c>
      <c r="AE26" s="12">
        <v>0.42090673087241698</v>
      </c>
      <c r="AF26" s="45">
        <v>0.36064106861879303</v>
      </c>
      <c r="AG26" s="45">
        <v>0.176527801195971</v>
      </c>
      <c r="AH26" s="12">
        <f t="shared" si="10"/>
        <v>0.17459517239348976</v>
      </c>
      <c r="AI26" s="45">
        <f t="shared" si="10"/>
        <v>0.23178880124914458</v>
      </c>
      <c r="AJ26" s="45">
        <f t="shared" si="10"/>
        <v>0.34268653601623922</v>
      </c>
      <c r="AK26" s="45">
        <f t="shared" si="10"/>
        <v>0.36387313319002473</v>
      </c>
    </row>
    <row r="27" spans="1:37" customFormat="1" x14ac:dyDescent="0.25">
      <c r="A27" s="42">
        <v>2221</v>
      </c>
      <c r="B27" s="198">
        <v>0.66601816034591499</v>
      </c>
      <c r="C27" s="200">
        <v>0.44981847814588299</v>
      </c>
      <c r="D27" s="200">
        <v>0.30745594040388302</v>
      </c>
      <c r="E27" s="200">
        <v>0.16708318716880199</v>
      </c>
      <c r="F27" s="10">
        <v>0.38391663133995801</v>
      </c>
      <c r="G27" s="10">
        <v>0.18420994234808</v>
      </c>
      <c r="H27" s="44">
        <v>0.123496960723727</v>
      </c>
      <c r="I27" s="44">
        <v>0.11394516141913601</v>
      </c>
      <c r="J27" s="10">
        <f t="shared" si="6"/>
        <v>0.25086881577226472</v>
      </c>
      <c r="K27" s="44">
        <f t="shared" si="7"/>
        <v>0.27454843836734305</v>
      </c>
      <c r="L27" s="44">
        <f t="shared" si="8"/>
        <v>0.27454843836734305</v>
      </c>
      <c r="M27" s="44">
        <f t="shared" si="8"/>
        <v>0.37060647216461112</v>
      </c>
      <c r="N27" s="198">
        <v>1.0454064404744201</v>
      </c>
      <c r="O27" s="200">
        <v>0.69317913865444702</v>
      </c>
      <c r="P27" s="200">
        <v>0.46227385192350201</v>
      </c>
      <c r="Q27" s="200">
        <v>0.228830781232919</v>
      </c>
      <c r="R27" s="10">
        <v>0.28857430554971403</v>
      </c>
      <c r="S27" s="44">
        <v>0.23975170964770401</v>
      </c>
      <c r="T27" s="44">
        <v>0.15644560418637601</v>
      </c>
      <c r="U27" s="44">
        <v>6.3806887996528006E-2</v>
      </c>
      <c r="V27" s="10">
        <f t="shared" si="9"/>
        <v>0.27604029818178177</v>
      </c>
      <c r="W27" s="44">
        <f t="shared" si="9"/>
        <v>0.34587265582327531</v>
      </c>
      <c r="X27" s="44">
        <f t="shared" si="9"/>
        <v>0.33842624568837809</v>
      </c>
      <c r="Y27" s="44">
        <f t="shared" si="9"/>
        <v>0.27883874561255445</v>
      </c>
      <c r="Z27" s="198">
        <v>1.7650610524902699</v>
      </c>
      <c r="AA27" s="200">
        <v>1.17625958988515</v>
      </c>
      <c r="AB27" s="200">
        <v>0.77693469563328899</v>
      </c>
      <c r="AC27" s="200">
        <v>0.38222350320627702</v>
      </c>
      <c r="AD27" s="10">
        <v>0.55000000000000004</v>
      </c>
      <c r="AE27" s="10">
        <v>0.46275757273067802</v>
      </c>
      <c r="AF27" s="44">
        <v>0.30196401170215897</v>
      </c>
      <c r="AG27" s="44">
        <v>0.13623453245516001</v>
      </c>
      <c r="AH27" s="10">
        <f t="shared" si="10"/>
        <v>0.31160395229616683</v>
      </c>
      <c r="AI27" s="44">
        <f t="shared" si="10"/>
        <v>0.39341449515906746</v>
      </c>
      <c r="AJ27" s="44">
        <f t="shared" si="10"/>
        <v>0.38866073738156898</v>
      </c>
      <c r="AK27" s="44">
        <f t="shared" si="10"/>
        <v>0.3564263613104855</v>
      </c>
    </row>
    <row r="28" spans="1:37" customFormat="1" x14ac:dyDescent="0.25">
      <c r="A28" s="14">
        <v>2223</v>
      </c>
      <c r="B28" s="202">
        <v>0.774961899324492</v>
      </c>
      <c r="C28" s="204">
        <v>0.57120232355234701</v>
      </c>
      <c r="D28" s="204">
        <v>0.35631749936364299</v>
      </c>
      <c r="E28" s="204">
        <v>0.172762260953187</v>
      </c>
      <c r="F28" s="11">
        <v>0.27125864938136002</v>
      </c>
      <c r="G28" s="11">
        <v>0.23804115616445501</v>
      </c>
      <c r="H28" s="46">
        <v>0.196128456553325</v>
      </c>
      <c r="I28" s="46">
        <v>9.0028305008883494E-2</v>
      </c>
      <c r="J28" s="11">
        <f t="shared" si="6"/>
        <v>0.22293000611227209</v>
      </c>
      <c r="K28" s="46">
        <f t="shared" si="7"/>
        <v>0.34336074708798187</v>
      </c>
      <c r="L28" s="46">
        <f t="shared" si="8"/>
        <v>0.34336074708798187</v>
      </c>
      <c r="M28" s="46">
        <f t="shared" si="8"/>
        <v>0.25266315903560016</v>
      </c>
      <c r="N28" s="202">
        <v>1.07070108183948</v>
      </c>
      <c r="O28" s="204">
        <v>0.80660693755845503</v>
      </c>
      <c r="P28" s="204">
        <v>0.49243316259197201</v>
      </c>
      <c r="Q28" s="204">
        <v>0.23444912553964201</v>
      </c>
      <c r="R28" s="11">
        <v>0.22411140007763</v>
      </c>
      <c r="S28" s="46">
        <v>0.21062183616880101</v>
      </c>
      <c r="T28" s="46">
        <v>0.188564649242353</v>
      </c>
      <c r="U28" s="46">
        <v>5.9551214798816303E-2</v>
      </c>
      <c r="V28" s="11">
        <f t="shared" si="9"/>
        <v>0.20931276140358743</v>
      </c>
      <c r="W28" s="46">
        <f t="shared" si="9"/>
        <v>0.26112078431452518</v>
      </c>
      <c r="X28" s="46">
        <f t="shared" si="9"/>
        <v>0.38292435109330125</v>
      </c>
      <c r="Y28" s="46">
        <f t="shared" si="9"/>
        <v>0.25400484928977496</v>
      </c>
      <c r="Z28" s="202">
        <v>1.51127931535212</v>
      </c>
      <c r="AA28" s="204">
        <v>1.1706146723484001</v>
      </c>
      <c r="AB28" s="204">
        <v>0.71243608394439895</v>
      </c>
      <c r="AC28" s="204">
        <v>0.33481713841606903</v>
      </c>
      <c r="AD28" s="11">
        <v>0.375</v>
      </c>
      <c r="AE28" s="11">
        <v>0.33677971382037297</v>
      </c>
      <c r="AF28" s="46">
        <v>0.29688534477849399</v>
      </c>
      <c r="AG28" s="46">
        <v>0.10664525022480301</v>
      </c>
      <c r="AH28" s="11">
        <f t="shared" si="10"/>
        <v>0.24813414448978083</v>
      </c>
      <c r="AI28" s="46">
        <f t="shared" si="10"/>
        <v>0.28769476564371993</v>
      </c>
      <c r="AJ28" s="46">
        <f t="shared" si="10"/>
        <v>0.41671856812023012</v>
      </c>
      <c r="AK28" s="46">
        <f t="shared" si="10"/>
        <v>0.31851789525862795</v>
      </c>
    </row>
    <row r="29" spans="1:37" ht="18.75" x14ac:dyDescent="0.25">
      <c r="A29" s="189" t="s">
        <v>209</v>
      </c>
      <c r="J29" s="10"/>
      <c r="K29" s="10"/>
      <c r="L29" s="10"/>
      <c r="M29" s="10"/>
    </row>
    <row r="30" spans="1:37" ht="18.75" x14ac:dyDescent="0.35">
      <c r="A30" s="13" t="s">
        <v>204</v>
      </c>
      <c r="E30" s="13" t="s">
        <v>36</v>
      </c>
      <c r="F30" s="564">
        <f t="shared" ref="F30:M30" si="11">MIN(F23:F28)</f>
        <v>0.22897386165316899</v>
      </c>
      <c r="G30" s="12">
        <f t="shared" si="11"/>
        <v>0.177998207972381</v>
      </c>
      <c r="H30" s="12">
        <f t="shared" si="11"/>
        <v>0.123496960723727</v>
      </c>
      <c r="I30" s="565">
        <f t="shared" si="11"/>
        <v>3.9435454447724401E-2</v>
      </c>
      <c r="J30" s="564">
        <f t="shared" si="11"/>
        <v>0.1325549010344374</v>
      </c>
      <c r="K30" s="12">
        <f t="shared" si="11"/>
        <v>0.27454843836734305</v>
      </c>
      <c r="L30" s="12">
        <f t="shared" si="11"/>
        <v>0.27454843836734305</v>
      </c>
      <c r="M30" s="565">
        <f t="shared" si="11"/>
        <v>0.13378184654761696</v>
      </c>
      <c r="V30" s="10">
        <f>MIN(V23:V28)</f>
        <v>0.17175089521573084</v>
      </c>
      <c r="W30" s="10">
        <f>MIN(W23:W28)</f>
        <v>0.15591846320553551</v>
      </c>
      <c r="X30" s="10">
        <f>MIN(X23:X28)</f>
        <v>0.2270348493449165</v>
      </c>
      <c r="Y30" s="10">
        <f>MIN(Y23:Y28)</f>
        <v>0.25400484928977496</v>
      </c>
      <c r="AH30" s="10">
        <f>MIN(AH23:AH28)</f>
        <v>0.17459517239348976</v>
      </c>
      <c r="AI30" s="10">
        <f>MIN(AI23:AI28)</f>
        <v>0.19071966984968802</v>
      </c>
      <c r="AJ30" s="10">
        <f>MIN(AJ23:AJ28)</f>
        <v>0.28517630755038775</v>
      </c>
      <c r="AK30" s="10">
        <f>MIN(AK23:AK28)</f>
        <v>0.31851789525862795</v>
      </c>
    </row>
    <row r="31" spans="1:37" x14ac:dyDescent="0.25">
      <c r="E31" s="13" t="s">
        <v>35</v>
      </c>
      <c r="F31" s="569">
        <f t="shared" ref="F31:M31" si="12">MAX(F23:F28)</f>
        <v>0.65967414115573098</v>
      </c>
      <c r="G31" s="10">
        <f t="shared" si="12"/>
        <v>0.43555370869154197</v>
      </c>
      <c r="H31" s="10">
        <f t="shared" si="12"/>
        <v>0.257664338551016</v>
      </c>
      <c r="I31" s="305">
        <f t="shared" si="12"/>
        <v>0.11394516141913601</v>
      </c>
      <c r="J31" s="569">
        <f t="shared" si="12"/>
        <v>0.25086881577226472</v>
      </c>
      <c r="K31" s="10">
        <f t="shared" si="12"/>
        <v>0.45795058905120301</v>
      </c>
      <c r="L31" s="10">
        <f t="shared" si="12"/>
        <v>0.45795058905120301</v>
      </c>
      <c r="M31" s="305">
        <f t="shared" si="12"/>
        <v>0.37060647216461112</v>
      </c>
      <c r="V31" s="10">
        <f>MAX(V23:V28)</f>
        <v>0.38059406509519661</v>
      </c>
      <c r="W31" s="10">
        <f>MAX(W23:W28)</f>
        <v>0.44544747590799283</v>
      </c>
      <c r="X31" s="10">
        <f>MAX(X23:X28)</f>
        <v>0.38292435109330125</v>
      </c>
      <c r="Y31" s="10">
        <f>MAX(Y23:Y28)</f>
        <v>0.40034968676801136</v>
      </c>
      <c r="AH31" s="10">
        <f>MAX(AH23:AH28)</f>
        <v>0.33369412039844498</v>
      </c>
      <c r="AI31" s="10">
        <f>MAX(AI23:AI28)</f>
        <v>0.39341449515906746</v>
      </c>
      <c r="AJ31" s="10">
        <f>MAX(AJ23:AJ28)</f>
        <v>0.41671856812023012</v>
      </c>
      <c r="AK31" s="10">
        <f>MAX(AK23:AK28)</f>
        <v>0.41912420020847452</v>
      </c>
    </row>
    <row r="32" spans="1:37" x14ac:dyDescent="0.25">
      <c r="E32" s="13" t="s">
        <v>136</v>
      </c>
      <c r="F32" s="573">
        <f t="shared" ref="F32:M32" si="13">AVERAGE(F23:F28)</f>
        <v>0.36762249363027566</v>
      </c>
      <c r="G32" s="11">
        <f t="shared" si="13"/>
        <v>0.27093707839945119</v>
      </c>
      <c r="H32" s="11">
        <f t="shared" si="13"/>
        <v>0.19680417038778283</v>
      </c>
      <c r="I32" s="257">
        <f t="shared" si="13"/>
        <v>8.3265956675379657E-2</v>
      </c>
      <c r="J32" s="573">
        <f t="shared" si="13"/>
        <v>0.20691077567363411</v>
      </c>
      <c r="K32" s="11">
        <f t="shared" si="13"/>
        <v>0.36984989712817423</v>
      </c>
      <c r="L32" s="11">
        <f t="shared" si="13"/>
        <v>0.36984989712817423</v>
      </c>
      <c r="M32" s="257">
        <f t="shared" si="13"/>
        <v>0.25306991622565228</v>
      </c>
      <c r="V32" s="10">
        <f>AVERAGE(V23:V28)</f>
        <v>0.26348680742694924</v>
      </c>
      <c r="W32" s="10">
        <f>AVERAGE(W23:W28)</f>
        <v>0.29733043914613105</v>
      </c>
      <c r="X32" s="10">
        <f>AVERAGE(X23:X28)</f>
        <v>0.34407036528468438</v>
      </c>
      <c r="Y32" s="10">
        <f>AVERAGE(Y23:Y28)</f>
        <v>0.31881644274195903</v>
      </c>
      <c r="AH32" s="10">
        <f>AVERAGE(AH23:AH28)</f>
        <v>0.26435655614239101</v>
      </c>
      <c r="AI32" s="10">
        <f>AVERAGE(AI23:AI28)</f>
        <v>0.29280747157242637</v>
      </c>
      <c r="AJ32" s="10">
        <f>AVERAGE(AJ23:AJ28)</f>
        <v>0.35429122097786508</v>
      </c>
      <c r="AK32" s="10">
        <f>AVERAGE(AK23:AK28)</f>
        <v>0.36172934071871748</v>
      </c>
    </row>
    <row r="33" spans="11:24" x14ac:dyDescent="0.25">
      <c r="K33" s="738" t="s">
        <v>547</v>
      </c>
      <c r="L33" s="738"/>
      <c r="M33" s="738"/>
      <c r="N33" s="738"/>
      <c r="O33" s="738"/>
      <c r="P33" s="738"/>
      <c r="Q33" s="738"/>
      <c r="R33" s="738"/>
      <c r="S33" s="738"/>
      <c r="T33" s="738"/>
      <c r="U33" s="738"/>
    </row>
    <row r="34" spans="11:24" x14ac:dyDescent="0.25">
      <c r="K34" s="47" t="s">
        <v>279</v>
      </c>
    </row>
    <row r="35" spans="11:24" ht="72" customHeight="1" x14ac:dyDescent="0.25">
      <c r="K35" s="738" t="s">
        <v>638</v>
      </c>
      <c r="L35" s="738"/>
      <c r="M35" s="738"/>
      <c r="N35" s="738"/>
      <c r="O35" s="738"/>
    </row>
    <row r="37" spans="11:24" x14ac:dyDescent="0.25">
      <c r="K37" s="55" t="s">
        <v>606</v>
      </c>
      <c r="L37" s="55" t="s">
        <v>128</v>
      </c>
      <c r="M37" s="760" t="s">
        <v>203</v>
      </c>
      <c r="N37" s="760"/>
      <c r="O37" s="760"/>
      <c r="V37" s="760" t="s">
        <v>208</v>
      </c>
      <c r="W37" s="760"/>
      <c r="X37" s="760"/>
    </row>
    <row r="38" spans="11:24" x14ac:dyDescent="0.25">
      <c r="K38" s="35"/>
      <c r="L38" s="35"/>
      <c r="M38" s="125" t="s">
        <v>553</v>
      </c>
      <c r="N38" s="125" t="s">
        <v>180</v>
      </c>
      <c r="O38" s="125" t="s">
        <v>181</v>
      </c>
      <c r="V38" s="113" t="s">
        <v>553</v>
      </c>
      <c r="W38" s="113" t="s">
        <v>180</v>
      </c>
      <c r="X38" s="113" t="s">
        <v>181</v>
      </c>
    </row>
    <row r="39" spans="11:24" x14ac:dyDescent="0.25">
      <c r="K39" s="42" t="s">
        <v>125</v>
      </c>
      <c r="L39" s="44">
        <v>1.37</v>
      </c>
      <c r="M39" s="596">
        <v>0.77</v>
      </c>
      <c r="N39" s="596">
        <v>0.71</v>
      </c>
      <c r="O39" s="596">
        <v>0.62</v>
      </c>
      <c r="V39" s="165">
        <v>1.44</v>
      </c>
      <c r="W39" s="165">
        <v>1.56</v>
      </c>
      <c r="X39" s="165">
        <v>1.87</v>
      </c>
    </row>
    <row r="40" spans="11:24" x14ac:dyDescent="0.25">
      <c r="K40" s="14" t="s">
        <v>126</v>
      </c>
      <c r="L40" s="46">
        <v>1.58</v>
      </c>
      <c r="M40" s="597">
        <v>1.1599999999999999</v>
      </c>
      <c r="N40" s="597">
        <v>1.23</v>
      </c>
      <c r="O40" s="597">
        <v>1.21</v>
      </c>
      <c r="V40" s="125">
        <v>1.1499999999999999</v>
      </c>
      <c r="W40" s="125">
        <v>1.57</v>
      </c>
      <c r="X40" s="125">
        <v>1.64</v>
      </c>
    </row>
    <row r="41" spans="11:24" x14ac:dyDescent="0.25">
      <c r="K41" s="124" t="s">
        <v>546</v>
      </c>
    </row>
    <row r="42" spans="11:24" ht="18.75" x14ac:dyDescent="0.25">
      <c r="K42" s="3" t="s">
        <v>87</v>
      </c>
    </row>
    <row r="44" spans="11:24" x14ac:dyDescent="0.25">
      <c r="K44" s="206" t="s">
        <v>205</v>
      </c>
    </row>
    <row r="46" spans="11:24" x14ac:dyDescent="0.25">
      <c r="K46" s="55" t="s">
        <v>606</v>
      </c>
      <c r="L46" s="55" t="s">
        <v>128</v>
      </c>
      <c r="M46" s="760" t="s">
        <v>179</v>
      </c>
      <c r="N46" s="760"/>
      <c r="O46" s="760"/>
      <c r="Q46" s="760" t="s">
        <v>556</v>
      </c>
      <c r="R46" s="760"/>
      <c r="S46" s="760"/>
    </row>
    <row r="47" spans="11:24" ht="31.5" x14ac:dyDescent="0.25">
      <c r="K47" s="35"/>
      <c r="L47" s="35"/>
      <c r="M47" s="125" t="s">
        <v>554</v>
      </c>
      <c r="N47" s="125" t="s">
        <v>129</v>
      </c>
      <c r="O47" s="125" t="s">
        <v>130</v>
      </c>
      <c r="Q47" s="113" t="s">
        <v>553</v>
      </c>
      <c r="R47" s="113" t="s">
        <v>180</v>
      </c>
      <c r="S47" s="113" t="s">
        <v>181</v>
      </c>
    </row>
    <row r="48" spans="11:24" x14ac:dyDescent="0.25">
      <c r="K48" s="42" t="s">
        <v>125</v>
      </c>
      <c r="L48" s="44">
        <v>1.37</v>
      </c>
      <c r="M48" s="44">
        <v>2.7</v>
      </c>
      <c r="N48" s="44">
        <v>1.91</v>
      </c>
      <c r="O48" s="44">
        <v>1.31</v>
      </c>
      <c r="Q48" s="165">
        <v>0.37</v>
      </c>
      <c r="R48" s="165">
        <v>0.61</v>
      </c>
      <c r="S48" s="165">
        <v>0.91</v>
      </c>
    </row>
    <row r="49" spans="11:19" x14ac:dyDescent="0.25">
      <c r="K49" s="14" t="s">
        <v>126</v>
      </c>
      <c r="L49" s="46">
        <v>1.58</v>
      </c>
      <c r="M49" s="46">
        <v>3.23</v>
      </c>
      <c r="N49" s="46">
        <v>2.41</v>
      </c>
      <c r="O49" s="46">
        <v>1.7</v>
      </c>
      <c r="Q49" s="125">
        <v>0.37</v>
      </c>
      <c r="R49" s="125">
        <v>0.61</v>
      </c>
      <c r="S49" s="125">
        <v>0.91</v>
      </c>
    </row>
    <row r="51" spans="11:19" x14ac:dyDescent="0.25">
      <c r="N51"/>
      <c r="O51"/>
    </row>
    <row r="52" spans="11:19" x14ac:dyDescent="0.25">
      <c r="N52"/>
      <c r="O52"/>
    </row>
  </sheetData>
  <mergeCells count="7">
    <mergeCell ref="A3:K3"/>
    <mergeCell ref="Q46:S46"/>
    <mergeCell ref="K33:U33"/>
    <mergeCell ref="M46:O46"/>
    <mergeCell ref="V37:X37"/>
    <mergeCell ref="M37:O37"/>
    <mergeCell ref="K35:O3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rgb="FF00B0F0"/>
  </sheetPr>
  <dimension ref="A1:W47"/>
  <sheetViews>
    <sheetView workbookViewId="0">
      <pane ySplit="4" topLeftCell="A5" activePane="bottomLeft" state="frozen"/>
      <selection pane="bottomLeft" activeCell="N19" sqref="N19"/>
    </sheetView>
  </sheetViews>
  <sheetFormatPr defaultRowHeight="15.75" x14ac:dyDescent="0.25"/>
  <cols>
    <col min="1" max="1" width="9.140625" style="214"/>
    <col min="2" max="2" width="29.7109375" style="214" customWidth="1"/>
    <col min="3" max="3" width="12" style="214" customWidth="1"/>
    <col min="4" max="9" width="7.28515625" style="214" customWidth="1"/>
    <col min="10" max="10" width="2.85546875" style="214" customWidth="1"/>
    <col min="11" max="14" width="7.28515625" style="214" customWidth="1"/>
    <col min="15" max="19" width="9.140625" style="214"/>
    <col min="20" max="20" width="6.5703125" style="214" customWidth="1"/>
    <col min="21" max="16384" width="9.140625" style="214"/>
  </cols>
  <sheetData>
    <row r="1" spans="1:14" ht="18.75" x14ac:dyDescent="0.3">
      <c r="B1" s="215" t="s">
        <v>212</v>
      </c>
    </row>
    <row r="2" spans="1:14" ht="18.75" x14ac:dyDescent="0.3">
      <c r="B2" s="215"/>
    </row>
    <row r="3" spans="1:14" x14ac:dyDescent="0.25">
      <c r="B3" s="216" t="s">
        <v>213</v>
      </c>
      <c r="C3" s="216" t="s">
        <v>214</v>
      </c>
      <c r="D3" s="761" t="s">
        <v>215</v>
      </c>
      <c r="E3" s="762"/>
      <c r="F3" s="763"/>
      <c r="G3" s="762" t="s">
        <v>216</v>
      </c>
      <c r="H3" s="762"/>
      <c r="I3" s="763"/>
      <c r="J3" s="217"/>
      <c r="K3" s="217"/>
      <c r="L3" s="764" t="s">
        <v>217</v>
      </c>
      <c r="M3" s="765"/>
      <c r="N3" s="766"/>
    </row>
    <row r="4" spans="1:14" x14ac:dyDescent="0.25">
      <c r="B4" s="218" t="s">
        <v>218</v>
      </c>
      <c r="C4" s="219">
        <v>44</v>
      </c>
      <c r="D4" s="219">
        <v>33</v>
      </c>
      <c r="E4" s="218">
        <v>22</v>
      </c>
      <c r="F4" s="220">
        <v>11</v>
      </c>
      <c r="G4" s="219">
        <v>33</v>
      </c>
      <c r="H4" s="218">
        <v>22</v>
      </c>
      <c r="I4" s="220">
        <v>11</v>
      </c>
      <c r="K4" s="221">
        <v>44</v>
      </c>
      <c r="L4" s="219">
        <f>D4</f>
        <v>33</v>
      </c>
      <c r="M4" s="218">
        <f>E4</f>
        <v>22</v>
      </c>
      <c r="N4" s="220">
        <f>F4</f>
        <v>11</v>
      </c>
    </row>
    <row r="5" spans="1:14" ht="20.25" x14ac:dyDescent="0.25">
      <c r="A5" s="222" t="s">
        <v>127</v>
      </c>
      <c r="B5" s="223" t="s">
        <v>219</v>
      </c>
      <c r="C5" s="224">
        <v>0.22127321957523</v>
      </c>
      <c r="D5" s="224">
        <v>0.25160483709086401</v>
      </c>
      <c r="E5" s="225">
        <v>0.29445101150529301</v>
      </c>
      <c r="F5" s="226">
        <v>0.36416630616837398</v>
      </c>
      <c r="G5" s="224">
        <v>5.4134373049724002E-2</v>
      </c>
      <c r="H5" s="225">
        <v>7.9057052173905795E-2</v>
      </c>
      <c r="I5" s="226">
        <v>0.101115139521641</v>
      </c>
      <c r="J5" s="227"/>
      <c r="K5" s="228">
        <f t="shared" ref="K5:N10" si="0">$C5/C5</f>
        <v>1</v>
      </c>
      <c r="L5" s="224">
        <f t="shared" si="0"/>
        <v>0.87944739907889724</v>
      </c>
      <c r="M5" s="225">
        <f t="shared" si="0"/>
        <v>0.7514771929090569</v>
      </c>
      <c r="N5" s="226">
        <f t="shared" si="0"/>
        <v>0.60761584975663097</v>
      </c>
    </row>
    <row r="6" spans="1:14" x14ac:dyDescent="0.25">
      <c r="B6" s="229" t="s">
        <v>220</v>
      </c>
      <c r="C6" s="230">
        <v>0.203342357423555</v>
      </c>
      <c r="D6" s="230">
        <v>0.24174599312275</v>
      </c>
      <c r="E6" s="231">
        <v>0.29623220492171298</v>
      </c>
      <c r="F6" s="232">
        <v>0.39101760439577199</v>
      </c>
      <c r="G6" s="230">
        <v>7.0490900163284298E-2</v>
      </c>
      <c r="H6" s="231">
        <v>0.103913918672721</v>
      </c>
      <c r="I6" s="232">
        <v>0.141737515771996</v>
      </c>
      <c r="K6" s="233">
        <f t="shared" si="0"/>
        <v>1</v>
      </c>
      <c r="L6" s="230">
        <f t="shared" si="0"/>
        <v>0.84114054920573178</v>
      </c>
      <c r="M6" s="231">
        <f t="shared" si="0"/>
        <v>0.68642893664209625</v>
      </c>
      <c r="N6" s="232">
        <f t="shared" si="0"/>
        <v>0.52003376609545227</v>
      </c>
    </row>
    <row r="7" spans="1:14" x14ac:dyDescent="0.25">
      <c r="B7" s="234" t="s">
        <v>221</v>
      </c>
      <c r="C7" s="235">
        <v>0.19942518172631499</v>
      </c>
      <c r="D7" s="235">
        <v>0.21308617360847201</v>
      </c>
      <c r="E7" s="236">
        <v>0.25535833119135498</v>
      </c>
      <c r="F7" s="237">
        <v>0.37055992285935002</v>
      </c>
      <c r="G7" s="235">
        <v>4.0295085338574198E-2</v>
      </c>
      <c r="H7" s="236">
        <v>9.8298322818016204E-2</v>
      </c>
      <c r="I7" s="237">
        <v>0.178819528301879</v>
      </c>
      <c r="J7" s="238"/>
      <c r="K7" s="239">
        <f t="shared" si="0"/>
        <v>1</v>
      </c>
      <c r="L7" s="235">
        <f t="shared" si="0"/>
        <v>0.93588982499043816</v>
      </c>
      <c r="M7" s="236">
        <f t="shared" si="0"/>
        <v>0.78096211232236634</v>
      </c>
      <c r="N7" s="237">
        <f t="shared" si="0"/>
        <v>0.53817255840159739</v>
      </c>
    </row>
    <row r="8" spans="1:14" x14ac:dyDescent="0.25">
      <c r="B8" s="229" t="s">
        <v>222</v>
      </c>
      <c r="C8" s="230">
        <v>0.20514082556653901</v>
      </c>
      <c r="D8" s="230">
        <v>0.24163352438621299</v>
      </c>
      <c r="E8" s="231">
        <v>0.28748287903182601</v>
      </c>
      <c r="F8" s="232">
        <v>0.35685734725014701</v>
      </c>
      <c r="G8" s="230">
        <v>6.3336704185564002E-2</v>
      </c>
      <c r="H8" s="231">
        <v>8.3356411987567297E-2</v>
      </c>
      <c r="I8" s="232">
        <v>0.101647236599322</v>
      </c>
      <c r="K8" s="233">
        <f t="shared" si="0"/>
        <v>1</v>
      </c>
      <c r="L8" s="230">
        <f t="shared" si="0"/>
        <v>0.84897501738481385</v>
      </c>
      <c r="M8" s="231">
        <f t="shared" si="0"/>
        <v>0.71357580060908166</v>
      </c>
      <c r="N8" s="232">
        <f t="shared" si="0"/>
        <v>0.57485386568975705</v>
      </c>
    </row>
    <row r="9" spans="1:14" x14ac:dyDescent="0.25">
      <c r="B9" s="229" t="s">
        <v>223</v>
      </c>
      <c r="C9" s="230">
        <v>0.25380897151235798</v>
      </c>
      <c r="D9" s="230">
        <v>0.30032773045998401</v>
      </c>
      <c r="E9" s="231">
        <v>0.35477648542669799</v>
      </c>
      <c r="F9" s="232">
        <v>0.43761162782632401</v>
      </c>
      <c r="G9" s="230">
        <v>8.1543868078156695E-2</v>
      </c>
      <c r="H9" s="231">
        <v>0.10322846841195001</v>
      </c>
      <c r="I9" s="232">
        <v>0.12637206652771499</v>
      </c>
      <c r="K9" s="233">
        <f t="shared" si="0"/>
        <v>1</v>
      </c>
      <c r="L9" s="230">
        <f t="shared" si="0"/>
        <v>0.84510668103682074</v>
      </c>
      <c r="M9" s="231">
        <f t="shared" si="0"/>
        <v>0.71540528174266116</v>
      </c>
      <c r="N9" s="232">
        <f t="shared" si="0"/>
        <v>0.57998680878993414</v>
      </c>
    </row>
    <row r="10" spans="1:14" x14ac:dyDescent="0.25">
      <c r="B10" s="234" t="s">
        <v>224</v>
      </c>
      <c r="C10" s="235">
        <v>0.24757789777706801</v>
      </c>
      <c r="D10" s="235">
        <v>0.257396826873246</v>
      </c>
      <c r="E10" s="236">
        <v>0.28048539299910902</v>
      </c>
      <c r="F10" s="237">
        <v>0.36761699089927002</v>
      </c>
      <c r="G10" s="235">
        <v>2.0106600729813899E-2</v>
      </c>
      <c r="H10" s="236">
        <v>5.9560311792288802E-2</v>
      </c>
      <c r="I10" s="237">
        <v>0.15560982039484</v>
      </c>
      <c r="J10" s="238"/>
      <c r="K10" s="239">
        <f t="shared" si="0"/>
        <v>1</v>
      </c>
      <c r="L10" s="235">
        <f t="shared" si="0"/>
        <v>0.96185295205285004</v>
      </c>
      <c r="M10" s="236">
        <f t="shared" si="0"/>
        <v>0.88267661688127363</v>
      </c>
      <c r="N10" s="237">
        <f t="shared" si="0"/>
        <v>0.67346696128337091</v>
      </c>
    </row>
    <row r="11" spans="1:14" x14ac:dyDescent="0.25">
      <c r="B11" s="229"/>
      <c r="C11" s="230"/>
      <c r="D11" s="230"/>
      <c r="E11" s="231"/>
      <c r="F11" s="232"/>
      <c r="G11" s="230"/>
      <c r="H11" s="231"/>
      <c r="I11" s="232"/>
      <c r="L11" s="230"/>
      <c r="M11" s="231"/>
      <c r="N11" s="232"/>
    </row>
    <row r="12" spans="1:14" x14ac:dyDescent="0.25">
      <c r="B12" s="223" t="s">
        <v>225</v>
      </c>
      <c r="C12" s="224">
        <v>0.121749128804998</v>
      </c>
      <c r="D12" s="224">
        <v>0.14313065793829799</v>
      </c>
      <c r="E12" s="225">
        <v>0.169911534685704</v>
      </c>
      <c r="F12" s="226">
        <v>0.208065343603829</v>
      </c>
      <c r="G12" s="224">
        <v>3.7944389757588702E-2</v>
      </c>
      <c r="H12" s="225">
        <v>5.0070850837651198E-2</v>
      </c>
      <c r="I12" s="226">
        <v>5.62153949361879E-2</v>
      </c>
      <c r="J12" s="227"/>
      <c r="K12" s="228">
        <f t="shared" ref="K12:N17" si="1">$C12/C12</f>
        <v>1</v>
      </c>
      <c r="L12" s="224">
        <f t="shared" si="1"/>
        <v>0.85061530882840397</v>
      </c>
      <c r="M12" s="225">
        <f t="shared" si="1"/>
        <v>0.7165442242058786</v>
      </c>
      <c r="N12" s="226">
        <f t="shared" si="1"/>
        <v>0.58514852447900634</v>
      </c>
    </row>
    <row r="13" spans="1:14" x14ac:dyDescent="0.25">
      <c r="B13" s="229" t="s">
        <v>226</v>
      </c>
      <c r="C13" s="230">
        <v>0.13683346028293999</v>
      </c>
      <c r="D13" s="230">
        <v>0.15291566605660101</v>
      </c>
      <c r="E13" s="231">
        <v>0.17608588829159499</v>
      </c>
      <c r="F13" s="232">
        <v>0.21574290533049501</v>
      </c>
      <c r="G13" s="230">
        <v>2.9047055943954798E-2</v>
      </c>
      <c r="H13" s="231">
        <v>4.2102749432362703E-2</v>
      </c>
      <c r="I13" s="232">
        <v>6.0966026890753498E-2</v>
      </c>
      <c r="K13" s="233">
        <f t="shared" si="1"/>
        <v>1</v>
      </c>
      <c r="L13" s="230">
        <f t="shared" si="1"/>
        <v>0.89482957378802341</v>
      </c>
      <c r="M13" s="231">
        <f t="shared" si="1"/>
        <v>0.77708362442052314</v>
      </c>
      <c r="N13" s="232">
        <f t="shared" si="1"/>
        <v>0.63424315192810532</v>
      </c>
    </row>
    <row r="14" spans="1:14" x14ac:dyDescent="0.25">
      <c r="B14" s="234" t="s">
        <v>227</v>
      </c>
      <c r="C14" s="235">
        <v>0.12840761520687499</v>
      </c>
      <c r="D14" s="235">
        <v>0.13268127788012099</v>
      </c>
      <c r="E14" s="236">
        <v>0.14944197925498001</v>
      </c>
      <c r="F14" s="237">
        <v>0.197371312209664</v>
      </c>
      <c r="G14" s="235">
        <v>1.6390454534277701E-2</v>
      </c>
      <c r="H14" s="236">
        <v>3.93594324731932E-2</v>
      </c>
      <c r="I14" s="237">
        <v>7.5354153964725404E-2</v>
      </c>
      <c r="J14" s="238"/>
      <c r="K14" s="239">
        <f t="shared" si="1"/>
        <v>1</v>
      </c>
      <c r="L14" s="235">
        <f t="shared" si="1"/>
        <v>0.96779000970199203</v>
      </c>
      <c r="M14" s="236">
        <f t="shared" si="1"/>
        <v>0.85924728678669404</v>
      </c>
      <c r="N14" s="237">
        <f t="shared" si="1"/>
        <v>0.65058905354223862</v>
      </c>
    </row>
    <row r="15" spans="1:14" x14ac:dyDescent="0.25">
      <c r="B15" s="229" t="s">
        <v>228</v>
      </c>
      <c r="C15" s="230">
        <v>0.11098001534345001</v>
      </c>
      <c r="D15" s="230">
        <v>0.13727446691872999</v>
      </c>
      <c r="E15" s="231">
        <v>0.166923464668014</v>
      </c>
      <c r="F15" s="232">
        <v>0.21397876329719201</v>
      </c>
      <c r="G15" s="230">
        <v>4.5777927241327697E-2</v>
      </c>
      <c r="H15" s="231">
        <v>5.9217990235323301E-2</v>
      </c>
      <c r="I15" s="232">
        <v>6.7067126365730395E-2</v>
      </c>
      <c r="K15" s="233">
        <f t="shared" si="1"/>
        <v>1</v>
      </c>
      <c r="L15" s="230">
        <f t="shared" si="1"/>
        <v>0.80845344246831441</v>
      </c>
      <c r="M15" s="231">
        <f t="shared" si="1"/>
        <v>0.66485569038584713</v>
      </c>
      <c r="N15" s="232">
        <f t="shared" si="1"/>
        <v>0.5186496717401412</v>
      </c>
    </row>
    <row r="16" spans="1:14" x14ac:dyDescent="0.25">
      <c r="B16" s="229" t="s">
        <v>229</v>
      </c>
      <c r="C16" s="230">
        <v>0.12729544798935599</v>
      </c>
      <c r="D16" s="230">
        <v>0.155876295190914</v>
      </c>
      <c r="E16" s="231">
        <v>0.188048014816727</v>
      </c>
      <c r="F16" s="232">
        <v>0.23386699510992701</v>
      </c>
      <c r="G16" s="230">
        <v>5.0406426962403203E-2</v>
      </c>
      <c r="H16" s="231">
        <v>6.2030522187855597E-2</v>
      </c>
      <c r="I16" s="232">
        <v>6.8166106045136704E-2</v>
      </c>
      <c r="K16" s="233">
        <f t="shared" si="1"/>
        <v>1</v>
      </c>
      <c r="L16" s="230">
        <f t="shared" si="1"/>
        <v>0.81664404349261188</v>
      </c>
      <c r="M16" s="231">
        <f t="shared" si="1"/>
        <v>0.67693056006690144</v>
      </c>
      <c r="N16" s="232">
        <f t="shared" si="1"/>
        <v>0.54430702344091753</v>
      </c>
    </row>
    <row r="17" spans="1:23" x14ac:dyDescent="0.25">
      <c r="B17" s="234" t="s">
        <v>230</v>
      </c>
      <c r="C17" s="235">
        <v>0.13341976820343601</v>
      </c>
      <c r="D17" s="235">
        <v>0.13816675223932001</v>
      </c>
      <c r="E17" s="236">
        <v>0.14913405411063099</v>
      </c>
      <c r="F17" s="237">
        <v>0.186427609977418</v>
      </c>
      <c r="G17" s="235">
        <v>1.0210455726563501E-2</v>
      </c>
      <c r="H17" s="236">
        <v>2.6319920887687202E-2</v>
      </c>
      <c r="I17" s="237">
        <v>6.1452574258999901E-2</v>
      </c>
      <c r="J17" s="238"/>
      <c r="K17" s="239">
        <f t="shared" si="1"/>
        <v>1</v>
      </c>
      <c r="L17" s="235">
        <f t="shared" si="1"/>
        <v>0.96564308012638456</v>
      </c>
      <c r="M17" s="236">
        <f t="shared" si="1"/>
        <v>0.89462979464410075</v>
      </c>
      <c r="N17" s="237">
        <f t="shared" si="1"/>
        <v>0.71566528273144281</v>
      </c>
    </row>
    <row r="18" spans="1:23" x14ac:dyDescent="0.25">
      <c r="B18" s="229"/>
      <c r="C18" s="230"/>
      <c r="D18" s="230"/>
      <c r="E18" s="231"/>
      <c r="F18" s="232"/>
      <c r="G18" s="230"/>
      <c r="H18" s="231"/>
      <c r="I18" s="232"/>
      <c r="L18" s="230"/>
      <c r="M18" s="231"/>
      <c r="N18" s="232"/>
    </row>
    <row r="19" spans="1:23" x14ac:dyDescent="0.25">
      <c r="B19" s="223" t="s">
        <v>231</v>
      </c>
      <c r="C19" s="224">
        <v>6.9352087689961303E-2</v>
      </c>
      <c r="D19" s="224">
        <v>8.1030721736550501E-2</v>
      </c>
      <c r="E19" s="225">
        <v>9.38642136814095E-2</v>
      </c>
      <c r="F19" s="226">
        <v>0.110756143976591</v>
      </c>
      <c r="G19" s="224">
        <v>2.0115399246301999E-2</v>
      </c>
      <c r="H19" s="225">
        <v>2.4265948861530801E-2</v>
      </c>
      <c r="I19" s="226">
        <v>2.62673092974424E-2</v>
      </c>
      <c r="J19" s="227"/>
      <c r="K19" s="228">
        <f t="shared" ref="K19:N24" si="2">$C19/C19</f>
        <v>1</v>
      </c>
      <c r="L19" s="224">
        <f t="shared" si="2"/>
        <v>0.85587399696920974</v>
      </c>
      <c r="M19" s="225">
        <f t="shared" si="2"/>
        <v>0.73885546972516747</v>
      </c>
      <c r="N19" s="226">
        <f t="shared" si="2"/>
        <v>0.62616921463624897</v>
      </c>
    </row>
    <row r="20" spans="1:23" x14ac:dyDescent="0.25">
      <c r="B20" s="229" t="s">
        <v>232</v>
      </c>
      <c r="C20" s="230">
        <v>6.7766416700815194E-2</v>
      </c>
      <c r="D20" s="230">
        <v>7.8766042759576105E-2</v>
      </c>
      <c r="E20" s="231">
        <v>9.1654041227734101E-2</v>
      </c>
      <c r="F20" s="232">
        <v>0.111856897196304</v>
      </c>
      <c r="G20" s="230">
        <v>1.9393178702594101E-2</v>
      </c>
      <c r="H20" s="231">
        <v>2.4328299584165901E-2</v>
      </c>
      <c r="I20" s="232">
        <v>3.1122619078108E-2</v>
      </c>
      <c r="K20" s="233">
        <f t="shared" si="2"/>
        <v>1</v>
      </c>
      <c r="L20" s="230">
        <f t="shared" si="2"/>
        <v>0.86035065780394793</v>
      </c>
      <c r="M20" s="231">
        <f t="shared" si="2"/>
        <v>0.73937183557935016</v>
      </c>
      <c r="N20" s="232">
        <f t="shared" si="2"/>
        <v>0.60583136489016032</v>
      </c>
    </row>
    <row r="21" spans="1:23" x14ac:dyDescent="0.25">
      <c r="B21" s="234" t="s">
        <v>233</v>
      </c>
      <c r="C21" s="235">
        <v>6.5741596193665097E-2</v>
      </c>
      <c r="D21" s="235">
        <v>6.6801891913791697E-2</v>
      </c>
      <c r="E21" s="236">
        <v>7.2863256877650301E-2</v>
      </c>
      <c r="F21" s="237">
        <v>9.4763096487955695E-2</v>
      </c>
      <c r="G21" s="235">
        <v>4.7440043508441198E-3</v>
      </c>
      <c r="H21" s="236">
        <v>1.6106379562574501E-2</v>
      </c>
      <c r="I21" s="237">
        <v>3.6935197028746897E-2</v>
      </c>
      <c r="J21" s="238"/>
      <c r="K21" s="239">
        <f t="shared" si="2"/>
        <v>1</v>
      </c>
      <c r="L21" s="235">
        <f t="shared" si="2"/>
        <v>0.98412775911354544</v>
      </c>
      <c r="M21" s="236">
        <f t="shared" si="2"/>
        <v>0.90225991824735929</v>
      </c>
      <c r="N21" s="237">
        <f t="shared" si="2"/>
        <v>0.6937468131597071</v>
      </c>
    </row>
    <row r="22" spans="1:23" x14ac:dyDescent="0.25">
      <c r="B22" s="229" t="s">
        <v>234</v>
      </c>
      <c r="C22" s="230">
        <v>6.3899610231905102E-2</v>
      </c>
      <c r="D22" s="230">
        <v>7.4366557293781596E-2</v>
      </c>
      <c r="E22" s="231">
        <v>8.8292470480782106E-2</v>
      </c>
      <c r="F22" s="232">
        <v>0.109369487918967</v>
      </c>
      <c r="G22" s="230">
        <v>1.8548862037902802E-2</v>
      </c>
      <c r="H22" s="231">
        <v>2.54521711301193E-2</v>
      </c>
      <c r="I22" s="232">
        <v>3.0274931932848099E-2</v>
      </c>
      <c r="K22" s="233">
        <f t="shared" si="2"/>
        <v>1</v>
      </c>
      <c r="L22" s="230">
        <f t="shared" si="2"/>
        <v>0.85925196159710193</v>
      </c>
      <c r="M22" s="231">
        <f t="shared" si="2"/>
        <v>0.72372660866719773</v>
      </c>
      <c r="N22" s="232">
        <f t="shared" si="2"/>
        <v>0.58425445202092374</v>
      </c>
    </row>
    <row r="23" spans="1:23" x14ac:dyDescent="0.25">
      <c r="B23" s="229" t="s">
        <v>235</v>
      </c>
      <c r="C23" s="230">
        <v>6.7088224607501995E-2</v>
      </c>
      <c r="D23" s="230">
        <v>8.1747773273072505E-2</v>
      </c>
      <c r="E23" s="231">
        <v>9.7870057051239301E-2</v>
      </c>
      <c r="F23" s="232">
        <v>0.12034476891625399</v>
      </c>
      <c r="G23" s="230">
        <v>2.5986366076904799E-2</v>
      </c>
      <c r="H23" s="231">
        <v>3.1500812358044999E-2</v>
      </c>
      <c r="I23" s="232">
        <v>3.3141332892648298E-2</v>
      </c>
      <c r="K23" s="233">
        <f t="shared" si="2"/>
        <v>1</v>
      </c>
      <c r="L23" s="230">
        <f t="shared" si="2"/>
        <v>0.82067341924285386</v>
      </c>
      <c r="M23" s="231">
        <f t="shared" si="2"/>
        <v>0.68548263512688401</v>
      </c>
      <c r="N23" s="232">
        <f t="shared" si="2"/>
        <v>0.55746689458673204</v>
      </c>
    </row>
    <row r="24" spans="1:23" x14ac:dyDescent="0.25">
      <c r="B24" s="234" t="s">
        <v>236</v>
      </c>
      <c r="C24" s="235">
        <v>6.5996875593161503E-2</v>
      </c>
      <c r="D24" s="235">
        <v>7.0935066822818402E-2</v>
      </c>
      <c r="E24" s="236">
        <v>7.8952974214903202E-2</v>
      </c>
      <c r="F24" s="237">
        <v>9.9528307321121098E-2</v>
      </c>
      <c r="G24" s="235">
        <v>9.0865513749139801E-3</v>
      </c>
      <c r="H24" s="236">
        <v>1.6294942321353499E-2</v>
      </c>
      <c r="I24" s="237">
        <v>3.3312530089955703E-2</v>
      </c>
      <c r="J24" s="238"/>
      <c r="K24" s="239">
        <f t="shared" si="2"/>
        <v>1</v>
      </c>
      <c r="L24" s="235">
        <f t="shared" si="2"/>
        <v>0.93038434372675627</v>
      </c>
      <c r="M24" s="236">
        <f t="shared" si="2"/>
        <v>0.83590106958508859</v>
      </c>
      <c r="N24" s="237">
        <f t="shared" si="2"/>
        <v>0.66309653373514343</v>
      </c>
    </row>
    <row r="25" spans="1:23" ht="18.75" x14ac:dyDescent="0.25">
      <c r="K25" s="240">
        <f>AVERAGE(K5:K24)</f>
        <v>1</v>
      </c>
      <c r="L25" s="240">
        <f>AVERAGE(L5:L24)</f>
        <v>0.88483611225603864</v>
      </c>
      <c r="M25" s="240">
        <f>AVERAGE(M5:M24)</f>
        <v>0.76363414769708493</v>
      </c>
      <c r="N25" s="240">
        <f>AVERAGE(N5:N24)</f>
        <v>0.60407209949486163</v>
      </c>
    </row>
    <row r="26" spans="1:23" x14ac:dyDescent="0.25">
      <c r="P26" s="214" t="s">
        <v>237</v>
      </c>
    </row>
    <row r="27" spans="1:23" ht="20.25" x14ac:dyDescent="0.25">
      <c r="A27" s="222" t="s">
        <v>238</v>
      </c>
      <c r="B27" s="223" t="s">
        <v>239</v>
      </c>
      <c r="C27" s="224">
        <v>0.28761877358297799</v>
      </c>
      <c r="D27" s="224">
        <v>0.29470797642033397</v>
      </c>
      <c r="E27" s="225">
        <v>0.30931717616416898</v>
      </c>
      <c r="F27" s="226">
        <v>0.34237217867082798</v>
      </c>
      <c r="G27" s="224">
        <v>1.5336613308529401E-2</v>
      </c>
      <c r="H27" s="225">
        <v>2.89615583280654E-2</v>
      </c>
      <c r="I27" s="226">
        <v>5.0729850597990997E-2</v>
      </c>
      <c r="J27" s="227"/>
      <c r="K27" s="228">
        <f t="shared" ref="K27:N32" si="3">$C27/C27</f>
        <v>1</v>
      </c>
      <c r="L27" s="224">
        <f t="shared" si="3"/>
        <v>0.97594499163726456</v>
      </c>
      <c r="M27" s="225">
        <f t="shared" si="3"/>
        <v>0.92985063794299405</v>
      </c>
      <c r="N27" s="226">
        <f t="shared" si="3"/>
        <v>0.84007635988293206</v>
      </c>
      <c r="P27" s="223" t="s">
        <v>239</v>
      </c>
      <c r="Q27" s="224">
        <v>0.28761877358297799</v>
      </c>
      <c r="R27" s="224">
        <v>0.29457496747176698</v>
      </c>
      <c r="S27" s="225">
        <v>0.309268871036673</v>
      </c>
      <c r="T27" s="226">
        <v>0.34154111018307298</v>
      </c>
      <c r="U27" s="224">
        <v>1.51441137160969E-2</v>
      </c>
      <c r="V27" s="225">
        <v>2.8927430888083101E-2</v>
      </c>
      <c r="W27" s="226">
        <v>5.07244738189392E-2</v>
      </c>
    </row>
    <row r="28" spans="1:23" x14ac:dyDescent="0.25">
      <c r="B28" s="229" t="s">
        <v>240</v>
      </c>
      <c r="C28" s="230">
        <v>0.188920384863587</v>
      </c>
      <c r="D28" s="230">
        <v>0.193930215106106</v>
      </c>
      <c r="E28" s="231">
        <v>0.20293164185090101</v>
      </c>
      <c r="F28" s="232">
        <v>0.23003368779028199</v>
      </c>
      <c r="G28" s="230">
        <v>9.5400224136571506E-3</v>
      </c>
      <c r="H28" s="231">
        <v>1.9475794381903399E-2</v>
      </c>
      <c r="I28" s="232">
        <v>4.5030549061200603E-2</v>
      </c>
      <c r="K28" s="233">
        <f t="shared" si="3"/>
        <v>1</v>
      </c>
      <c r="L28" s="230">
        <f t="shared" si="3"/>
        <v>0.97416684017094524</v>
      </c>
      <c r="M28" s="231">
        <f t="shared" si="3"/>
        <v>0.93095577969251131</v>
      </c>
      <c r="N28" s="232">
        <f t="shared" si="3"/>
        <v>0.82127268696323585</v>
      </c>
      <c r="P28" s="229" t="s">
        <v>240</v>
      </c>
      <c r="Q28" s="230">
        <v>0.188920384863587</v>
      </c>
      <c r="R28" s="230">
        <v>0.193765225360569</v>
      </c>
      <c r="S28" s="231">
        <v>0.20215141891524999</v>
      </c>
      <c r="T28" s="232">
        <v>0.22932568451974</v>
      </c>
      <c r="U28" s="230">
        <v>9.4042291837030407E-3</v>
      </c>
      <c r="V28" s="231">
        <v>1.8607574183793898E-2</v>
      </c>
      <c r="W28" s="232">
        <v>4.4331950392526201E-2</v>
      </c>
    </row>
    <row r="29" spans="1:23" x14ac:dyDescent="0.25">
      <c r="B29" s="234" t="s">
        <v>241</v>
      </c>
      <c r="C29" s="235">
        <v>0.15716054771569901</v>
      </c>
      <c r="D29" s="235">
        <v>0.16684988261355499</v>
      </c>
      <c r="E29" s="236">
        <v>0.18910938858974499</v>
      </c>
      <c r="F29" s="237">
        <v>0.24870688114022199</v>
      </c>
      <c r="G29" s="235">
        <v>2.0934111265926699E-2</v>
      </c>
      <c r="H29" s="236">
        <v>4.8921003806596003E-2</v>
      </c>
      <c r="I29" s="237">
        <v>8.8357039889283395E-2</v>
      </c>
      <c r="J29" s="238"/>
      <c r="K29" s="239">
        <f t="shared" si="3"/>
        <v>1</v>
      </c>
      <c r="L29" s="235">
        <f t="shared" si="3"/>
        <v>0.94192782909954043</v>
      </c>
      <c r="M29" s="236">
        <f t="shared" si="3"/>
        <v>0.83105629438971973</v>
      </c>
      <c r="N29" s="237">
        <f t="shared" si="3"/>
        <v>0.63191073361211603</v>
      </c>
      <c r="P29" s="234" t="s">
        <v>241</v>
      </c>
      <c r="Q29" s="235">
        <v>0.15716054771569901</v>
      </c>
      <c r="R29" s="235">
        <v>0.166629654394022</v>
      </c>
      <c r="S29" s="236">
        <v>0.18935259833035001</v>
      </c>
      <c r="T29" s="237">
        <v>0.24722933703039299</v>
      </c>
      <c r="U29" s="235">
        <v>2.0495260818187599E-2</v>
      </c>
      <c r="V29" s="236">
        <v>4.9238346823639798E-2</v>
      </c>
      <c r="W29" s="237">
        <v>8.7474248051757603E-2</v>
      </c>
    </row>
    <row r="30" spans="1:23" x14ac:dyDescent="0.25">
      <c r="B30" s="229" t="s">
        <v>242</v>
      </c>
      <c r="C30" s="230">
        <v>0.288804088770238</v>
      </c>
      <c r="D30" s="230">
        <v>0.298657186782124</v>
      </c>
      <c r="E30" s="231">
        <v>0.310693143442343</v>
      </c>
      <c r="F30" s="232">
        <v>0.33332945988000501</v>
      </c>
      <c r="G30" s="230">
        <v>1.6981651521659501E-2</v>
      </c>
      <c r="H30" s="231">
        <v>2.2917897562193101E-2</v>
      </c>
      <c r="I30" s="232">
        <v>3.4817852328727E-2</v>
      </c>
      <c r="K30" s="233">
        <f t="shared" si="3"/>
        <v>1</v>
      </c>
      <c r="L30" s="230">
        <f t="shared" si="3"/>
        <v>0.96700866931063001</v>
      </c>
      <c r="M30" s="231">
        <f t="shared" si="3"/>
        <v>0.92954767385728587</v>
      </c>
      <c r="N30" s="232">
        <f t="shared" si="3"/>
        <v>0.86642233445013928</v>
      </c>
      <c r="P30" s="229" t="s">
        <v>242</v>
      </c>
      <c r="Q30" s="230">
        <v>0.288804088770238</v>
      </c>
      <c r="R30" s="230">
        <v>0.29868406540028303</v>
      </c>
      <c r="S30" s="231">
        <v>0.31082671265423101</v>
      </c>
      <c r="T30" s="232">
        <v>0.33247976126979101</v>
      </c>
      <c r="U30" s="230">
        <v>1.7053024498898301E-2</v>
      </c>
      <c r="V30" s="231">
        <v>2.2898222372789E-2</v>
      </c>
      <c r="W30" s="232">
        <v>3.4470854709788397E-2</v>
      </c>
    </row>
    <row r="31" spans="1:23" x14ac:dyDescent="0.25">
      <c r="B31" s="229" t="s">
        <v>243</v>
      </c>
      <c r="C31" s="230">
        <v>0.22411025613153901</v>
      </c>
      <c r="D31" s="230">
        <v>0.225473309514307</v>
      </c>
      <c r="E31" s="231">
        <v>0.22908305863392101</v>
      </c>
      <c r="F31" s="232">
        <v>0.24417489444662999</v>
      </c>
      <c r="G31" s="230">
        <v>3.0547684479573802E-3</v>
      </c>
      <c r="H31" s="231">
        <v>9.0209394474281591E-3</v>
      </c>
      <c r="I31" s="232">
        <v>2.9185841203764998E-2</v>
      </c>
      <c r="K31" s="233">
        <f t="shared" si="3"/>
        <v>1</v>
      </c>
      <c r="L31" s="230">
        <f t="shared" si="3"/>
        <v>0.99395470184163193</v>
      </c>
      <c r="M31" s="231">
        <f t="shared" si="3"/>
        <v>0.97829257854318841</v>
      </c>
      <c r="N31" s="232">
        <f t="shared" si="3"/>
        <v>0.91782677592402295</v>
      </c>
      <c r="P31" s="229" t="s">
        <v>243</v>
      </c>
      <c r="Q31" s="230">
        <v>0.22411025613153901</v>
      </c>
      <c r="R31" s="230">
        <v>0.225460573010872</v>
      </c>
      <c r="S31" s="231">
        <v>0.22910857648407301</v>
      </c>
      <c r="T31" s="232">
        <v>0.244579865169262</v>
      </c>
      <c r="U31" s="230">
        <v>2.92168252994377E-3</v>
      </c>
      <c r="V31" s="231">
        <v>9.3609092485006408E-3</v>
      </c>
      <c r="W31" s="232">
        <v>2.89748769371466E-2</v>
      </c>
    </row>
    <row r="32" spans="1:23" x14ac:dyDescent="0.25">
      <c r="B32" s="234" t="s">
        <v>244</v>
      </c>
      <c r="C32" s="235">
        <v>0.199882215465782</v>
      </c>
      <c r="D32" s="235">
        <v>0.218937411966242</v>
      </c>
      <c r="E32" s="236">
        <v>0.25424039615881899</v>
      </c>
      <c r="F32" s="237">
        <v>0.339107670732607</v>
      </c>
      <c r="G32" s="235">
        <v>3.5638254721867497E-2</v>
      </c>
      <c r="H32" s="236">
        <v>7.1721398520095E-2</v>
      </c>
      <c r="I32" s="237">
        <v>0.131026336389369</v>
      </c>
      <c r="J32" s="238"/>
      <c r="K32" s="239">
        <f t="shared" si="3"/>
        <v>1</v>
      </c>
      <c r="L32" s="235">
        <f t="shared" si="3"/>
        <v>0.91296509660305047</v>
      </c>
      <c r="M32" s="236">
        <f t="shared" si="3"/>
        <v>0.78619376969865751</v>
      </c>
      <c r="N32" s="237">
        <f t="shared" si="3"/>
        <v>0.58943584211456257</v>
      </c>
      <c r="P32" s="234" t="s">
        <v>244</v>
      </c>
      <c r="Q32" s="235">
        <v>0.199882215465782</v>
      </c>
      <c r="R32" s="235">
        <v>0.21855912346534401</v>
      </c>
      <c r="S32" s="236">
        <v>0.253815922055669</v>
      </c>
      <c r="T32" s="237">
        <v>0.33875301723724399</v>
      </c>
      <c r="U32" s="235">
        <v>3.4832097565214999E-2</v>
      </c>
      <c r="V32" s="236">
        <v>7.1305246255237098E-2</v>
      </c>
      <c r="W32" s="237">
        <v>0.13067836093117099</v>
      </c>
    </row>
    <row r="33" spans="2:23" x14ac:dyDescent="0.25">
      <c r="B33" s="229"/>
      <c r="C33" s="230"/>
      <c r="D33" s="230"/>
      <c r="E33" s="231"/>
      <c r="F33" s="232"/>
      <c r="G33" s="230"/>
      <c r="H33" s="231"/>
      <c r="I33" s="232"/>
      <c r="L33" s="230"/>
      <c r="M33" s="231"/>
      <c r="N33" s="232"/>
    </row>
    <row r="34" spans="2:23" x14ac:dyDescent="0.25">
      <c r="B34" s="223" t="s">
        <v>245</v>
      </c>
      <c r="C34" s="224">
        <v>0.15258727567275501</v>
      </c>
      <c r="D34" s="224">
        <v>0.15696426844043199</v>
      </c>
      <c r="E34" s="225">
        <v>0.16599960074234099</v>
      </c>
      <c r="F34" s="226">
        <v>0.18699539973615101</v>
      </c>
      <c r="G34" s="224">
        <v>9.9908907317372304E-3</v>
      </c>
      <c r="H34" s="225">
        <v>1.8857580151087201E-2</v>
      </c>
      <c r="I34" s="226">
        <v>3.12516689005524E-2</v>
      </c>
      <c r="J34" s="227"/>
      <c r="K34" s="228">
        <f t="shared" ref="K34:N39" si="4">$C34/C34</f>
        <v>1</v>
      </c>
      <c r="L34" s="224">
        <f t="shared" si="4"/>
        <v>0.9721147187753878</v>
      </c>
      <c r="M34" s="225">
        <f t="shared" si="4"/>
        <v>0.9192026666955414</v>
      </c>
      <c r="N34" s="226">
        <f t="shared" si="4"/>
        <v>0.81599480996887852</v>
      </c>
      <c r="R34" s="241">
        <f t="shared" ref="R34:W34" si="5">(R27-D27)/R27</f>
        <v>-4.5152834848310986E-4</v>
      </c>
      <c r="S34" s="241">
        <f t="shared" si="5"/>
        <v>-1.5619136621822011E-4</v>
      </c>
      <c r="T34" s="241">
        <f t="shared" si="5"/>
        <v>-2.4332897650579275E-3</v>
      </c>
      <c r="U34" s="241">
        <f t="shared" si="5"/>
        <v>-1.2711182446278814E-2</v>
      </c>
      <c r="V34" s="241">
        <f t="shared" si="5"/>
        <v>-1.1797604880410607E-3</v>
      </c>
      <c r="W34" s="241">
        <f t="shared" si="5"/>
        <v>-1.0599970087396208E-4</v>
      </c>
    </row>
    <row r="35" spans="2:23" x14ac:dyDescent="0.25">
      <c r="B35" s="229" t="s">
        <v>246</v>
      </c>
      <c r="C35" s="230">
        <v>0.109223867499251</v>
      </c>
      <c r="D35" s="230">
        <v>0.112723054915328</v>
      </c>
      <c r="E35" s="231">
        <v>0.117593088090212</v>
      </c>
      <c r="F35" s="232">
        <v>0.127575314098479</v>
      </c>
      <c r="G35" s="230">
        <v>6.1419816975088002E-3</v>
      </c>
      <c r="H35" s="231">
        <v>9.2213865199315508E-3</v>
      </c>
      <c r="I35" s="232">
        <v>1.63090881841228E-2</v>
      </c>
      <c r="K35" s="233">
        <f t="shared" si="4"/>
        <v>1</v>
      </c>
      <c r="L35" s="230">
        <f t="shared" si="4"/>
        <v>0.96895765982650661</v>
      </c>
      <c r="M35" s="231">
        <f t="shared" si="4"/>
        <v>0.92882897518142804</v>
      </c>
      <c r="N35" s="232">
        <f t="shared" si="4"/>
        <v>0.85615205630564239</v>
      </c>
      <c r="R35" s="241">
        <f>(T28-F28)/T28</f>
        <v>-3.0873265331125459E-3</v>
      </c>
      <c r="S35" s="241">
        <f>(S28-E28)/S28</f>
        <v>-3.8595966322557788E-3</v>
      </c>
      <c r="T35" s="241">
        <f>(R28-D28)/R28</f>
        <v>-8.5149306450615957E-4</v>
      </c>
      <c r="U35" s="241">
        <f>(W28-I28)/W28</f>
        <v>-1.5758356275526669E-2</v>
      </c>
      <c r="V35" s="241">
        <f>(V28-H28)/V28</f>
        <v>-4.6659504862577361E-2</v>
      </c>
      <c r="W35" s="241">
        <f>(U28-G28)/U28</f>
        <v>-1.4439591730647247E-2</v>
      </c>
    </row>
    <row r="36" spans="2:23" x14ac:dyDescent="0.25">
      <c r="B36" s="234" t="s">
        <v>247</v>
      </c>
      <c r="C36" s="235">
        <v>9.29807856549517E-2</v>
      </c>
      <c r="D36" s="235">
        <v>9.4865606676116002E-2</v>
      </c>
      <c r="E36" s="236">
        <v>0.103350611280003</v>
      </c>
      <c r="F36" s="237">
        <v>0.12938699108833601</v>
      </c>
      <c r="G36" s="235">
        <v>7.9756317000754199E-3</v>
      </c>
      <c r="H36" s="236">
        <v>2.0739797322185401E-2</v>
      </c>
      <c r="I36" s="237">
        <v>4.1526978326603903E-2</v>
      </c>
      <c r="J36" s="238"/>
      <c r="K36" s="239">
        <f t="shared" si="4"/>
        <v>1</v>
      </c>
      <c r="L36" s="235">
        <f t="shared" si="4"/>
        <v>0.98013167166474424</v>
      </c>
      <c r="M36" s="236">
        <f t="shared" si="4"/>
        <v>0.89966362562716906</v>
      </c>
      <c r="N36" s="237">
        <f t="shared" si="4"/>
        <v>0.71862545741921757</v>
      </c>
      <c r="R36" s="241">
        <f>(T29-F29)/T29</f>
        <v>-5.9764109210362982E-3</v>
      </c>
      <c r="S36" s="241">
        <f>(S29-E29)/S29</f>
        <v>1.2844277963416444E-3</v>
      </c>
      <c r="T36" s="241">
        <f>(R29-D29)/R29</f>
        <v>-1.3216628236665945E-3</v>
      </c>
      <c r="U36" s="241">
        <f>(W29-I29)/W29</f>
        <v>-1.0092019733664402E-2</v>
      </c>
      <c r="V36" s="241">
        <f>(V29-H29)/V29</f>
        <v>6.4450380143842535E-3</v>
      </c>
      <c r="W36" s="241">
        <f>(U29-G29)/U29</f>
        <v>-2.141228899852117E-2</v>
      </c>
    </row>
    <row r="37" spans="2:23" x14ac:dyDescent="0.25">
      <c r="B37" s="229" t="s">
        <v>248</v>
      </c>
      <c r="C37" s="230">
        <v>0.100754667297783</v>
      </c>
      <c r="D37" s="230">
        <v>0.11880280944107199</v>
      </c>
      <c r="E37" s="231">
        <v>0.13902267245691799</v>
      </c>
      <c r="F37" s="232">
        <v>0.17013635828798199</v>
      </c>
      <c r="G37" s="230">
        <v>3.1224995168738199E-2</v>
      </c>
      <c r="H37" s="231">
        <v>3.96386305440505E-2</v>
      </c>
      <c r="I37" s="232">
        <v>4.5377271887340503E-2</v>
      </c>
      <c r="K37" s="233">
        <f t="shared" si="4"/>
        <v>1</v>
      </c>
      <c r="L37" s="230">
        <f t="shared" si="4"/>
        <v>0.8480832041918912</v>
      </c>
      <c r="M37" s="231">
        <f t="shared" si="4"/>
        <v>0.72473550908759909</v>
      </c>
      <c r="N37" s="232">
        <f t="shared" si="4"/>
        <v>0.59219950580604419</v>
      </c>
      <c r="R37" s="241">
        <f>(T30-F30)/T30</f>
        <v>-2.55564009962252E-3</v>
      </c>
      <c r="S37" s="241">
        <f>(S30-E30)/S30</f>
        <v>4.2972243520328281E-4</v>
      </c>
      <c r="T37" s="241">
        <f>(R30-D30)/R30</f>
        <v>8.9990130953288046E-5</v>
      </c>
      <c r="U37" s="241">
        <f>(W30-I30)/W30</f>
        <v>-1.0066406007625608E-2</v>
      </c>
      <c r="V37" s="241">
        <f>(V30-H30)/V30</f>
        <v>-8.5924527606480114E-4</v>
      </c>
      <c r="W37" s="241">
        <f>(U30-G30)/U30</f>
        <v>4.1853559316361389E-3</v>
      </c>
    </row>
    <row r="38" spans="2:23" x14ac:dyDescent="0.25">
      <c r="B38" s="229" t="s">
        <v>249</v>
      </c>
      <c r="C38" s="230">
        <v>0.101274147272794</v>
      </c>
      <c r="D38" s="230">
        <v>0.10589503545633799</v>
      </c>
      <c r="E38" s="231">
        <v>0.11128683960282</v>
      </c>
      <c r="F38" s="232">
        <v>0.12135334629299099</v>
      </c>
      <c r="G38" s="230">
        <v>8.0479721477672607E-3</v>
      </c>
      <c r="H38" s="231">
        <v>1.06781715930952E-2</v>
      </c>
      <c r="I38" s="232">
        <v>1.5672900325152998E-2</v>
      </c>
      <c r="K38" s="233">
        <f t="shared" si="4"/>
        <v>1</v>
      </c>
      <c r="L38" s="230">
        <f t="shared" si="4"/>
        <v>0.95636350501578282</v>
      </c>
      <c r="M38" s="231">
        <f t="shared" si="4"/>
        <v>0.91002806472210862</v>
      </c>
      <c r="N38" s="232">
        <f t="shared" si="4"/>
        <v>0.83453938738764966</v>
      </c>
      <c r="R38" s="241">
        <f>(T31-F31)/T31</f>
        <v>1.6557811181707597E-3</v>
      </c>
      <c r="S38" s="241">
        <f>(S31-E31)/S31</f>
        <v>1.1137885165019545E-4</v>
      </c>
      <c r="T38" s="241">
        <f>(R31-D31)/R31</f>
        <v>-5.6491045263098626E-5</v>
      </c>
      <c r="U38" s="241">
        <f>(W31-I31)/W31</f>
        <v>-7.2809374506069575E-3</v>
      </c>
      <c r="V38" s="241">
        <f>(V31-H31)/V31</f>
        <v>3.6318031939785701E-2</v>
      </c>
      <c r="W38" s="241">
        <f>(U31-G31)/U31</f>
        <v>-4.5551122221404249E-2</v>
      </c>
    </row>
    <row r="39" spans="2:23" x14ac:dyDescent="0.25">
      <c r="B39" s="234" t="s">
        <v>250</v>
      </c>
      <c r="C39" s="235">
        <v>0.120455200449128</v>
      </c>
      <c r="D39" s="235">
        <v>0.122931371005503</v>
      </c>
      <c r="E39" s="236">
        <v>0.135174718034139</v>
      </c>
      <c r="F39" s="237">
        <v>0.16922358015879499</v>
      </c>
      <c r="G39" s="235">
        <v>1.07062772411332E-2</v>
      </c>
      <c r="H39" s="236">
        <v>2.9045636106706001E-2</v>
      </c>
      <c r="I39" s="237">
        <v>5.4257553316821402E-2</v>
      </c>
      <c r="J39" s="238"/>
      <c r="K39" s="239">
        <f t="shared" si="4"/>
        <v>1</v>
      </c>
      <c r="L39" s="235">
        <f t="shared" si="4"/>
        <v>0.97985729325133653</v>
      </c>
      <c r="M39" s="236">
        <f t="shared" si="4"/>
        <v>0.89110746595903001</v>
      </c>
      <c r="N39" s="237">
        <f t="shared" si="4"/>
        <v>0.71181096828288337</v>
      </c>
      <c r="R39" s="241">
        <f>(T32-F32)/T32</f>
        <v>-1.0469382627362139E-3</v>
      </c>
      <c r="S39" s="241">
        <f>(S32-E32)/S32</f>
        <v>-1.6723698801562868E-3</v>
      </c>
      <c r="T39" s="241">
        <f>(R32-D32)/R32</f>
        <v>-1.7308291454507859E-3</v>
      </c>
      <c r="U39" s="241">
        <f>(W32-I32)/W32</f>
        <v>-2.6628391702991153E-3</v>
      </c>
      <c r="V39" s="241">
        <f>(V32-H32)/V32</f>
        <v>-5.8362082274884177E-3</v>
      </c>
      <c r="W39" s="241">
        <f>(U32-G32)/U32</f>
        <v>-2.3144088728597426E-2</v>
      </c>
    </row>
    <row r="40" spans="2:23" x14ac:dyDescent="0.25">
      <c r="B40" s="229"/>
      <c r="C40" s="230"/>
      <c r="D40" s="230"/>
      <c r="E40" s="231"/>
      <c r="F40" s="232"/>
      <c r="G40" s="230"/>
      <c r="H40" s="231"/>
      <c r="I40" s="232"/>
      <c r="L40" s="230"/>
      <c r="M40" s="231"/>
      <c r="N40" s="232"/>
    </row>
    <row r="41" spans="2:23" x14ac:dyDescent="0.25">
      <c r="B41" s="223" t="s">
        <v>251</v>
      </c>
      <c r="C41" s="224">
        <v>8.2493693368448098E-2</v>
      </c>
      <c r="D41" s="224">
        <v>8.3985765460296499E-2</v>
      </c>
      <c r="E41" s="225">
        <v>8.7815352576811903E-2</v>
      </c>
      <c r="F41" s="226">
        <v>9.8694799610891198E-2</v>
      </c>
      <c r="G41" s="224">
        <v>3.4747971748474698E-3</v>
      </c>
      <c r="H41" s="225">
        <v>8.449046299037E-3</v>
      </c>
      <c r="I41" s="226">
        <v>1.7119480098317701E-2</v>
      </c>
      <c r="J41" s="227"/>
      <c r="K41" s="228">
        <f t="shared" ref="K41:N46" si="6">$C41/C41</f>
        <v>1</v>
      </c>
      <c r="L41" s="224">
        <f t="shared" si="6"/>
        <v>0.98223422643502889</v>
      </c>
      <c r="M41" s="225">
        <f t="shared" si="6"/>
        <v>0.93939944380785856</v>
      </c>
      <c r="N41" s="226">
        <f t="shared" si="6"/>
        <v>0.83584640420451017</v>
      </c>
    </row>
    <row r="42" spans="2:23" x14ac:dyDescent="0.25">
      <c r="B42" s="229" t="s">
        <v>252</v>
      </c>
      <c r="C42" s="230">
        <v>5.4494227025470299E-2</v>
      </c>
      <c r="D42" s="230">
        <v>5.5226519674520101E-2</v>
      </c>
      <c r="E42" s="231">
        <v>5.6854815477531101E-2</v>
      </c>
      <c r="F42" s="232">
        <v>6.1893421692002903E-2</v>
      </c>
      <c r="G42" s="230">
        <v>1.9263038968842601E-3</v>
      </c>
      <c r="H42" s="231">
        <v>3.6916599898453701E-3</v>
      </c>
      <c r="I42" s="232">
        <v>8.5630641219757997E-3</v>
      </c>
      <c r="K42" s="233">
        <f t="shared" si="6"/>
        <v>1</v>
      </c>
      <c r="L42" s="230">
        <f t="shared" si="6"/>
        <v>0.98674019921288536</v>
      </c>
      <c r="M42" s="231">
        <f t="shared" si="6"/>
        <v>0.95848041309722121</v>
      </c>
      <c r="N42" s="232">
        <f t="shared" si="6"/>
        <v>0.88045264804791623</v>
      </c>
    </row>
    <row r="43" spans="2:23" x14ac:dyDescent="0.25">
      <c r="B43" s="234" t="s">
        <v>253</v>
      </c>
      <c r="C43" s="235">
        <v>3.2531330348448101E-2</v>
      </c>
      <c r="D43" s="235">
        <v>3.7381144067603497E-2</v>
      </c>
      <c r="E43" s="236">
        <v>4.4931179800789499E-2</v>
      </c>
      <c r="F43" s="237">
        <v>6.2586221799742603E-2</v>
      </c>
      <c r="G43" s="235">
        <v>9.1124114261486693E-3</v>
      </c>
      <c r="H43" s="236">
        <v>1.5679471591590801E-2</v>
      </c>
      <c r="I43" s="237">
        <v>2.4812628666815301E-2</v>
      </c>
      <c r="J43" s="238"/>
      <c r="K43" s="239">
        <f t="shared" si="6"/>
        <v>1</v>
      </c>
      <c r="L43" s="235">
        <f t="shared" si="6"/>
        <v>0.8702604256738492</v>
      </c>
      <c r="M43" s="236">
        <f t="shared" si="6"/>
        <v>0.72402573207918486</v>
      </c>
      <c r="N43" s="237">
        <f t="shared" si="6"/>
        <v>0.51978421788327045</v>
      </c>
    </row>
    <row r="44" spans="2:23" x14ac:dyDescent="0.25">
      <c r="B44" s="229" t="s">
        <v>254</v>
      </c>
      <c r="C44" s="230">
        <v>5.3964757934765198E-2</v>
      </c>
      <c r="D44" s="230">
        <v>6.5990507155031505E-2</v>
      </c>
      <c r="E44" s="231">
        <v>7.8765427152504397E-2</v>
      </c>
      <c r="F44" s="232">
        <v>9.4761086579730994E-2</v>
      </c>
      <c r="G44" s="230">
        <v>2.0663878407690999E-2</v>
      </c>
      <c r="H44" s="231">
        <v>2.4717957393288598E-2</v>
      </c>
      <c r="I44" s="232">
        <v>2.4828987100124301E-2</v>
      </c>
      <c r="K44" s="233">
        <f t="shared" si="6"/>
        <v>1</v>
      </c>
      <c r="L44" s="230">
        <f t="shared" si="6"/>
        <v>0.81776546750861889</v>
      </c>
      <c r="M44" s="231">
        <f t="shared" si="6"/>
        <v>0.68513254971980886</v>
      </c>
      <c r="N44" s="232">
        <f t="shared" si="6"/>
        <v>0.56948226199748997</v>
      </c>
    </row>
    <row r="45" spans="2:23" x14ac:dyDescent="0.25">
      <c r="B45" s="229" t="s">
        <v>255</v>
      </c>
      <c r="C45" s="230">
        <v>5.2906625445447601E-2</v>
      </c>
      <c r="D45" s="230">
        <v>5.5398930832998197E-2</v>
      </c>
      <c r="E45" s="231">
        <v>5.8415610458216298E-2</v>
      </c>
      <c r="F45" s="232">
        <v>6.3684877883198099E-2</v>
      </c>
      <c r="G45" s="230">
        <v>4.3483225462546899E-3</v>
      </c>
      <c r="H45" s="231">
        <v>5.7251660116582597E-3</v>
      </c>
      <c r="I45" s="232">
        <v>8.1091410985403602E-3</v>
      </c>
      <c r="K45" s="233">
        <f t="shared" si="6"/>
        <v>1</v>
      </c>
      <c r="L45" s="230">
        <f t="shared" si="6"/>
        <v>0.95501166989912267</v>
      </c>
      <c r="M45" s="231">
        <f t="shared" si="6"/>
        <v>0.90569327326110571</v>
      </c>
      <c r="N45" s="232">
        <f t="shared" si="6"/>
        <v>0.8307564873168406</v>
      </c>
    </row>
    <row r="46" spans="2:23" x14ac:dyDescent="0.25">
      <c r="B46" s="234" t="s">
        <v>256</v>
      </c>
      <c r="C46" s="235">
        <v>5.9583875655284897E-2</v>
      </c>
      <c r="D46" s="235">
        <v>6.3291224579342498E-2</v>
      </c>
      <c r="E46" s="236">
        <v>7.0926948282376598E-2</v>
      </c>
      <c r="F46" s="237">
        <v>9.0282514665104299E-2</v>
      </c>
      <c r="G46" s="235">
        <v>7.7387216291744804E-3</v>
      </c>
      <c r="H46" s="236">
        <v>1.6283356854652601E-2</v>
      </c>
      <c r="I46" s="237">
        <v>2.8906570427639E-2</v>
      </c>
      <c r="J46" s="238"/>
      <c r="K46" s="239">
        <f t="shared" si="6"/>
        <v>1</v>
      </c>
      <c r="L46" s="235">
        <f t="shared" si="6"/>
        <v>0.9414239659810969</v>
      </c>
      <c r="M46" s="236">
        <f t="shared" si="6"/>
        <v>0.8400738661145789</v>
      </c>
      <c r="N46" s="237">
        <f t="shared" si="6"/>
        <v>0.6599713784701996</v>
      </c>
    </row>
    <row r="47" spans="2:23" ht="18.75" x14ac:dyDescent="0.25">
      <c r="K47" s="240">
        <f>AVERAGE(K27:K46)</f>
        <v>1</v>
      </c>
      <c r="L47" s="240">
        <f>AVERAGE(L27:L46)</f>
        <v>0.94582845200551757</v>
      </c>
      <c r="M47" s="240">
        <f>AVERAGE(M27:M46)</f>
        <v>0.87290379552649955</v>
      </c>
      <c r="N47" s="240">
        <f>AVERAGE(N27:N46)</f>
        <v>0.7495866842243083</v>
      </c>
    </row>
  </sheetData>
  <mergeCells count="3">
    <mergeCell ref="D3:F3"/>
    <mergeCell ref="G3:I3"/>
    <mergeCell ref="L3:N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3">
    <tabColor rgb="FF00FF00"/>
  </sheetPr>
  <dimension ref="A1:W33"/>
  <sheetViews>
    <sheetView zoomScaleNormal="100" workbookViewId="0">
      <selection activeCell="A5" sqref="A5"/>
    </sheetView>
  </sheetViews>
  <sheetFormatPr defaultRowHeight="15" x14ac:dyDescent="0.25"/>
  <cols>
    <col min="2" max="2" width="11.42578125" bestFit="1" customWidth="1"/>
    <col min="3" max="10" width="10.7109375" customWidth="1"/>
    <col min="11" max="13" width="9.42578125" customWidth="1"/>
    <col min="14" max="16" width="10.7109375" customWidth="1"/>
    <col min="17" max="18" width="9.42578125" customWidth="1"/>
  </cols>
  <sheetData>
    <row r="1" spans="1:17" ht="15.75" x14ac:dyDescent="0.25">
      <c r="E1" s="207" t="s">
        <v>136</v>
      </c>
      <c r="F1" s="208">
        <f>AVERAGE(F9:F14)</f>
        <v>0.70350835029434611</v>
      </c>
      <c r="G1" s="208">
        <f>AVERAGE(G9:G14)</f>
        <v>0.89681999251647992</v>
      </c>
      <c r="H1" s="209"/>
      <c r="I1" s="209"/>
      <c r="J1" s="207"/>
      <c r="K1" s="208">
        <f>AVERAGE(K9:K14)</f>
        <v>0.80555617045112948</v>
      </c>
      <c r="L1" s="208">
        <f>AVERAGE(L9:L14)</f>
        <v>0.99999618059038697</v>
      </c>
    </row>
    <row r="2" spans="1:17" ht="15.75" x14ac:dyDescent="0.25">
      <c r="D2" s="211"/>
      <c r="E2" s="210" t="s">
        <v>211</v>
      </c>
      <c r="F2" s="212">
        <f>1-MAX(F9:F14)</f>
        <v>0.18871255785424845</v>
      </c>
      <c r="G2" s="213">
        <f>1-MIN(F9:F14)</f>
        <v>0.54898389527961577</v>
      </c>
      <c r="H2" s="209"/>
      <c r="I2" s="211"/>
      <c r="J2" s="210" t="s">
        <v>211</v>
      </c>
      <c r="K2" s="212">
        <f>1-MAX(K9:K14)</f>
        <v>9.402252789910448E-2</v>
      </c>
      <c r="L2" s="213">
        <f>1-MIN(K9:K14)</f>
        <v>0.25810825863137743</v>
      </c>
    </row>
    <row r="3" spans="1:17" ht="15.75" x14ac:dyDescent="0.25">
      <c r="A3" s="47" t="s">
        <v>280</v>
      </c>
      <c r="B3" s="13"/>
      <c r="C3" s="13"/>
      <c r="D3" s="13"/>
      <c r="F3" s="212">
        <f>1-MAX(G9:G14)</f>
        <v>5.9885973337941989E-3</v>
      </c>
      <c r="G3" s="213">
        <f>1-MIN(G9:G14)</f>
        <v>0.17706752429521355</v>
      </c>
      <c r="H3" s="13"/>
      <c r="I3" s="13"/>
      <c r="K3" s="212">
        <f>1-MAX(L9:L14)</f>
        <v>1.4739764964133428E-11</v>
      </c>
      <c r="L3" s="213">
        <f>1-MIN(L9:L14)</f>
        <v>2.2124857164573797E-5</v>
      </c>
      <c r="N3" s="13"/>
    </row>
    <row r="4" spans="1:17" ht="36" customHeight="1" x14ac:dyDescent="0.25">
      <c r="A4" s="738" t="s">
        <v>639</v>
      </c>
      <c r="B4" s="738"/>
      <c r="C4" s="738"/>
      <c r="D4" s="738"/>
      <c r="E4" s="738"/>
      <c r="F4" s="738"/>
      <c r="G4" s="738"/>
      <c r="H4" s="738"/>
      <c r="I4" s="738"/>
      <c r="K4" s="13"/>
      <c r="L4" s="13"/>
      <c r="N4" s="13"/>
    </row>
    <row r="5" spans="1:17" ht="15.75" x14ac:dyDescent="0.25">
      <c r="B5" s="13"/>
      <c r="C5" s="13"/>
      <c r="D5" s="13"/>
      <c r="E5" s="13"/>
      <c r="F5" s="13"/>
      <c r="G5" s="13"/>
      <c r="H5" s="13"/>
      <c r="I5" s="13"/>
      <c r="J5" s="13"/>
      <c r="K5" s="13"/>
      <c r="L5" s="13"/>
      <c r="N5" s="13"/>
    </row>
    <row r="6" spans="1:17" ht="15.75" x14ac:dyDescent="0.25">
      <c r="A6" s="55" t="s">
        <v>139</v>
      </c>
      <c r="B6" s="55" t="s">
        <v>111</v>
      </c>
      <c r="C6" s="574" t="s">
        <v>563</v>
      </c>
      <c r="D6" s="50"/>
      <c r="E6" s="50"/>
      <c r="F6" s="50"/>
      <c r="G6" s="50"/>
      <c r="H6" s="574" t="s">
        <v>564</v>
      </c>
      <c r="I6" s="50"/>
      <c r="J6" s="50"/>
      <c r="K6" s="50"/>
      <c r="L6" s="50"/>
    </row>
    <row r="7" spans="1:17" ht="18.75" x14ac:dyDescent="0.35">
      <c r="B7" s="5"/>
      <c r="C7" s="126" t="s">
        <v>557</v>
      </c>
      <c r="D7" s="126" t="s">
        <v>558</v>
      </c>
      <c r="E7" s="126" t="s">
        <v>559</v>
      </c>
      <c r="F7" s="169" t="s">
        <v>560</v>
      </c>
      <c r="G7" s="169" t="s">
        <v>561</v>
      </c>
      <c r="H7" s="126" t="s">
        <v>557</v>
      </c>
      <c r="I7" s="126" t="s">
        <v>558</v>
      </c>
      <c r="J7" s="126" t="s">
        <v>559</v>
      </c>
      <c r="K7" s="169" t="s">
        <v>560</v>
      </c>
      <c r="L7" s="169" t="s">
        <v>561</v>
      </c>
    </row>
    <row r="8" spans="1:17" ht="18.75" x14ac:dyDescent="0.25">
      <c r="A8" s="14"/>
      <c r="B8" s="42"/>
      <c r="C8" s="6" t="s">
        <v>131</v>
      </c>
      <c r="D8" s="6" t="s">
        <v>131</v>
      </c>
      <c r="E8" s="6" t="s">
        <v>131</v>
      </c>
      <c r="F8" s="5"/>
      <c r="G8" s="5"/>
      <c r="H8" s="6" t="s">
        <v>131</v>
      </c>
      <c r="I8" s="6" t="s">
        <v>131</v>
      </c>
      <c r="J8" s="6" t="s">
        <v>131</v>
      </c>
      <c r="K8" s="5"/>
      <c r="L8" s="5"/>
    </row>
    <row r="9" spans="1:17" ht="20.100000000000001" customHeight="1" x14ac:dyDescent="0.25">
      <c r="A9" s="5" t="s">
        <v>125</v>
      </c>
      <c r="B9" s="55">
        <v>2211</v>
      </c>
      <c r="C9" s="45">
        <v>0.76951992973889205</v>
      </c>
      <c r="D9" s="45">
        <v>0.53376464952283398</v>
      </c>
      <c r="E9" s="45">
        <v>0.45483662002049002</v>
      </c>
      <c r="F9" s="45">
        <f t="shared" ref="F9:F14" si="0">D9/C9</f>
        <v>0.69363330161435477</v>
      </c>
      <c r="G9" s="45">
        <f t="shared" ref="G9:G14" si="1">E9/D9</f>
        <v>0.8521295301723284</v>
      </c>
      <c r="H9" s="45">
        <v>28.204051743941598</v>
      </c>
      <c r="I9" s="45">
        <v>22.929177852320503</v>
      </c>
      <c r="J9" s="45">
        <v>22.929177295672503</v>
      </c>
      <c r="K9" s="45">
        <f t="shared" ref="K9:K14" si="2">I9/H9</f>
        <v>0.81297460593568194</v>
      </c>
      <c r="L9" s="45">
        <f t="shared" ref="L9:L14" si="3">J9/I9</f>
        <v>0.99999997572315924</v>
      </c>
    </row>
    <row r="10" spans="1:17" ht="20.100000000000001" customHeight="1" x14ac:dyDescent="0.25">
      <c r="A10" s="5"/>
      <c r="B10" s="42">
        <v>2213</v>
      </c>
      <c r="C10" s="44">
        <v>0.79149631782251406</v>
      </c>
      <c r="D10" s="44">
        <v>0.64104751538325799</v>
      </c>
      <c r="E10" s="44">
        <v>0.54560109950538294</v>
      </c>
      <c r="F10" s="44">
        <f t="shared" si="0"/>
        <v>0.80991850618691963</v>
      </c>
      <c r="G10" s="44">
        <f t="shared" si="1"/>
        <v>0.85110867199787632</v>
      </c>
      <c r="H10" s="44">
        <v>8.4498967394381701</v>
      </c>
      <c r="I10" s="44">
        <v>6.2689086064068302</v>
      </c>
      <c r="J10" s="44">
        <v>6.2689060354420407</v>
      </c>
      <c r="K10" s="44">
        <f t="shared" si="2"/>
        <v>0.74189174136862257</v>
      </c>
      <c r="L10" s="44">
        <f t="shared" si="3"/>
        <v>0.99999958988638205</v>
      </c>
    </row>
    <row r="11" spans="1:17" ht="20.100000000000001" customHeight="1" x14ac:dyDescent="0.25">
      <c r="A11" s="113"/>
      <c r="B11" s="14">
        <v>2215</v>
      </c>
      <c r="C11" s="46">
        <v>0.89488199965389903</v>
      </c>
      <c r="D11" s="46">
        <v>0.72600652852148706</v>
      </c>
      <c r="E11" s="46">
        <v>0.59745434989402502</v>
      </c>
      <c r="F11" s="46">
        <f t="shared" si="0"/>
        <v>0.81128744214575155</v>
      </c>
      <c r="G11" s="46">
        <f t="shared" si="1"/>
        <v>0.82293247570478645</v>
      </c>
      <c r="H11" s="46">
        <v>13.8929042402255</v>
      </c>
      <c r="I11" s="46">
        <v>10.711782233771899</v>
      </c>
      <c r="J11" s="46">
        <v>10.711545237119999</v>
      </c>
      <c r="K11" s="46">
        <f t="shared" si="2"/>
        <v>0.77102541330105889</v>
      </c>
      <c r="L11" s="46">
        <f t="shared" si="3"/>
        <v>0.99997787514283543</v>
      </c>
    </row>
    <row r="12" spans="1:17" s="17" customFormat="1" ht="20.100000000000001" customHeight="1" x14ac:dyDescent="0.25">
      <c r="A12" s="6" t="s">
        <v>126</v>
      </c>
      <c r="B12" s="55">
        <v>2219</v>
      </c>
      <c r="C12" s="45">
        <v>0.67264127914224292</v>
      </c>
      <c r="D12" s="45">
        <v>0.30337204959287101</v>
      </c>
      <c r="E12" s="45">
        <v>0.26430418635309999</v>
      </c>
      <c r="F12" s="45">
        <f t="shared" si="0"/>
        <v>0.45101610472038417</v>
      </c>
      <c r="G12" s="45">
        <f t="shared" si="1"/>
        <v>0.87122128326521653</v>
      </c>
      <c r="H12" s="45">
        <v>16.6581950229602</v>
      </c>
      <c r="I12" s="45">
        <v>15.091949416665202</v>
      </c>
      <c r="J12" s="45">
        <v>15.091948908365399</v>
      </c>
      <c r="K12" s="45">
        <f t="shared" si="2"/>
        <v>0.90597747210089552</v>
      </c>
      <c r="L12" s="45">
        <f t="shared" si="3"/>
        <v>0.99999996631980481</v>
      </c>
    </row>
    <row r="13" spans="1:17" ht="20.100000000000001" customHeight="1" x14ac:dyDescent="0.25">
      <c r="A13" s="5"/>
      <c r="B13" s="42">
        <v>2221</v>
      </c>
      <c r="C13" s="44">
        <v>1.0123601919680301</v>
      </c>
      <c r="D13" s="44">
        <v>0.68343108812875397</v>
      </c>
      <c r="E13" s="44">
        <v>0.67933829453655403</v>
      </c>
      <c r="F13" s="44">
        <f t="shared" si="0"/>
        <v>0.67508688463951028</v>
      </c>
      <c r="G13" s="44">
        <f t="shared" si="1"/>
        <v>0.9940114026662058</v>
      </c>
      <c r="H13" s="44">
        <v>12.262925913336598</v>
      </c>
      <c r="I13" s="44">
        <v>10.1968247515654</v>
      </c>
      <c r="J13" s="44">
        <v>10.1968247514151</v>
      </c>
      <c r="K13" s="44">
        <f t="shared" si="2"/>
        <v>0.83151646055985695</v>
      </c>
      <c r="L13" s="44">
        <f t="shared" si="3"/>
        <v>0.99999999998526024</v>
      </c>
    </row>
    <row r="14" spans="1:17" ht="20.100000000000001" customHeight="1" x14ac:dyDescent="0.25">
      <c r="A14" s="113"/>
      <c r="B14" s="14">
        <v>2223</v>
      </c>
      <c r="C14" s="46">
        <v>0.83644661818274302</v>
      </c>
      <c r="D14" s="46">
        <v>0.65251858337172997</v>
      </c>
      <c r="E14" s="46">
        <v>0.64567796437298297</v>
      </c>
      <c r="F14" s="46">
        <f t="shared" si="0"/>
        <v>0.78010786245915664</v>
      </c>
      <c r="G14" s="46">
        <f t="shared" si="1"/>
        <v>0.98951659129246594</v>
      </c>
      <c r="H14" s="46">
        <v>12.539846111469002</v>
      </c>
      <c r="I14" s="46">
        <v>9.6550711845068609</v>
      </c>
      <c r="J14" s="46">
        <v>9.6550680609453501</v>
      </c>
      <c r="K14" s="46">
        <f t="shared" si="2"/>
        <v>0.76995132944066091</v>
      </c>
      <c r="L14" s="46">
        <f t="shared" si="3"/>
        <v>0.9999996764848802</v>
      </c>
    </row>
    <row r="15" spans="1:17" ht="20.100000000000001" customHeight="1" x14ac:dyDescent="0.35">
      <c r="A15" s="123" t="s">
        <v>172</v>
      </c>
      <c r="C15" s="13"/>
      <c r="D15" s="13"/>
      <c r="E15" s="13"/>
      <c r="F15" s="13"/>
      <c r="G15" s="13"/>
      <c r="H15" s="13"/>
      <c r="I15" s="13"/>
      <c r="J15" s="13"/>
      <c r="K15" s="13"/>
      <c r="N15" s="13"/>
      <c r="O15" s="13"/>
      <c r="P15" s="13"/>
      <c r="Q15" s="13"/>
    </row>
    <row r="16" spans="1:17" ht="20.100000000000001" customHeight="1" x14ac:dyDescent="0.35">
      <c r="A16" s="124" t="s">
        <v>173</v>
      </c>
      <c r="C16" s="13"/>
      <c r="D16" s="13"/>
      <c r="E16" s="13"/>
      <c r="F16" s="13"/>
      <c r="G16" s="13"/>
      <c r="H16" s="13"/>
      <c r="I16" s="13"/>
      <c r="J16" s="13"/>
      <c r="K16" s="13"/>
      <c r="N16" s="13"/>
    </row>
    <row r="17" spans="1:23" ht="20.100000000000001" customHeight="1" x14ac:dyDescent="0.35">
      <c r="A17" s="124" t="s">
        <v>174</v>
      </c>
      <c r="K17" s="13"/>
    </row>
    <row r="18" spans="1:23" ht="20.100000000000001" customHeight="1" x14ac:dyDescent="0.35">
      <c r="A18" s="13" t="s">
        <v>175</v>
      </c>
      <c r="B18" s="124"/>
      <c r="K18" s="13"/>
    </row>
    <row r="19" spans="1:23" ht="18.75" x14ac:dyDescent="0.35">
      <c r="A19" s="13" t="s">
        <v>176</v>
      </c>
      <c r="B19" s="124"/>
      <c r="K19" s="13"/>
    </row>
    <row r="20" spans="1:23" ht="15.75" x14ac:dyDescent="0.25">
      <c r="A20" s="13"/>
      <c r="B20" s="124"/>
      <c r="K20" s="13"/>
    </row>
    <row r="21" spans="1:23" ht="15.75" x14ac:dyDescent="0.25">
      <c r="A21" s="206" t="s">
        <v>568</v>
      </c>
      <c r="B21" s="124"/>
      <c r="K21" s="13"/>
    </row>
    <row r="22" spans="1:23" ht="15.75" x14ac:dyDescent="0.25">
      <c r="E22" s="207" t="s">
        <v>136</v>
      </c>
      <c r="F22" s="208">
        <f>AVERAGE(F28:F33)</f>
        <v>0.63225930184067913</v>
      </c>
      <c r="G22" s="208">
        <f>AVERAGE(G28:G33)</f>
        <v>0.99111773642661294</v>
      </c>
      <c r="H22" s="209"/>
      <c r="I22" s="209"/>
      <c r="J22" s="207"/>
      <c r="K22" s="208">
        <f>AVERAGE(K28:K33)</f>
        <v>0.73044666962454308</v>
      </c>
      <c r="L22" s="208">
        <f>AVERAGE(L28:L33)</f>
        <v>0.99999123979426174</v>
      </c>
      <c r="P22" s="207" t="s">
        <v>136</v>
      </c>
      <c r="Q22" s="208">
        <f>AVERAGE(Q28:Q33)</f>
        <v>0.69831183170135758</v>
      </c>
      <c r="R22" s="208">
        <f>AVERAGE(R28:R33)</f>
        <v>0.97976121785602677</v>
      </c>
      <c r="S22" s="209"/>
      <c r="T22" s="209"/>
      <c r="U22" s="207"/>
      <c r="V22" s="208">
        <f>AVERAGE(V28:V33)</f>
        <v>0.77829822012577965</v>
      </c>
      <c r="W22" s="208">
        <f>AVERAGE(W28:W33)</f>
        <v>0.99999177319341248</v>
      </c>
    </row>
    <row r="23" spans="1:23" ht="15.75" x14ac:dyDescent="0.25">
      <c r="D23" s="211"/>
      <c r="E23" s="210" t="s">
        <v>211</v>
      </c>
      <c r="F23" s="212">
        <f>1-MAX(F28:F33)</f>
        <v>0.16829721155583677</v>
      </c>
      <c r="G23" s="213">
        <f>1-MIN(F28:F33)</f>
        <v>0.53164566608873132</v>
      </c>
      <c r="H23" s="209"/>
      <c r="I23" s="211"/>
      <c r="J23" s="210" t="s">
        <v>211</v>
      </c>
      <c r="K23" s="212">
        <f>1-MAX(K28:K33)</f>
        <v>0.1709827456236328</v>
      </c>
      <c r="L23" s="213">
        <f>1-MIN(K28:K33)</f>
        <v>0.36629996604904447</v>
      </c>
      <c r="O23" s="211"/>
      <c r="P23" s="210" t="s">
        <v>211</v>
      </c>
      <c r="Q23" s="212">
        <f>1-MAX(Q28:Q33)</f>
        <v>0.18584179822020186</v>
      </c>
      <c r="R23" s="213">
        <f>1-MIN(Q28:Q33)</f>
        <v>0.45603101518167366</v>
      </c>
      <c r="S23" s="209"/>
      <c r="T23" s="211"/>
      <c r="U23" s="210" t="s">
        <v>211</v>
      </c>
      <c r="V23" s="212">
        <f>1-MAX(V28:V33)</f>
        <v>0.18135398908182043</v>
      </c>
      <c r="W23" s="213">
        <f>1-MIN(V28:V33)</f>
        <v>0.25582079048720119</v>
      </c>
    </row>
    <row r="24" spans="1:23" ht="15.75" x14ac:dyDescent="0.25">
      <c r="C24" s="13"/>
      <c r="E24" s="13"/>
      <c r="F24" s="13"/>
      <c r="G24" s="13"/>
    </row>
    <row r="25" spans="1:23" ht="15.75" x14ac:dyDescent="0.25">
      <c r="A25" s="55" t="s">
        <v>139</v>
      </c>
      <c r="B25" s="55" t="s">
        <v>111</v>
      </c>
      <c r="C25" s="574" t="s">
        <v>562</v>
      </c>
      <c r="D25" s="33"/>
      <c r="E25" s="33"/>
      <c r="F25" s="33"/>
      <c r="G25" s="33"/>
      <c r="H25" s="574" t="s">
        <v>565</v>
      </c>
      <c r="I25" s="33"/>
      <c r="J25" s="33"/>
      <c r="K25" s="33"/>
      <c r="L25" s="33"/>
      <c r="N25" s="574" t="s">
        <v>566</v>
      </c>
      <c r="O25" s="33"/>
      <c r="P25" s="33"/>
      <c r="Q25" s="33"/>
      <c r="R25" s="33"/>
      <c r="S25" s="574" t="s">
        <v>567</v>
      </c>
      <c r="T25" s="33"/>
      <c r="U25" s="33"/>
      <c r="V25" s="33"/>
      <c r="W25" s="33"/>
    </row>
    <row r="26" spans="1:23" ht="18.75" x14ac:dyDescent="0.35">
      <c r="B26" s="5"/>
      <c r="C26" s="126" t="s">
        <v>557</v>
      </c>
      <c r="D26" s="126" t="s">
        <v>558</v>
      </c>
      <c r="E26" s="126" t="s">
        <v>559</v>
      </c>
      <c r="F26" s="169" t="s">
        <v>560</v>
      </c>
      <c r="G26" s="169" t="s">
        <v>561</v>
      </c>
      <c r="H26" s="126" t="s">
        <v>557</v>
      </c>
      <c r="I26" s="126" t="s">
        <v>558</v>
      </c>
      <c r="J26" s="126" t="s">
        <v>559</v>
      </c>
      <c r="K26" s="169" t="s">
        <v>560</v>
      </c>
      <c r="L26" s="169" t="s">
        <v>561</v>
      </c>
      <c r="N26" s="126" t="s">
        <v>557</v>
      </c>
      <c r="O26" s="126" t="s">
        <v>558</v>
      </c>
      <c r="P26" s="126" t="s">
        <v>559</v>
      </c>
      <c r="Q26" s="169" t="s">
        <v>560</v>
      </c>
      <c r="R26" s="169" t="s">
        <v>561</v>
      </c>
      <c r="S26" s="126" t="s">
        <v>557</v>
      </c>
      <c r="T26" s="126" t="s">
        <v>558</v>
      </c>
      <c r="U26" s="126" t="s">
        <v>559</v>
      </c>
      <c r="V26" s="169" t="s">
        <v>560</v>
      </c>
      <c r="W26" s="169" t="s">
        <v>561</v>
      </c>
    </row>
    <row r="27" spans="1:23" ht="18.75" x14ac:dyDescent="0.25">
      <c r="A27" s="14"/>
      <c r="B27" s="42"/>
      <c r="C27" s="6" t="s">
        <v>131</v>
      </c>
      <c r="D27" s="6" t="s">
        <v>131</v>
      </c>
      <c r="E27" s="6" t="s">
        <v>131</v>
      </c>
      <c r="F27" s="5"/>
      <c r="G27" s="5"/>
      <c r="H27" s="6" t="s">
        <v>131</v>
      </c>
      <c r="I27" s="6" t="s">
        <v>131</v>
      </c>
      <c r="J27" s="6" t="s">
        <v>131</v>
      </c>
      <c r="K27" s="5"/>
      <c r="L27" s="5"/>
      <c r="N27" s="6" t="s">
        <v>131</v>
      </c>
      <c r="O27" s="6" t="s">
        <v>131</v>
      </c>
      <c r="P27" s="6" t="s">
        <v>131</v>
      </c>
      <c r="Q27" s="5"/>
      <c r="R27" s="5"/>
      <c r="S27" s="6" t="s">
        <v>131</v>
      </c>
      <c r="T27" s="6" t="s">
        <v>131</v>
      </c>
      <c r="U27" s="6" t="s">
        <v>131</v>
      </c>
      <c r="V27" s="5"/>
      <c r="W27" s="5"/>
    </row>
    <row r="28" spans="1:23" ht="15.75" x14ac:dyDescent="0.25">
      <c r="A28" s="5" t="s">
        <v>125</v>
      </c>
      <c r="B28" s="55">
        <v>2211</v>
      </c>
      <c r="C28" s="45">
        <v>0.772962202997998</v>
      </c>
      <c r="D28" s="45">
        <v>0.42821348578469498</v>
      </c>
      <c r="E28" s="12">
        <v>0.41919554853886898</v>
      </c>
      <c r="F28" s="45">
        <f t="shared" ref="F28:F33" si="4">D28/C28</f>
        <v>0.55399020045719372</v>
      </c>
      <c r="G28" s="45">
        <f t="shared" ref="G28:G33" si="5">E28/D28</f>
        <v>0.97894055758355958</v>
      </c>
      <c r="H28" s="45">
        <v>27.426573494173002</v>
      </c>
      <c r="I28" s="45">
        <v>22.670701635293199</v>
      </c>
      <c r="J28" s="12">
        <v>22.670694112760401</v>
      </c>
      <c r="K28" s="45">
        <f t="shared" ref="K28:K33" si="6">I28/H28</f>
        <v>0.8265962075105654</v>
      </c>
      <c r="L28" s="45">
        <f t="shared" ref="L28:L33" si="7">J28/I28</f>
        <v>0.99999966818262098</v>
      </c>
      <c r="N28" s="45">
        <v>0.76847816477397601</v>
      </c>
      <c r="O28" s="45">
        <v>0.43729842475180697</v>
      </c>
      <c r="P28" s="12">
        <v>0.42541168818721703</v>
      </c>
      <c r="Q28" s="45">
        <f t="shared" ref="Q28:Q33" si="8">O28/N28</f>
        <v>0.56904469742536501</v>
      </c>
      <c r="R28" s="45">
        <f t="shared" ref="R28:R33" si="9">P28/O28</f>
        <v>0.97281779240038113</v>
      </c>
      <c r="S28" s="45">
        <v>19.723487612892701</v>
      </c>
      <c r="T28" s="45">
        <v>15.5711730449126</v>
      </c>
      <c r="U28" s="12">
        <v>15.571166419267</v>
      </c>
      <c r="V28" s="45">
        <f t="shared" ref="V28:V33" si="10">T28/S28</f>
        <v>0.78947361392283144</v>
      </c>
      <c r="W28" s="45">
        <f t="shared" ref="W28:W33" si="11">U28/T28</f>
        <v>0.99999957449284127</v>
      </c>
    </row>
    <row r="29" spans="1:23" ht="15.75" x14ac:dyDescent="0.25">
      <c r="A29" s="5"/>
      <c r="B29" s="42">
        <v>2213</v>
      </c>
      <c r="C29" s="44">
        <v>2.19874699441921</v>
      </c>
      <c r="D29" s="44">
        <v>1.1266607471362</v>
      </c>
      <c r="E29" s="10">
        <v>1.1212672904374901</v>
      </c>
      <c r="F29" s="44">
        <f t="shared" si="4"/>
        <v>0.51241036371890658</v>
      </c>
      <c r="G29" s="44">
        <f t="shared" si="5"/>
        <v>0.9952128831039696</v>
      </c>
      <c r="H29" s="44">
        <v>28.730165394498702</v>
      </c>
      <c r="I29" s="44">
        <v>22.033578673602999</v>
      </c>
      <c r="J29" s="10">
        <v>22.033557848680999</v>
      </c>
      <c r="K29" s="44">
        <f t="shared" si="6"/>
        <v>0.76691443892007749</v>
      </c>
      <c r="L29" s="44">
        <f t="shared" si="7"/>
        <v>0.99999905485521401</v>
      </c>
      <c r="N29" s="44">
        <v>0.711224441521491</v>
      </c>
      <c r="O29" s="44">
        <v>0.53852163039438294</v>
      </c>
      <c r="P29" s="10">
        <v>0.52508957977666204</v>
      </c>
      <c r="Q29" s="44">
        <f t="shared" si="8"/>
        <v>0.75717537102963928</v>
      </c>
      <c r="R29" s="44">
        <f t="shared" si="9"/>
        <v>0.97505754669894318</v>
      </c>
      <c r="S29" s="44">
        <v>11.4206851317723</v>
      </c>
      <c r="T29" s="44">
        <v>8.7589858582581499</v>
      </c>
      <c r="U29" s="10">
        <v>8.758964384067049</v>
      </c>
      <c r="V29" s="44">
        <f t="shared" si="10"/>
        <v>0.76694049062701908</v>
      </c>
      <c r="W29" s="44">
        <f t="shared" si="11"/>
        <v>0.99999754832449228</v>
      </c>
    </row>
    <row r="30" spans="1:23" ht="15.75" x14ac:dyDescent="0.25">
      <c r="A30" s="113"/>
      <c r="B30" s="14">
        <v>2215</v>
      </c>
      <c r="C30" s="46">
        <v>4.0094487701905601</v>
      </c>
      <c r="D30" s="46">
        <v>3.33466972229151</v>
      </c>
      <c r="E30" s="11">
        <v>3.3311481299926098</v>
      </c>
      <c r="F30" s="46">
        <f t="shared" si="4"/>
        <v>0.83170278844416323</v>
      </c>
      <c r="G30" s="46">
        <f t="shared" si="5"/>
        <v>0.99894394570012157</v>
      </c>
      <c r="H30" s="46">
        <v>48.054590681558999</v>
      </c>
      <c r="I30" s="46">
        <v>39.838084827006199</v>
      </c>
      <c r="J30" s="11">
        <v>39.838076921930195</v>
      </c>
      <c r="K30" s="46">
        <f t="shared" si="6"/>
        <v>0.8290172543763672</v>
      </c>
      <c r="L30" s="46">
        <f t="shared" si="7"/>
        <v>0.99999980156987878</v>
      </c>
      <c r="N30" s="46">
        <v>0.72136055432279311</v>
      </c>
      <c r="O30" s="46">
        <v>0.53373984529796203</v>
      </c>
      <c r="P30" s="11">
        <v>0.52001022032460498</v>
      </c>
      <c r="Q30" s="46">
        <f t="shared" si="8"/>
        <v>0.73990716861283368</v>
      </c>
      <c r="R30" s="46">
        <f t="shared" si="9"/>
        <v>0.97427655983657646</v>
      </c>
      <c r="S30" s="46">
        <v>12.9464900158519</v>
      </c>
      <c r="T30" s="46">
        <v>9.6345087059620091</v>
      </c>
      <c r="U30" s="11">
        <v>9.6343279030920392</v>
      </c>
      <c r="V30" s="46">
        <f t="shared" si="10"/>
        <v>0.74417920951279881</v>
      </c>
      <c r="W30" s="46">
        <f t="shared" si="11"/>
        <v>0.99998123382566895</v>
      </c>
    </row>
    <row r="31" spans="1:23" ht="15.75" x14ac:dyDescent="0.25">
      <c r="A31" s="6" t="s">
        <v>126</v>
      </c>
      <c r="B31" s="55">
        <v>2219</v>
      </c>
      <c r="C31" s="45">
        <v>1.8043458711364</v>
      </c>
      <c r="D31" s="45">
        <v>1.3523499094313098</v>
      </c>
      <c r="E31" s="45">
        <v>1.33535115491372</v>
      </c>
      <c r="F31" s="45">
        <f t="shared" si="4"/>
        <v>0.74949594258199659</v>
      </c>
      <c r="G31" s="45">
        <f t="shared" si="5"/>
        <v>0.98743020988943753</v>
      </c>
      <c r="H31" s="45">
        <v>36.435772805000404</v>
      </c>
      <c r="I31" s="45">
        <v>24.381481005651899</v>
      </c>
      <c r="J31" s="45">
        <v>24.3812509543997</v>
      </c>
      <c r="K31" s="45">
        <f t="shared" si="6"/>
        <v>0.66916327358111671</v>
      </c>
      <c r="L31" s="45">
        <f t="shared" si="7"/>
        <v>0.99999056450868817</v>
      </c>
      <c r="N31" s="45">
        <v>1.18174123151382</v>
      </c>
      <c r="O31" s="45">
        <v>0.90476066421294199</v>
      </c>
      <c r="P31" s="45">
        <v>0.89602110973827409</v>
      </c>
      <c r="Q31" s="45">
        <f t="shared" si="8"/>
        <v>0.76561656654218313</v>
      </c>
      <c r="R31" s="45">
        <f t="shared" si="9"/>
        <v>0.99034047917824708</v>
      </c>
      <c r="S31" s="45">
        <v>21.772121701588702</v>
      </c>
      <c r="T31" s="45">
        <v>17.180390543591699</v>
      </c>
      <c r="U31" s="45">
        <v>17.180357245429899</v>
      </c>
      <c r="V31" s="45">
        <f t="shared" si="10"/>
        <v>0.78910042755906762</v>
      </c>
      <c r="W31" s="45">
        <f t="shared" si="11"/>
        <v>0.99999806185070617</v>
      </c>
    </row>
    <row r="32" spans="1:23" ht="15.75" x14ac:dyDescent="0.25">
      <c r="A32" s="5"/>
      <c r="B32" s="42">
        <v>2221</v>
      </c>
      <c r="C32" s="44">
        <v>3.9961228728067697</v>
      </c>
      <c r="D32" s="44">
        <v>1.8716014663210001</v>
      </c>
      <c r="E32" s="10">
        <v>1.85762606299571</v>
      </c>
      <c r="F32" s="44">
        <f t="shared" si="4"/>
        <v>0.46835433391126868</v>
      </c>
      <c r="G32" s="44">
        <f t="shared" si="5"/>
        <v>0.99253291708904168</v>
      </c>
      <c r="H32" s="44">
        <v>51.8225855125743</v>
      </c>
      <c r="I32" s="44">
        <v>34.0624055320134</v>
      </c>
      <c r="J32" s="10">
        <v>34.0618235176497</v>
      </c>
      <c r="K32" s="44">
        <f t="shared" si="6"/>
        <v>0.65728880940817691</v>
      </c>
      <c r="L32" s="44">
        <f t="shared" si="7"/>
        <v>0.99998291329239342</v>
      </c>
      <c r="N32" s="44">
        <v>1.04698171932627</v>
      </c>
      <c r="O32" s="44">
        <v>0.56952558298525702</v>
      </c>
      <c r="P32" s="10">
        <v>0.56339224184787595</v>
      </c>
      <c r="Q32" s="44">
        <f t="shared" si="8"/>
        <v>0.54396898481832634</v>
      </c>
      <c r="R32" s="44">
        <f t="shared" si="9"/>
        <v>0.98923078906265771</v>
      </c>
      <c r="S32" s="44">
        <v>17.7967973360707</v>
      </c>
      <c r="T32" s="44">
        <v>13.551363647157</v>
      </c>
      <c r="U32" s="10">
        <v>13.551310478700799</v>
      </c>
      <c r="V32" s="44">
        <f t="shared" si="10"/>
        <v>0.76144956821478105</v>
      </c>
      <c r="W32" s="44">
        <f t="shared" si="11"/>
        <v>0.99999607652354516</v>
      </c>
    </row>
    <row r="33" spans="1:23" ht="15.75" x14ac:dyDescent="0.25">
      <c r="A33" s="113"/>
      <c r="B33" s="14">
        <v>2223</v>
      </c>
      <c r="C33" s="46">
        <v>3.2684458572138499</v>
      </c>
      <c r="D33" s="46">
        <v>2.2147060443699602</v>
      </c>
      <c r="E33" s="11">
        <v>2.2006335921956102</v>
      </c>
      <c r="F33" s="46">
        <f t="shared" si="4"/>
        <v>0.67760218193054655</v>
      </c>
      <c r="G33" s="46">
        <f t="shared" si="5"/>
        <v>0.99364590519354756</v>
      </c>
      <c r="H33" s="46">
        <v>55.073768800616897</v>
      </c>
      <c r="I33" s="46">
        <v>34.900249158758001</v>
      </c>
      <c r="J33" s="11">
        <v>34.899391881489201</v>
      </c>
      <c r="K33" s="46">
        <f t="shared" si="6"/>
        <v>0.63370003395095553</v>
      </c>
      <c r="L33" s="46">
        <f t="shared" si="7"/>
        <v>0.99997543635677499</v>
      </c>
      <c r="N33" s="46">
        <v>0.606990414745883</v>
      </c>
      <c r="O33" s="46">
        <v>0.494186224567082</v>
      </c>
      <c r="P33" s="11">
        <v>0.482742917516992</v>
      </c>
      <c r="Q33" s="46">
        <f t="shared" si="8"/>
        <v>0.81415820177979814</v>
      </c>
      <c r="R33" s="46">
        <f t="shared" si="9"/>
        <v>0.97684413995935526</v>
      </c>
      <c r="S33" s="46">
        <v>13.1338331840508</v>
      </c>
      <c r="T33" s="46">
        <v>10.751960144188001</v>
      </c>
      <c r="U33" s="11">
        <v>10.751725150887001</v>
      </c>
      <c r="V33" s="46">
        <f t="shared" si="10"/>
        <v>0.81864601091817957</v>
      </c>
      <c r="W33" s="46">
        <f t="shared" si="11"/>
        <v>0.9999781441432215</v>
      </c>
    </row>
  </sheetData>
  <mergeCells count="1">
    <mergeCell ref="A4:I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5">
    <tabColor rgb="FF00FF00"/>
  </sheetPr>
  <dimension ref="A2:R22"/>
  <sheetViews>
    <sheetView zoomScale="115" zoomScaleNormal="115" workbookViewId="0">
      <selection activeCell="A4" sqref="A4"/>
    </sheetView>
  </sheetViews>
  <sheetFormatPr defaultRowHeight="15" x14ac:dyDescent="0.25"/>
  <cols>
    <col min="1" max="1" width="11.42578125" bestFit="1" customWidth="1"/>
    <col min="2" max="2" width="12.5703125" bestFit="1" customWidth="1"/>
    <col min="3" max="3" width="11.5703125" bestFit="1" customWidth="1"/>
    <col min="4" max="4" width="11.5703125" customWidth="1"/>
    <col min="5" max="5" width="12.5703125" bestFit="1" customWidth="1"/>
    <col min="6" max="6" width="11.5703125" bestFit="1" customWidth="1"/>
    <col min="7" max="7" width="10.7109375" customWidth="1"/>
    <col min="9" max="9" width="12.5703125" bestFit="1" customWidth="1"/>
    <col min="10" max="10" width="11.5703125" bestFit="1" customWidth="1"/>
    <col min="12" max="14" width="11.85546875" customWidth="1"/>
  </cols>
  <sheetData>
    <row r="2" spans="1:18" ht="15.75" x14ac:dyDescent="0.25">
      <c r="A2" s="47" t="s">
        <v>281</v>
      </c>
      <c r="B2" s="13"/>
      <c r="C2" s="13"/>
      <c r="D2" s="13"/>
      <c r="E2" s="13"/>
      <c r="F2" s="13"/>
      <c r="G2" s="13"/>
      <c r="H2" s="13"/>
      <c r="I2" s="13"/>
    </row>
    <row r="3" spans="1:18" ht="33.75" customHeight="1" x14ac:dyDescent="0.25">
      <c r="A3" s="738" t="s">
        <v>640</v>
      </c>
      <c r="B3" s="738"/>
      <c r="C3" s="738"/>
      <c r="D3" s="738"/>
      <c r="E3" s="738"/>
      <c r="F3" s="738"/>
      <c r="G3" s="738"/>
      <c r="H3" s="13"/>
      <c r="I3" s="243" t="s">
        <v>205</v>
      </c>
    </row>
    <row r="4" spans="1:18" ht="15.75" x14ac:dyDescent="0.25">
      <c r="A4" s="13"/>
      <c r="B4" s="767" t="s">
        <v>607</v>
      </c>
      <c r="C4" s="767"/>
      <c r="D4" s="767"/>
      <c r="E4" s="767" t="s">
        <v>608</v>
      </c>
      <c r="F4" s="767"/>
      <c r="G4" s="767"/>
      <c r="K4" s="575" t="s">
        <v>570</v>
      </c>
      <c r="L4" s="164">
        <f>1-MAX(L8:L13)</f>
        <v>0.12343030119100806</v>
      </c>
      <c r="M4" s="164">
        <f>1-MAX(M8:M13)</f>
        <v>0.32618046907906162</v>
      </c>
      <c r="N4" s="164">
        <f>1-MAX(N8:N13)</f>
        <v>0.22152295866646499</v>
      </c>
    </row>
    <row r="5" spans="1:18" ht="15.75" x14ac:dyDescent="0.25">
      <c r="A5" s="55" t="s">
        <v>111</v>
      </c>
      <c r="B5" s="13" t="s">
        <v>133</v>
      </c>
      <c r="C5" s="13" t="s">
        <v>134</v>
      </c>
      <c r="D5" s="13"/>
      <c r="E5" s="13" t="s">
        <v>133</v>
      </c>
      <c r="F5" s="13" t="s">
        <v>134</v>
      </c>
      <c r="I5" s="33" t="s">
        <v>133</v>
      </c>
      <c r="J5" s="33" t="s">
        <v>134</v>
      </c>
      <c r="K5" s="575" t="s">
        <v>571</v>
      </c>
      <c r="L5" s="164">
        <f>1-MIN(L8:L13)</f>
        <v>0.38860369835084374</v>
      </c>
      <c r="M5" s="164">
        <f>1-MIN(M8:M13)</f>
        <v>0.68199768665299976</v>
      </c>
      <c r="N5" s="164">
        <f>1-MIN(N8:N13)</f>
        <v>0.54567106195247495</v>
      </c>
      <c r="Q5" s="33" t="s">
        <v>133</v>
      </c>
      <c r="R5" s="33" t="s">
        <v>134</v>
      </c>
    </row>
    <row r="6" spans="1:18" ht="18.75" x14ac:dyDescent="0.35">
      <c r="A6" s="5"/>
      <c r="B6" s="169" t="s">
        <v>609</v>
      </c>
      <c r="C6" s="169" t="s">
        <v>610</v>
      </c>
      <c r="D6" s="169" t="s">
        <v>576</v>
      </c>
      <c r="E6" s="169" t="s">
        <v>609</v>
      </c>
      <c r="F6" s="169" t="s">
        <v>610</v>
      </c>
      <c r="G6" s="169" t="s">
        <v>576</v>
      </c>
      <c r="I6" s="126" t="s">
        <v>573</v>
      </c>
      <c r="J6" s="126" t="s">
        <v>574</v>
      </c>
      <c r="L6" s="126" t="s">
        <v>575</v>
      </c>
      <c r="M6" s="126" t="s">
        <v>576</v>
      </c>
      <c r="N6" s="126" t="s">
        <v>577</v>
      </c>
      <c r="Q6" s="126" t="s">
        <v>572</v>
      </c>
      <c r="R6" s="126" t="s">
        <v>569</v>
      </c>
    </row>
    <row r="7" spans="1:18" ht="20.100000000000001" customHeight="1" x14ac:dyDescent="0.25">
      <c r="A7" s="42"/>
      <c r="B7" s="5" t="s">
        <v>131</v>
      </c>
      <c r="C7" s="5" t="s">
        <v>131</v>
      </c>
      <c r="E7" s="5" t="s">
        <v>131</v>
      </c>
      <c r="F7" s="5" t="s">
        <v>131</v>
      </c>
      <c r="I7" s="6" t="s">
        <v>131</v>
      </c>
      <c r="J7" s="6" t="s">
        <v>131</v>
      </c>
      <c r="Q7" s="6" t="s">
        <v>131</v>
      </c>
      <c r="R7" s="6" t="s">
        <v>131</v>
      </c>
    </row>
    <row r="8" spans="1:18" ht="20.100000000000001" customHeight="1" x14ac:dyDescent="0.25">
      <c r="A8" s="600">
        <v>2211</v>
      </c>
      <c r="B8" s="595">
        <v>0.53376464952283398</v>
      </c>
      <c r="C8" s="595">
        <v>0.16973839333111201</v>
      </c>
      <c r="D8" s="618">
        <f t="shared" ref="D8:D13" si="0">1- C8/B8</f>
        <v>0.68199768665299976</v>
      </c>
      <c r="E8" s="595">
        <v>22.929177852320503</v>
      </c>
      <c r="F8" s="595">
        <v>26.694312169598501</v>
      </c>
      <c r="G8" s="618">
        <f t="shared" ref="G8:G13" si="1">1- F8/E8</f>
        <v>-0.16420712253740732</v>
      </c>
      <c r="I8" s="45">
        <v>0.43729842475180697</v>
      </c>
      <c r="J8" s="45">
        <v>0.19867732892734399</v>
      </c>
      <c r="L8" s="45">
        <f t="shared" ref="L8:L13" si="2">R8/Q8</f>
        <v>0.63224897956704562</v>
      </c>
      <c r="M8" s="45">
        <f t="shared" ref="M8:M13" si="3">C8/B8</f>
        <v>0.31800231334700024</v>
      </c>
      <c r="N8" s="45">
        <f t="shared" ref="N8:N13" si="4">J8/I8</f>
        <v>0.45432893804752505</v>
      </c>
      <c r="Q8" s="45">
        <v>0.42821348578469498</v>
      </c>
      <c r="R8" s="45">
        <v>0.27073753942422102</v>
      </c>
    </row>
    <row r="9" spans="1:18" ht="20.100000000000001" customHeight="1" x14ac:dyDescent="0.25">
      <c r="A9" s="601">
        <v>2213</v>
      </c>
      <c r="B9" s="596">
        <v>0.64104751538325799</v>
      </c>
      <c r="C9" s="596">
        <v>0.21886799169885901</v>
      </c>
      <c r="D9" s="619">
        <f t="shared" si="0"/>
        <v>0.65857758364759256</v>
      </c>
      <c r="E9" s="596">
        <v>6.2689086064068302</v>
      </c>
      <c r="F9" s="596">
        <v>4.5784149638216105</v>
      </c>
      <c r="G9" s="619">
        <f t="shared" si="1"/>
        <v>0.26966315011476383</v>
      </c>
      <c r="I9" s="44">
        <v>0.53852163039438294</v>
      </c>
      <c r="J9" s="44">
        <v>0.25013110799303701</v>
      </c>
      <c r="L9" s="44">
        <f t="shared" si="2"/>
        <v>0.61139630164915626</v>
      </c>
      <c r="M9" s="44">
        <f t="shared" si="3"/>
        <v>0.34142241635240744</v>
      </c>
      <c r="N9" s="44">
        <f t="shared" si="4"/>
        <v>0.46447736520788413</v>
      </c>
      <c r="Q9" s="44">
        <v>1.1266607471362</v>
      </c>
      <c r="R9" s="44">
        <v>0.68883621401234796</v>
      </c>
    </row>
    <row r="10" spans="1:18" ht="20.100000000000001" customHeight="1" x14ac:dyDescent="0.25">
      <c r="A10" s="602">
        <v>2215</v>
      </c>
      <c r="B10" s="597">
        <v>0.72600652852148706</v>
      </c>
      <c r="C10" s="597">
        <v>0.26928444390423001</v>
      </c>
      <c r="D10" s="620">
        <f t="shared" si="0"/>
        <v>0.62908812341863096</v>
      </c>
      <c r="E10" s="597">
        <v>10.711782233771899</v>
      </c>
      <c r="F10" s="597">
        <v>9.744952680814059</v>
      </c>
      <c r="G10" s="620">
        <f t="shared" si="1"/>
        <v>9.0258514583095084E-2</v>
      </c>
      <c r="I10" s="46">
        <v>0.53373984529796203</v>
      </c>
      <c r="J10" s="46">
        <v>0.27870215327596504</v>
      </c>
      <c r="L10" s="46">
        <f t="shared" si="2"/>
        <v>0.79620282245099627</v>
      </c>
      <c r="M10" s="46">
        <f t="shared" si="3"/>
        <v>0.37091187658136904</v>
      </c>
      <c r="N10" s="46">
        <f t="shared" si="4"/>
        <v>0.52216853534773788</v>
      </c>
      <c r="Q10" s="46">
        <v>3.33466972229151</v>
      </c>
      <c r="R10" s="46">
        <v>2.6550734448303803</v>
      </c>
    </row>
    <row r="11" spans="1:18" ht="20.100000000000001" customHeight="1" x14ac:dyDescent="0.25">
      <c r="A11" s="600">
        <v>2219</v>
      </c>
      <c r="B11" s="595">
        <v>0.30337204959287101</v>
      </c>
      <c r="C11" s="595">
        <v>0.20441801215119199</v>
      </c>
      <c r="D11" s="618">
        <f t="shared" si="0"/>
        <v>0.32618046907906162</v>
      </c>
      <c r="E11" s="595">
        <v>15.091949416665202</v>
      </c>
      <c r="F11" s="595">
        <v>14.385709103567802</v>
      </c>
      <c r="G11" s="618">
        <f t="shared" si="1"/>
        <v>4.6795830916153025E-2</v>
      </c>
      <c r="I11" s="45">
        <v>0.90476066421294199</v>
      </c>
      <c r="J11" s="45">
        <v>0.70433540499145508</v>
      </c>
      <c r="L11" s="45">
        <f t="shared" si="2"/>
        <v>0.87338994910146306</v>
      </c>
      <c r="M11" s="45">
        <f t="shared" si="3"/>
        <v>0.67381953092093838</v>
      </c>
      <c r="N11" s="45">
        <f t="shared" si="4"/>
        <v>0.77847704133353501</v>
      </c>
      <c r="Q11" s="45">
        <v>1.3523499094313098</v>
      </c>
      <c r="R11" s="45">
        <v>1.1811288185655799</v>
      </c>
    </row>
    <row r="12" spans="1:18" ht="20.100000000000001" customHeight="1" x14ac:dyDescent="0.25">
      <c r="A12" s="601">
        <v>2221</v>
      </c>
      <c r="B12" s="596">
        <v>0.68343108812875397</v>
      </c>
      <c r="C12" s="596">
        <v>0.318729949476658</v>
      </c>
      <c r="D12" s="619">
        <f t="shared" si="0"/>
        <v>0.53363264414946932</v>
      </c>
      <c r="E12" s="596">
        <v>10.1968247515654</v>
      </c>
      <c r="F12" s="596">
        <v>7.6116306304593007</v>
      </c>
      <c r="G12" s="619">
        <f t="shared" si="1"/>
        <v>0.25352932742216872</v>
      </c>
      <c r="I12" s="44">
        <v>0.56952558298525702</v>
      </c>
      <c r="J12" s="44">
        <v>0.437471078502151</v>
      </c>
      <c r="L12" s="44">
        <f t="shared" si="2"/>
        <v>0.84982382701285319</v>
      </c>
      <c r="M12" s="44">
        <f t="shared" si="3"/>
        <v>0.46636735585053068</v>
      </c>
      <c r="N12" s="44">
        <f t="shared" si="4"/>
        <v>0.76813244491859034</v>
      </c>
      <c r="Q12" s="44">
        <v>1.8716014663210001</v>
      </c>
      <c r="R12" s="44">
        <v>1.5905315207517801</v>
      </c>
    </row>
    <row r="13" spans="1:18" ht="20.100000000000001" customHeight="1" x14ac:dyDescent="0.25">
      <c r="A13" s="602">
        <v>2223</v>
      </c>
      <c r="B13" s="597">
        <v>0.65251858337172997</v>
      </c>
      <c r="C13" s="597">
        <v>0.30854202272297404</v>
      </c>
      <c r="D13" s="620">
        <f t="shared" si="0"/>
        <v>0.52715212932533095</v>
      </c>
      <c r="E13" s="597">
        <v>9.6550711845068609</v>
      </c>
      <c r="F13" s="597">
        <v>7.5984465243960697</v>
      </c>
      <c r="G13" s="620">
        <f t="shared" si="1"/>
        <v>0.21300978737587983</v>
      </c>
      <c r="I13" s="46">
        <v>0.494186224567082</v>
      </c>
      <c r="J13" s="46">
        <v>0.34257336539419297</v>
      </c>
      <c r="L13" s="46">
        <f t="shared" si="2"/>
        <v>0.87656969880899194</v>
      </c>
      <c r="M13" s="46">
        <f t="shared" si="3"/>
        <v>0.47284787067466905</v>
      </c>
      <c r="N13" s="46">
        <f t="shared" si="4"/>
        <v>0.69320703079956303</v>
      </c>
      <c r="Q13" s="46">
        <v>2.2147060443699602</v>
      </c>
      <c r="R13" s="46">
        <v>1.9413442102638299</v>
      </c>
    </row>
    <row r="14" spans="1:18" ht="18.75" x14ac:dyDescent="0.35">
      <c r="A14" s="123" t="s">
        <v>611</v>
      </c>
      <c r="B14" s="13"/>
      <c r="C14" s="13"/>
      <c r="D14" s="13"/>
      <c r="G14" s="13"/>
    </row>
    <row r="15" spans="1:18" ht="18.75" x14ac:dyDescent="0.35">
      <c r="A15" s="124" t="s">
        <v>257</v>
      </c>
      <c r="B15" s="13"/>
      <c r="C15" s="13"/>
      <c r="D15" s="13"/>
      <c r="E15" s="13"/>
      <c r="F15" s="13"/>
      <c r="G15" s="13"/>
    </row>
    <row r="18" spans="1:9" ht="15.75" x14ac:dyDescent="0.25">
      <c r="A18" s="242" t="s">
        <v>258</v>
      </c>
    </row>
    <row r="22" spans="1:9" ht="15.75" x14ac:dyDescent="0.25">
      <c r="A22" s="55" t="s">
        <v>139</v>
      </c>
      <c r="B22" s="55" t="s">
        <v>111</v>
      </c>
      <c r="C22" s="574" t="s">
        <v>563</v>
      </c>
      <c r="D22" s="574"/>
      <c r="E22" s="50"/>
      <c r="F22" s="50"/>
      <c r="G22" s="50"/>
      <c r="H22" s="50"/>
      <c r="I22" s="574" t="s">
        <v>564</v>
      </c>
    </row>
  </sheetData>
  <mergeCells count="3">
    <mergeCell ref="A3:G3"/>
    <mergeCell ref="B4:D4"/>
    <mergeCell ref="E4:G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tabColor rgb="FF00FF00"/>
  </sheetPr>
  <dimension ref="A2:AO44"/>
  <sheetViews>
    <sheetView zoomScaleNormal="100" workbookViewId="0">
      <selection activeCell="F42" sqref="F42"/>
    </sheetView>
  </sheetViews>
  <sheetFormatPr defaultRowHeight="15.75" x14ac:dyDescent="0.25"/>
  <cols>
    <col min="1" max="1" width="11.28515625" style="13" customWidth="1"/>
    <col min="2" max="2" width="10.7109375" style="13" bestFit="1" customWidth="1"/>
    <col min="3" max="4" width="7" style="13" customWidth="1"/>
    <col min="5" max="7" width="11" style="13" customWidth="1"/>
    <col min="8" max="8" width="10.7109375" style="13" customWidth="1"/>
    <col min="9" max="10" width="10.85546875" style="13" customWidth="1"/>
    <col min="11" max="12" width="9.140625" style="13"/>
    <col min="13" max="13" width="9.85546875" style="13" customWidth="1"/>
    <col min="14" max="19" width="14.7109375" style="13" customWidth="1"/>
    <col min="20" max="20" width="4" style="13" customWidth="1"/>
    <col min="21" max="21" width="9.140625" style="13"/>
    <col min="22" max="22" width="2.7109375" style="13" customWidth="1"/>
    <col min="23" max="23" width="9.140625" style="13"/>
    <col min="24" max="24" width="15" style="13" customWidth="1"/>
    <col min="25" max="16384" width="9.140625" style="13"/>
  </cols>
  <sheetData>
    <row r="2" spans="1:24" x14ac:dyDescent="0.25">
      <c r="A2" s="47" t="s">
        <v>282</v>
      </c>
    </row>
    <row r="3" spans="1:24" ht="45" customHeight="1" x14ac:dyDescent="0.25">
      <c r="A3" s="738" t="s">
        <v>641</v>
      </c>
      <c r="B3" s="738"/>
      <c r="C3" s="738"/>
      <c r="D3" s="738"/>
      <c r="E3" s="738"/>
      <c r="F3" s="738"/>
      <c r="G3" s="738"/>
      <c r="H3" s="167"/>
      <c r="I3" s="167"/>
      <c r="J3" s="167"/>
      <c r="K3" s="167"/>
      <c r="L3" s="167"/>
      <c r="M3" s="167"/>
    </row>
    <row r="4" spans="1:24" x14ac:dyDescent="0.25">
      <c r="I4"/>
      <c r="J4"/>
      <c r="K4"/>
      <c r="L4"/>
      <c r="M4"/>
      <c r="N4"/>
      <c r="O4"/>
      <c r="P4"/>
      <c r="Q4"/>
      <c r="R4"/>
      <c r="S4"/>
      <c r="T4"/>
      <c r="U4"/>
    </row>
    <row r="5" spans="1:24" ht="37.5" x14ac:dyDescent="0.25">
      <c r="A5" s="7" t="s">
        <v>139</v>
      </c>
      <c r="B5" s="7" t="s">
        <v>111</v>
      </c>
      <c r="C5" s="7" t="s">
        <v>102</v>
      </c>
      <c r="D5" s="8" t="s">
        <v>85</v>
      </c>
      <c r="E5" s="48" t="s">
        <v>650</v>
      </c>
      <c r="F5" s="8" t="s">
        <v>585</v>
      </c>
      <c r="G5" s="8" t="s">
        <v>259</v>
      </c>
      <c r="I5"/>
      <c r="J5"/>
      <c r="K5"/>
      <c r="L5"/>
      <c r="M5"/>
      <c r="N5"/>
      <c r="O5"/>
      <c r="P5"/>
      <c r="R5"/>
      <c r="S5"/>
      <c r="T5"/>
      <c r="U5"/>
    </row>
    <row r="6" spans="1:24" x14ac:dyDescent="0.25">
      <c r="A6" s="5" t="s">
        <v>125</v>
      </c>
      <c r="B6" s="600">
        <v>2211</v>
      </c>
      <c r="C6" s="601" t="s">
        <v>1</v>
      </c>
      <c r="D6" s="600">
        <v>2</v>
      </c>
      <c r="E6" s="621">
        <v>2.9915378104342101</v>
      </c>
      <c r="F6" s="604">
        <v>0.53376464952283398</v>
      </c>
      <c r="G6" s="604">
        <v>22.929177852320503</v>
      </c>
      <c r="H6" s="247"/>
      <c r="I6" s="604"/>
      <c r="J6"/>
      <c r="K6"/>
      <c r="L6"/>
      <c r="M6"/>
      <c r="N6"/>
      <c r="O6"/>
      <c r="P6"/>
      <c r="R6"/>
      <c r="S6"/>
      <c r="T6"/>
      <c r="U6"/>
    </row>
    <row r="7" spans="1:24" x14ac:dyDescent="0.25">
      <c r="A7" s="5"/>
      <c r="B7" s="601">
        <v>2213</v>
      </c>
      <c r="C7" s="601" t="s">
        <v>1</v>
      </c>
      <c r="D7" s="601">
        <v>4</v>
      </c>
      <c r="E7" s="622">
        <v>1.6830861867448501</v>
      </c>
      <c r="F7" s="604">
        <v>0.64104751538325799</v>
      </c>
      <c r="G7" s="604">
        <v>6.2689086064068302</v>
      </c>
      <c r="H7" s="247"/>
      <c r="I7"/>
      <c r="J7"/>
      <c r="K7"/>
      <c r="L7"/>
      <c r="M7"/>
      <c r="N7"/>
      <c r="O7"/>
      <c r="P7"/>
      <c r="R7"/>
      <c r="S7"/>
      <c r="T7"/>
      <c r="U7"/>
    </row>
    <row r="8" spans="1:24" x14ac:dyDescent="0.25">
      <c r="A8" s="113"/>
      <c r="B8" s="602">
        <v>2215</v>
      </c>
      <c r="C8" s="602" t="s">
        <v>1</v>
      </c>
      <c r="D8" s="602">
        <v>7</v>
      </c>
      <c r="E8" s="623">
        <v>2.15236897015992</v>
      </c>
      <c r="F8" s="605">
        <v>0.72600652852148706</v>
      </c>
      <c r="G8" s="605">
        <v>10.711782233771899</v>
      </c>
      <c r="H8" s="247"/>
      <c r="I8"/>
      <c r="J8"/>
      <c r="K8"/>
      <c r="L8"/>
      <c r="M8"/>
      <c r="N8"/>
      <c r="O8"/>
      <c r="P8"/>
      <c r="R8"/>
      <c r="S8"/>
      <c r="T8"/>
      <c r="U8"/>
    </row>
    <row r="9" spans="1:24" x14ac:dyDescent="0.25">
      <c r="A9" s="6" t="s">
        <v>126</v>
      </c>
      <c r="B9" s="600">
        <v>2219</v>
      </c>
      <c r="C9" s="600" t="s">
        <v>2</v>
      </c>
      <c r="D9" s="600">
        <v>2</v>
      </c>
      <c r="E9" s="621">
        <v>2.8392716253296899</v>
      </c>
      <c r="F9" s="603">
        <v>0.30337204959287101</v>
      </c>
      <c r="G9" s="603">
        <v>15.091949416665202</v>
      </c>
      <c r="H9" s="247"/>
      <c r="I9"/>
      <c r="J9"/>
      <c r="K9"/>
      <c r="L9"/>
      <c r="M9"/>
      <c r="N9"/>
      <c r="O9"/>
      <c r="P9"/>
      <c r="R9"/>
      <c r="S9"/>
      <c r="T9"/>
      <c r="U9"/>
    </row>
    <row r="10" spans="1:24" x14ac:dyDescent="0.25">
      <c r="A10" s="5"/>
      <c r="B10" s="601">
        <v>2221</v>
      </c>
      <c r="C10" s="601" t="s">
        <v>2</v>
      </c>
      <c r="D10" s="601">
        <v>4</v>
      </c>
      <c r="E10" s="622">
        <v>3.0223639763899999</v>
      </c>
      <c r="F10" s="604">
        <v>0.68343108812875397</v>
      </c>
      <c r="G10" s="604">
        <v>10.1968247515654</v>
      </c>
      <c r="H10" s="247"/>
      <c r="I10"/>
      <c r="J10"/>
      <c r="K10"/>
      <c r="L10"/>
      <c r="M10"/>
      <c r="N10"/>
      <c r="O10"/>
      <c r="P10"/>
      <c r="R10"/>
      <c r="S10"/>
      <c r="T10"/>
      <c r="U10"/>
    </row>
    <row r="11" spans="1:24" x14ac:dyDescent="0.25">
      <c r="A11" s="113"/>
      <c r="B11" s="602">
        <v>2223</v>
      </c>
      <c r="C11" s="602" t="s">
        <v>2</v>
      </c>
      <c r="D11" s="602">
        <v>7</v>
      </c>
      <c r="E11" s="623">
        <v>2.40260352775246</v>
      </c>
      <c r="F11" s="605">
        <v>0.65251858337172997</v>
      </c>
      <c r="G11" s="605">
        <v>9.6550711845068609</v>
      </c>
      <c r="H11" s="247"/>
      <c r="I11"/>
      <c r="J11"/>
      <c r="K11"/>
      <c r="L11"/>
      <c r="M11"/>
      <c r="N11"/>
      <c r="O11"/>
      <c r="P11"/>
      <c r="R11"/>
      <c r="S11"/>
      <c r="T11"/>
      <c r="U11"/>
    </row>
    <row r="12" spans="1:24" x14ac:dyDescent="0.25">
      <c r="A12" s="249" t="s">
        <v>164</v>
      </c>
      <c r="B12" s="34" t="s">
        <v>96</v>
      </c>
      <c r="C12" s="55" t="s">
        <v>96</v>
      </c>
      <c r="D12" s="34" t="s">
        <v>96</v>
      </c>
      <c r="E12" s="624">
        <f>AVERAGE(E6:E11)</f>
        <v>2.5152053494685216</v>
      </c>
      <c r="F12" s="624">
        <f>AVERAGE(F6:F11)</f>
        <v>0.59002340242015572</v>
      </c>
      <c r="G12" s="624">
        <f>AVERAGE(G6:G11)</f>
        <v>12.47561900753945</v>
      </c>
      <c r="I12"/>
      <c r="J12"/>
      <c r="K12"/>
      <c r="L12"/>
      <c r="M12"/>
      <c r="N12"/>
      <c r="O12"/>
      <c r="P12"/>
      <c r="R12"/>
      <c r="S12"/>
      <c r="T12"/>
      <c r="U12"/>
    </row>
    <row r="13" spans="1:24" x14ac:dyDescent="0.25">
      <c r="A13" s="251" t="s">
        <v>261</v>
      </c>
      <c r="B13" s="15"/>
      <c r="C13" s="42"/>
      <c r="D13" s="15"/>
      <c r="E13" s="252">
        <f>_xlfn.STDEV.S(E6:E11) / AVERAGE(E6:E11)</f>
        <v>0.21231564374685832</v>
      </c>
      <c r="F13" s="252">
        <f>_xlfn.STDEV.S(F6:F11) / AVERAGE(F6:F11)</f>
        <v>0.26153384321784029</v>
      </c>
      <c r="G13" s="252">
        <f>_xlfn.STDEV.S(G6:G11) / AVERAGE(G6:G11)</f>
        <v>0.46862999399364885</v>
      </c>
      <c r="I13"/>
      <c r="J13"/>
      <c r="K13" s="697"/>
      <c r="L13" s="697"/>
      <c r="M13" s="697"/>
      <c r="N13"/>
      <c r="O13"/>
      <c r="P13"/>
      <c r="Q13"/>
      <c r="R13"/>
      <c r="S13"/>
      <c r="T13"/>
      <c r="U13"/>
    </row>
    <row r="14" spans="1:24" x14ac:dyDescent="0.25">
      <c r="A14" s="250" t="s">
        <v>260</v>
      </c>
      <c r="B14" s="36" t="s">
        <v>96</v>
      </c>
      <c r="C14" s="14" t="s">
        <v>96</v>
      </c>
      <c r="D14" s="14" t="s">
        <v>96</v>
      </c>
      <c r="E14" s="625">
        <f>AVERAGE(E6:E11)+_xlfn.STDEV.S(E6:E11)</f>
        <v>3.0492227923964723</v>
      </c>
      <c r="F14" s="625">
        <f>AVERAGE(F6:F11)+_xlfn.STDEV.S(F6:F11)</f>
        <v>0.74433449044356537</v>
      </c>
      <c r="G14" s="625">
        <f>AVERAGE(G6:G11)+_xlfn.STDEV.S(G6:G11)</f>
        <v>18.322068268109714</v>
      </c>
      <c r="I14"/>
      <c r="J14"/>
      <c r="K14" s="697"/>
      <c r="L14" s="697"/>
      <c r="M14" s="697"/>
      <c r="N14"/>
      <c r="O14"/>
      <c r="P14"/>
      <c r="Q14"/>
      <c r="R14"/>
      <c r="S14"/>
      <c r="T14"/>
      <c r="U14"/>
      <c r="W14" s="9"/>
      <c r="X14" s="699" t="s">
        <v>646</v>
      </c>
    </row>
    <row r="15" spans="1:24" ht="15.75" customHeight="1" x14ac:dyDescent="0.25">
      <c r="E15" s="248"/>
      <c r="F15" s="248"/>
      <c r="G15" s="248"/>
      <c r="N15"/>
      <c r="O15"/>
      <c r="P15"/>
      <c r="Q15"/>
      <c r="R15"/>
      <c r="S15"/>
      <c r="W15" s="9"/>
      <c r="X15" s="700">
        <v>0.05</v>
      </c>
    </row>
    <row r="16" spans="1:24" x14ac:dyDescent="0.25">
      <c r="A16" s="243" t="s">
        <v>205</v>
      </c>
      <c r="W16" s="9"/>
      <c r="X16" s="699" t="s">
        <v>647</v>
      </c>
    </row>
    <row r="17" spans="1:41" ht="18.75" customHeight="1" x14ac:dyDescent="0.25">
      <c r="A17" s="739" t="s">
        <v>139</v>
      </c>
      <c r="B17" s="752" t="s">
        <v>111</v>
      </c>
      <c r="C17" s="752" t="s">
        <v>102</v>
      </c>
      <c r="D17" s="768" t="s">
        <v>85</v>
      </c>
      <c r="E17" s="770" t="s">
        <v>582</v>
      </c>
      <c r="F17" s="771"/>
      <c r="G17" s="772"/>
      <c r="H17" s="770" t="s">
        <v>127</v>
      </c>
      <c r="I17" s="771"/>
      <c r="J17" s="772"/>
      <c r="K17" s="770" t="s">
        <v>453</v>
      </c>
      <c r="L17" s="771"/>
      <c r="M17" s="771"/>
      <c r="N17" s="773" t="s">
        <v>127</v>
      </c>
      <c r="O17" s="774"/>
      <c r="P17" s="775"/>
      <c r="Q17" s="773" t="s">
        <v>453</v>
      </c>
      <c r="R17" s="774"/>
      <c r="S17" s="774"/>
      <c r="U17" s="768" t="s">
        <v>152</v>
      </c>
      <c r="W17" s="710">
        <v>50</v>
      </c>
      <c r="X17" s="701">
        <v>50</v>
      </c>
      <c r="Y17"/>
      <c r="Z17"/>
      <c r="AA17"/>
      <c r="AB17"/>
      <c r="AC17"/>
      <c r="AD17"/>
      <c r="AE17"/>
      <c r="AF17"/>
      <c r="AG17"/>
      <c r="AH17"/>
      <c r="AI17"/>
      <c r="AJ17"/>
      <c r="AK17"/>
      <c r="AL17"/>
      <c r="AM17"/>
      <c r="AN17"/>
      <c r="AO17"/>
    </row>
    <row r="18" spans="1:41" ht="37.5" x14ac:dyDescent="0.25">
      <c r="A18" s="783"/>
      <c r="B18" s="776"/>
      <c r="C18" s="776"/>
      <c r="D18" s="769"/>
      <c r="E18" s="717" t="s">
        <v>650</v>
      </c>
      <c r="F18" s="8" t="s">
        <v>585</v>
      </c>
      <c r="G18" s="246" t="s">
        <v>259</v>
      </c>
      <c r="H18" s="717" t="s">
        <v>650</v>
      </c>
      <c r="I18" s="8" t="s">
        <v>585</v>
      </c>
      <c r="J18" s="8" t="s">
        <v>259</v>
      </c>
      <c r="K18" s="717" t="s">
        <v>650</v>
      </c>
      <c r="L18" s="8" t="s">
        <v>585</v>
      </c>
      <c r="M18" s="8" t="s">
        <v>259</v>
      </c>
      <c r="N18" s="579" t="s">
        <v>579</v>
      </c>
      <c r="O18" s="48" t="s">
        <v>580</v>
      </c>
      <c r="P18" s="578" t="s">
        <v>581</v>
      </c>
      <c r="Q18" s="579" t="s">
        <v>579</v>
      </c>
      <c r="R18" s="48" t="s">
        <v>580</v>
      </c>
      <c r="S18" s="578" t="s">
        <v>581</v>
      </c>
      <c r="U18" s="769"/>
      <c r="W18" s="702" t="s">
        <v>648</v>
      </c>
      <c r="X18" s="703" t="s">
        <v>649</v>
      </c>
      <c r="Y18"/>
      <c r="Z18"/>
      <c r="AA18"/>
      <c r="AB18"/>
      <c r="AC18"/>
      <c r="AD18"/>
      <c r="AE18"/>
      <c r="AF18"/>
      <c r="AG18"/>
      <c r="AH18"/>
      <c r="AI18"/>
      <c r="AJ18"/>
      <c r="AK18"/>
      <c r="AL18"/>
      <c r="AM18"/>
      <c r="AN18"/>
      <c r="AO18"/>
    </row>
    <row r="19" spans="1:41" x14ac:dyDescent="0.25">
      <c r="A19" s="5" t="s">
        <v>125</v>
      </c>
      <c r="B19" s="55">
        <v>2211</v>
      </c>
      <c r="C19" s="42" t="s">
        <v>1</v>
      </c>
      <c r="D19" s="55">
        <v>2</v>
      </c>
      <c r="E19" s="148">
        <v>2.9915378104342101</v>
      </c>
      <c r="F19" s="20">
        <v>0.53376464952283398</v>
      </c>
      <c r="G19" s="156">
        <v>22.929177852320503</v>
      </c>
      <c r="H19" s="44">
        <v>3.1958417945132696</v>
      </c>
      <c r="I19" s="20">
        <v>0.42821348578469498</v>
      </c>
      <c r="J19" s="20">
        <v>22.670701635293199</v>
      </c>
      <c r="K19" s="136">
        <v>2.4370455091002299</v>
      </c>
      <c r="L19" s="20">
        <v>0.43729842475180697</v>
      </c>
      <c r="M19" s="156">
        <v>15.5711730449126</v>
      </c>
      <c r="N19" s="253">
        <f t="shared" ref="N19:N24" si="0">H19/E19</f>
        <v>1.0682939668576028</v>
      </c>
      <c r="O19" s="37">
        <f t="shared" ref="O19:O24" si="1">I19/F19</f>
        <v>0.80225149074128854</v>
      </c>
      <c r="P19" s="254">
        <f t="shared" ref="P19:P24" si="2">J19/G19</f>
        <v>0.98872719210902082</v>
      </c>
      <c r="Q19" s="253">
        <f t="shared" ref="Q19:S24" si="3">K19/E19</f>
        <v>0.81464640045666081</v>
      </c>
      <c r="R19" s="37">
        <f t="shared" si="3"/>
        <v>0.81927198652577637</v>
      </c>
      <c r="S19" s="254">
        <f t="shared" si="3"/>
        <v>0.67909862033438539</v>
      </c>
      <c r="U19" s="44">
        <v>1.4429027338911238</v>
      </c>
      <c r="W19" s="704">
        <f t="shared" ref="W19:W24" si="4">1-EXP(-F19*10^(-4)*$W$17)</f>
        <v>2.665265104905834E-3</v>
      </c>
      <c r="X19" s="705">
        <f t="shared" ref="X19:X24" si="5">E19*0.01*(1-EXP(-$X$15*$X$17))/$X$15</f>
        <v>0.54919548667627527</v>
      </c>
      <c r="Y19"/>
      <c r="Z19"/>
      <c r="AA19"/>
      <c r="AB19"/>
      <c r="AC19"/>
      <c r="AD19"/>
      <c r="AE19"/>
      <c r="AF19"/>
      <c r="AG19"/>
      <c r="AH19"/>
      <c r="AI19"/>
      <c r="AJ19"/>
      <c r="AK19"/>
      <c r="AL19"/>
      <c r="AM19"/>
      <c r="AN19"/>
      <c r="AO19"/>
    </row>
    <row r="20" spans="1:41" x14ac:dyDescent="0.25">
      <c r="A20" s="5"/>
      <c r="B20" s="42">
        <v>2213</v>
      </c>
      <c r="C20" s="42" t="s">
        <v>1</v>
      </c>
      <c r="D20" s="42">
        <v>4</v>
      </c>
      <c r="E20" s="136">
        <v>1.6830861867448501</v>
      </c>
      <c r="F20" s="20">
        <v>0.64104751538325799</v>
      </c>
      <c r="G20" s="156">
        <v>6.2689086064068302</v>
      </c>
      <c r="H20" s="44">
        <v>5.1003296817097103</v>
      </c>
      <c r="I20" s="20">
        <v>1.1266607471362</v>
      </c>
      <c r="J20" s="20">
        <v>22.033578673602999</v>
      </c>
      <c r="K20" s="136">
        <v>1.8768818553169899</v>
      </c>
      <c r="L20" s="20">
        <v>0.53852163039438294</v>
      </c>
      <c r="M20" s="156">
        <v>8.7589858582581499</v>
      </c>
      <c r="N20" s="255">
        <f t="shared" si="0"/>
        <v>3.0303437351440294</v>
      </c>
      <c r="O20" s="39">
        <f t="shared" si="1"/>
        <v>1.7575307915554625</v>
      </c>
      <c r="P20" s="256">
        <f t="shared" si="2"/>
        <v>3.5147391766223328</v>
      </c>
      <c r="Q20" s="255">
        <f t="shared" si="3"/>
        <v>1.115143045019547</v>
      </c>
      <c r="R20" s="39">
        <f t="shared" si="3"/>
        <v>0.84006507703632749</v>
      </c>
      <c r="S20" s="256">
        <f t="shared" si="3"/>
        <v>1.3972106483266415</v>
      </c>
      <c r="U20" s="44">
        <v>1.555733481840563</v>
      </c>
      <c r="W20" s="706">
        <f t="shared" si="4"/>
        <v>3.200106286752824E-3</v>
      </c>
      <c r="X20" s="707">
        <f t="shared" si="5"/>
        <v>0.30898601188439917</v>
      </c>
      <c r="Y20"/>
      <c r="Z20"/>
      <c r="AA20"/>
      <c r="AB20"/>
      <c r="AC20"/>
      <c r="AD20"/>
      <c r="AE20"/>
      <c r="AF20"/>
      <c r="AG20"/>
      <c r="AH20"/>
      <c r="AI20"/>
      <c r="AJ20"/>
      <c r="AK20"/>
      <c r="AL20"/>
      <c r="AM20"/>
      <c r="AN20"/>
      <c r="AO20"/>
    </row>
    <row r="21" spans="1:41" x14ac:dyDescent="0.25">
      <c r="A21" s="113"/>
      <c r="B21" s="14">
        <v>2215</v>
      </c>
      <c r="C21" s="14" t="s">
        <v>1</v>
      </c>
      <c r="D21" s="14">
        <v>7</v>
      </c>
      <c r="E21" s="696">
        <v>2.15236897015992</v>
      </c>
      <c r="F21" s="22">
        <v>0.72600652852148706</v>
      </c>
      <c r="G21" s="157">
        <v>10.711782233771899</v>
      </c>
      <c r="H21" s="46">
        <v>8.2034025221469005</v>
      </c>
      <c r="I21" s="22">
        <v>3.33466972229151</v>
      </c>
      <c r="J21" s="22">
        <v>39.838084827006199</v>
      </c>
      <c r="K21" s="696">
        <v>1.7777691397728497</v>
      </c>
      <c r="L21" s="22">
        <v>0.53373984529796203</v>
      </c>
      <c r="M21" s="157">
        <v>9.6345087059620091</v>
      </c>
      <c r="N21" s="577">
        <f t="shared" si="0"/>
        <v>3.8113365486482511</v>
      </c>
      <c r="O21" s="38">
        <f t="shared" si="1"/>
        <v>4.5931676800242665</v>
      </c>
      <c r="P21" s="580">
        <f t="shared" si="2"/>
        <v>3.7190902463835998</v>
      </c>
      <c r="Q21" s="577">
        <f t="shared" si="3"/>
        <v>0.82595928691573839</v>
      </c>
      <c r="R21" s="38">
        <f t="shared" si="3"/>
        <v>0.73517223927024966</v>
      </c>
      <c r="S21" s="580">
        <f t="shared" si="3"/>
        <v>0.89943097196155808</v>
      </c>
      <c r="U21" s="46">
        <v>1.872436677178936</v>
      </c>
      <c r="W21" s="708">
        <f t="shared" si="4"/>
        <v>3.6234520391241754E-3</v>
      </c>
      <c r="X21" s="709">
        <f t="shared" si="5"/>
        <v>0.39513835324124408</v>
      </c>
      <c r="Y21"/>
      <c r="Z21"/>
      <c r="AA21"/>
      <c r="AB21"/>
      <c r="AC21"/>
      <c r="AD21"/>
      <c r="AE21"/>
      <c r="AF21"/>
      <c r="AG21"/>
      <c r="AH21"/>
      <c r="AI21"/>
      <c r="AJ21"/>
      <c r="AK21"/>
      <c r="AL21"/>
      <c r="AM21"/>
      <c r="AN21"/>
      <c r="AO21"/>
    </row>
    <row r="22" spans="1:41" x14ac:dyDescent="0.25">
      <c r="A22" s="6" t="s">
        <v>126</v>
      </c>
      <c r="B22" s="55">
        <v>2219</v>
      </c>
      <c r="C22" s="55" t="s">
        <v>2</v>
      </c>
      <c r="D22" s="55">
        <v>2</v>
      </c>
      <c r="E22" s="148">
        <v>2.8392716253296899</v>
      </c>
      <c r="F22" s="21">
        <v>0.30337204959287101</v>
      </c>
      <c r="G22" s="576">
        <v>15.091949416665202</v>
      </c>
      <c r="H22" s="45">
        <v>5.55922187947073</v>
      </c>
      <c r="I22" s="21">
        <v>1.3523499094313098</v>
      </c>
      <c r="J22" s="21">
        <v>24.381481005651899</v>
      </c>
      <c r="K22" s="148">
        <v>3.3049240175719299</v>
      </c>
      <c r="L22" s="21">
        <v>0.90476066421294199</v>
      </c>
      <c r="M22" s="576">
        <v>17.180390543591699</v>
      </c>
      <c r="N22" s="253">
        <f t="shared" si="0"/>
        <v>1.9579746544415966</v>
      </c>
      <c r="O22" s="37">
        <f t="shared" si="1"/>
        <v>4.4577274381281331</v>
      </c>
      <c r="P22" s="254">
        <f t="shared" si="2"/>
        <v>1.6155289374829724</v>
      </c>
      <c r="Q22" s="253">
        <f t="shared" si="3"/>
        <v>1.1640041720869765</v>
      </c>
      <c r="R22" s="37">
        <f t="shared" si="3"/>
        <v>2.9823468095598846</v>
      </c>
      <c r="S22" s="254">
        <f t="shared" si="3"/>
        <v>1.1383811374705741</v>
      </c>
      <c r="U22" s="45">
        <v>1.1523804167282006</v>
      </c>
      <c r="W22" s="704">
        <f t="shared" si="4"/>
        <v>1.5157103969196672E-3</v>
      </c>
      <c r="X22" s="705">
        <f t="shared" si="5"/>
        <v>0.52124200357432537</v>
      </c>
      <c r="Y22"/>
      <c r="Z22"/>
      <c r="AA22"/>
      <c r="AB22"/>
      <c r="AC22"/>
      <c r="AD22"/>
      <c r="AE22"/>
      <c r="AF22"/>
      <c r="AG22"/>
      <c r="AH22"/>
      <c r="AI22"/>
      <c r="AJ22"/>
      <c r="AK22"/>
      <c r="AL22"/>
      <c r="AM22"/>
      <c r="AN22"/>
      <c r="AO22"/>
    </row>
    <row r="23" spans="1:41" x14ac:dyDescent="0.25">
      <c r="A23" s="5"/>
      <c r="B23" s="42">
        <v>2221</v>
      </c>
      <c r="C23" s="42" t="s">
        <v>2</v>
      </c>
      <c r="D23" s="42">
        <v>4</v>
      </c>
      <c r="E23" s="136">
        <v>3.0223639763899999</v>
      </c>
      <c r="F23" s="20">
        <v>0.68343108812875397</v>
      </c>
      <c r="G23" s="156">
        <v>10.1968247515654</v>
      </c>
      <c r="H23" s="44">
        <v>9.6988560790855498</v>
      </c>
      <c r="I23" s="20">
        <v>1.8716014663210001</v>
      </c>
      <c r="J23" s="20">
        <v>34.0624055320134</v>
      </c>
      <c r="K23" s="136">
        <v>2.89823520703849</v>
      </c>
      <c r="L23" s="20">
        <v>0.56952558298525702</v>
      </c>
      <c r="M23" s="156">
        <v>13.551363647157</v>
      </c>
      <c r="N23" s="255">
        <f t="shared" si="0"/>
        <v>3.2090298041039214</v>
      </c>
      <c r="O23" s="39">
        <f t="shared" si="1"/>
        <v>2.7385372114772784</v>
      </c>
      <c r="P23" s="256">
        <f t="shared" si="2"/>
        <v>3.3404914139359114</v>
      </c>
      <c r="Q23" s="255">
        <f t="shared" si="3"/>
        <v>0.95892990707897041</v>
      </c>
      <c r="R23" s="39">
        <f t="shared" si="3"/>
        <v>0.83333285956398007</v>
      </c>
      <c r="S23" s="256">
        <f t="shared" si="3"/>
        <v>1.32897877303193</v>
      </c>
      <c r="U23" s="44">
        <v>1.5667929036515902</v>
      </c>
      <c r="W23" s="706">
        <f t="shared" si="4"/>
        <v>3.4113236096399158E-3</v>
      </c>
      <c r="X23" s="707">
        <f t="shared" si="5"/>
        <v>0.55485464670942097</v>
      </c>
      <c r="Y23"/>
      <c r="Z23"/>
      <c r="AA23"/>
      <c r="AB23"/>
      <c r="AC23"/>
      <c r="AD23"/>
      <c r="AE23"/>
      <c r="AF23"/>
      <c r="AG23"/>
      <c r="AH23"/>
      <c r="AI23"/>
      <c r="AJ23"/>
      <c r="AK23"/>
      <c r="AL23"/>
      <c r="AM23"/>
      <c r="AN23"/>
      <c r="AO23"/>
    </row>
    <row r="24" spans="1:41" x14ac:dyDescent="0.25">
      <c r="A24" s="113"/>
      <c r="B24" s="14">
        <v>2223</v>
      </c>
      <c r="C24" s="14" t="s">
        <v>2</v>
      </c>
      <c r="D24" s="14">
        <v>7</v>
      </c>
      <c r="E24" s="696">
        <v>2.40260352775246</v>
      </c>
      <c r="F24" s="22">
        <v>0.65251858337172997</v>
      </c>
      <c r="G24" s="157">
        <v>9.6550711845068609</v>
      </c>
      <c r="H24" s="46">
        <v>8.8001701815208904</v>
      </c>
      <c r="I24" s="22">
        <v>2.2147060443699602</v>
      </c>
      <c r="J24" s="22">
        <v>34.900249158758001</v>
      </c>
      <c r="K24" s="696">
        <v>1.9023810964004197</v>
      </c>
      <c r="L24" s="22">
        <v>0.494186224567082</v>
      </c>
      <c r="M24" s="157">
        <v>10.751960144188001</v>
      </c>
      <c r="N24" s="577">
        <f t="shared" si="0"/>
        <v>3.6627641972011502</v>
      </c>
      <c r="O24" s="38">
        <f t="shared" si="1"/>
        <v>3.3940888440694041</v>
      </c>
      <c r="P24" s="580">
        <f t="shared" si="2"/>
        <v>3.6147065611241844</v>
      </c>
      <c r="Q24" s="577">
        <f t="shared" si="3"/>
        <v>0.79179984313933871</v>
      </c>
      <c r="R24" s="38">
        <f t="shared" si="3"/>
        <v>0.7573519546577443</v>
      </c>
      <c r="S24" s="580">
        <f t="shared" si="3"/>
        <v>1.1136075476523961</v>
      </c>
      <c r="U24" s="46">
        <v>1.636226568076308</v>
      </c>
      <c r="W24" s="708">
        <f t="shared" si="4"/>
        <v>3.2572764439886548E-3</v>
      </c>
      <c r="X24" s="709">
        <f t="shared" si="5"/>
        <v>0.44107716409662495</v>
      </c>
      <c r="Y24"/>
      <c r="Z24"/>
      <c r="AA24"/>
      <c r="AB24"/>
      <c r="AC24"/>
      <c r="AD24"/>
      <c r="AE24"/>
      <c r="AF24"/>
      <c r="AG24"/>
      <c r="AH24"/>
      <c r="AI24"/>
      <c r="AJ24"/>
      <c r="AK24"/>
      <c r="AL24"/>
      <c r="AM24"/>
      <c r="AN24"/>
      <c r="AO24"/>
    </row>
    <row r="25" spans="1:41" ht="18.75" x14ac:dyDescent="0.35">
      <c r="A25" s="123" t="s">
        <v>143</v>
      </c>
    </row>
    <row r="26" spans="1:41" ht="18.75" x14ac:dyDescent="0.35">
      <c r="A26" s="13" t="s">
        <v>144</v>
      </c>
    </row>
    <row r="27" spans="1:41" x14ac:dyDescent="0.25">
      <c r="A27"/>
      <c r="B27"/>
      <c r="C27"/>
      <c r="D27"/>
      <c r="E27"/>
      <c r="F27"/>
      <c r="G27"/>
      <c r="H27"/>
      <c r="I27"/>
      <c r="J27"/>
    </row>
    <row r="28" spans="1:41" x14ac:dyDescent="0.25">
      <c r="A28"/>
      <c r="B28"/>
      <c r="C28"/>
      <c r="D28"/>
      <c r="E28" s="538" t="s">
        <v>582</v>
      </c>
      <c r="F28" s="527" t="s">
        <v>127</v>
      </c>
      <c r="G28" s="539" t="s">
        <v>453</v>
      </c>
      <c r="H28" s="538" t="s">
        <v>582</v>
      </c>
      <c r="I28" s="527" t="s">
        <v>127</v>
      </c>
      <c r="J28" s="539" t="s">
        <v>453</v>
      </c>
      <c r="K28" s="538" t="s">
        <v>582</v>
      </c>
      <c r="L28" s="527" t="s">
        <v>127</v>
      </c>
      <c r="M28" s="539" t="s">
        <v>453</v>
      </c>
    </row>
    <row r="29" spans="1:41" ht="18.75" x14ac:dyDescent="0.25">
      <c r="A29"/>
      <c r="B29"/>
      <c r="C29"/>
      <c r="D29"/>
      <c r="E29" s="784" t="s">
        <v>485</v>
      </c>
      <c r="F29" s="785"/>
      <c r="G29" s="786"/>
      <c r="H29" s="773" t="s">
        <v>578</v>
      </c>
      <c r="I29" s="774"/>
      <c r="J29" s="775"/>
      <c r="K29" s="773" t="s">
        <v>140</v>
      </c>
      <c r="L29" s="774"/>
      <c r="M29" s="775"/>
    </row>
    <row r="30" spans="1:41" x14ac:dyDescent="0.25">
      <c r="A30"/>
      <c r="B30"/>
      <c r="C30"/>
      <c r="D30" s="160" t="s">
        <v>164</v>
      </c>
      <c r="E30" s="582">
        <f>AVERAGE(E19:E24)</f>
        <v>2.5152053494685216</v>
      </c>
      <c r="F30" s="583">
        <f>AVERAGE(H19:H24)</f>
        <v>6.7596370230745082</v>
      </c>
      <c r="G30" s="584">
        <f>AVERAGE(K19:K24)</f>
        <v>2.3662061375334846</v>
      </c>
      <c r="H30" s="583">
        <f>AVERAGE(F19:F24)</f>
        <v>0.59002340242015572</v>
      </c>
      <c r="I30" s="583">
        <f>AVERAGE(I19:I24)</f>
        <v>1.7213668958891126</v>
      </c>
      <c r="J30" s="584">
        <f>AVERAGE(L19:L24)</f>
        <v>0.57967206203490551</v>
      </c>
      <c r="K30" s="583">
        <f>AVERAGE(G19:G24)</f>
        <v>12.47561900753945</v>
      </c>
      <c r="L30" s="583">
        <f>AVERAGE(J19:J24)</f>
        <v>29.647750138720948</v>
      </c>
      <c r="M30" s="584">
        <f>AVERAGE(M19:M24)</f>
        <v>12.574730324011577</v>
      </c>
    </row>
    <row r="31" spans="1:41" ht="18.75" x14ac:dyDescent="0.3">
      <c r="A31"/>
      <c r="B31"/>
      <c r="C31"/>
      <c r="D31" s="161" t="s">
        <v>150</v>
      </c>
      <c r="E31" s="588">
        <f>AVERAGE(E19:E24)+_xlfn.STDEV.S(E19:E24)</f>
        <v>3.0492227923964723</v>
      </c>
      <c r="F31" s="585">
        <f>AVERAGE(H19:H24)+_xlfn.STDEV.S(H19:H24)</f>
        <v>9.2808342326345041</v>
      </c>
      <c r="G31" s="586">
        <f>AVERAGE(K19:K24)+_xlfn.STDEV.S(K19:K24)</f>
        <v>2.9939153740353115</v>
      </c>
      <c r="H31" s="587">
        <f>AVERAGE(F19:F24)+_xlfn.STDEV.S(F19:F24)</f>
        <v>0.74433449044356537</v>
      </c>
      <c r="I31" s="585">
        <f>AVERAGE(I19:I24)+_xlfn.STDEV.S(I19:I24)</f>
        <v>2.72444163218529</v>
      </c>
      <c r="J31" s="586">
        <f>AVERAGE(L19:L24)+_xlfn.STDEV.S(L19:L24)</f>
        <v>0.74530222707892124</v>
      </c>
      <c r="K31" s="587">
        <f>AVERAGE(G19:G24)+_xlfn.STDEV.S(G19:G24)</f>
        <v>18.322068268109714</v>
      </c>
      <c r="L31" s="585">
        <f>AVERAGE(J19:J24)+_xlfn.STDEV.S(J19:J24)</f>
        <v>37.20167961625252</v>
      </c>
      <c r="M31" s="586">
        <f>AVERAGE(M19:M24)+_xlfn.STDEV.S(M19:M24)</f>
        <v>15.970960228048387</v>
      </c>
    </row>
    <row r="32" spans="1:41" x14ac:dyDescent="0.25">
      <c r="A32"/>
      <c r="B32"/>
      <c r="C32"/>
      <c r="D32"/>
      <c r="E32"/>
      <c r="F32"/>
      <c r="G32"/>
      <c r="H32"/>
      <c r="J32"/>
    </row>
    <row r="33" spans="1:12" ht="21" x14ac:dyDescent="0.25">
      <c r="A33" s="695" t="s">
        <v>633</v>
      </c>
      <c r="B33"/>
      <c r="C33"/>
      <c r="D33"/>
      <c r="E33" s="159" t="s">
        <v>583</v>
      </c>
      <c r="F33" s="158" t="s">
        <v>584</v>
      </c>
      <c r="G33"/>
      <c r="H33" s="159" t="s">
        <v>586</v>
      </c>
      <c r="I33" s="158" t="s">
        <v>584</v>
      </c>
      <c r="K33" s="159" t="s">
        <v>166</v>
      </c>
      <c r="L33" s="158" t="s">
        <v>165</v>
      </c>
    </row>
    <row r="34" spans="1:12" x14ac:dyDescent="0.25">
      <c r="A34"/>
      <c r="B34"/>
      <c r="C34"/>
      <c r="D34"/>
      <c r="E34"/>
      <c r="F34" s="581">
        <v>2.9999999999999997E-4</v>
      </c>
      <c r="G34"/>
      <c r="H34"/>
      <c r="I34" s="581">
        <v>1E-4</v>
      </c>
      <c r="K34"/>
      <c r="L34" s="581">
        <v>2E-3</v>
      </c>
    </row>
    <row r="35" spans="1:12" x14ac:dyDescent="0.25">
      <c r="A35"/>
      <c r="B35"/>
      <c r="C35"/>
      <c r="D35"/>
      <c r="E35" s="19"/>
      <c r="F35" s="155"/>
      <c r="G35"/>
      <c r="H35" s="19">
        <v>500</v>
      </c>
      <c r="I35" s="155">
        <f>(1-(1-I34)^H35)</f>
        <v>4.8772953728412283E-2</v>
      </c>
      <c r="K35" s="19">
        <f>H35</f>
        <v>500</v>
      </c>
      <c r="L35" s="155">
        <f>(1-(1-L34)^K35)</f>
        <v>0.63248874514283981</v>
      </c>
    </row>
    <row r="36" spans="1:12" x14ac:dyDescent="0.25">
      <c r="A36"/>
      <c r="B36"/>
      <c r="C36"/>
      <c r="D36"/>
      <c r="E36"/>
      <c r="F36"/>
      <c r="G36"/>
    </row>
    <row r="37" spans="1:12" x14ac:dyDescent="0.25">
      <c r="A37"/>
      <c r="B37"/>
      <c r="C37"/>
      <c r="D37"/>
      <c r="E37"/>
      <c r="F37"/>
      <c r="G37"/>
      <c r="H37" s="777" t="s">
        <v>587</v>
      </c>
      <c r="I37" s="778"/>
      <c r="K37" s="777" t="s">
        <v>210</v>
      </c>
      <c r="L37" s="778"/>
    </row>
    <row r="38" spans="1:12" x14ac:dyDescent="0.25">
      <c r="A38"/>
      <c r="B38"/>
      <c r="C38"/>
      <c r="D38"/>
      <c r="E38"/>
      <c r="F38"/>
      <c r="G38"/>
      <c r="H38" s="779"/>
      <c r="I38" s="780"/>
      <c r="K38" s="779"/>
      <c r="L38" s="780"/>
    </row>
    <row r="39" spans="1:12" x14ac:dyDescent="0.25">
      <c r="A39"/>
      <c r="B39"/>
      <c r="C39"/>
      <c r="D39"/>
      <c r="E39"/>
      <c r="F39"/>
      <c r="G39"/>
      <c r="H39" s="779"/>
      <c r="I39" s="780"/>
      <c r="K39" s="779"/>
      <c r="L39" s="780"/>
    </row>
    <row r="40" spans="1:12" ht="15.75" customHeight="1" x14ac:dyDescent="0.25">
      <c r="A40"/>
      <c r="B40"/>
      <c r="C40"/>
      <c r="D40"/>
      <c r="E40"/>
      <c r="F40"/>
      <c r="G40"/>
      <c r="H40" s="781"/>
      <c r="I40" s="782"/>
      <c r="K40" s="781"/>
      <c r="L40" s="782"/>
    </row>
    <row r="41" spans="1:12" ht="15.75" customHeight="1" x14ac:dyDescent="0.25">
      <c r="A41"/>
      <c r="B41"/>
      <c r="C41"/>
      <c r="D41"/>
      <c r="E41" t="s">
        <v>167</v>
      </c>
      <c r="F41"/>
      <c r="G41"/>
      <c r="H41" s="162"/>
      <c r="I41" s="162"/>
    </row>
    <row r="42" spans="1:12" ht="15.75" customHeight="1" x14ac:dyDescent="0.25">
      <c r="A42"/>
      <c r="B42"/>
      <c r="C42"/>
      <c r="D42"/>
      <c r="E42" s="163">
        <v>50</v>
      </c>
      <c r="F42" s="698">
        <f>(1-(1-F34)^E42)</f>
        <v>1.4890277339705049E-2</v>
      </c>
      <c r="G42"/>
      <c r="H42" s="19">
        <f>E42</f>
        <v>50</v>
      </c>
      <c r="I42" s="698">
        <f>(1-(1-I34)^H42)</f>
        <v>4.9877695769898756E-3</v>
      </c>
      <c r="K42" s="19">
        <f>E42</f>
        <v>50</v>
      </c>
      <c r="L42" s="164">
        <f>(1-(1-L34)^K42)</f>
        <v>9.5253181995963998E-2</v>
      </c>
    </row>
    <row r="43" spans="1:12" x14ac:dyDescent="0.25">
      <c r="A43"/>
      <c r="B43"/>
      <c r="C43"/>
      <c r="D43"/>
      <c r="E43"/>
      <c r="F43"/>
      <c r="G43"/>
      <c r="H43"/>
      <c r="I43"/>
      <c r="J43"/>
    </row>
    <row r="44" spans="1:12" x14ac:dyDescent="0.25">
      <c r="A44"/>
      <c r="B44"/>
      <c r="C44"/>
      <c r="D44"/>
      <c r="E44"/>
      <c r="F44"/>
      <c r="G44"/>
      <c r="H44"/>
      <c r="I44"/>
      <c r="J44"/>
    </row>
  </sheetData>
  <mergeCells count="16">
    <mergeCell ref="C17:C18"/>
    <mergeCell ref="A3:G3"/>
    <mergeCell ref="H37:I40"/>
    <mergeCell ref="K37:L40"/>
    <mergeCell ref="A17:A18"/>
    <mergeCell ref="B17:B18"/>
    <mergeCell ref="E29:G29"/>
    <mergeCell ref="H29:J29"/>
    <mergeCell ref="K29:M29"/>
    <mergeCell ref="K17:M17"/>
    <mergeCell ref="U17:U18"/>
    <mergeCell ref="E17:G17"/>
    <mergeCell ref="H17:J17"/>
    <mergeCell ref="Q17:S17"/>
    <mergeCell ref="D17:D18"/>
    <mergeCell ref="N17:P1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9">
    <tabColor rgb="FF00FF00"/>
  </sheetPr>
  <dimension ref="A1:AN33"/>
  <sheetViews>
    <sheetView zoomScale="115" zoomScaleNormal="115" workbookViewId="0"/>
  </sheetViews>
  <sheetFormatPr defaultRowHeight="12" x14ac:dyDescent="0.2"/>
  <cols>
    <col min="1" max="1" width="9.28515625" style="627" customWidth="1"/>
    <col min="2" max="2" width="9.85546875" style="627" customWidth="1"/>
    <col min="3" max="3" width="9.5703125" style="627" customWidth="1"/>
    <col min="4" max="4" width="10.28515625" style="627" bestFit="1" customWidth="1"/>
    <col min="5" max="5" width="10.42578125" style="627" customWidth="1"/>
    <col min="6" max="8" width="12.5703125" style="627" customWidth="1"/>
    <col min="9" max="11" width="10.85546875" style="627" customWidth="1"/>
    <col min="12" max="12" width="14.42578125" style="627" customWidth="1"/>
    <col min="13" max="14" width="10.85546875" style="627" customWidth="1"/>
    <col min="15" max="15" width="9.28515625" style="627" customWidth="1"/>
    <col min="16" max="16" width="9.85546875" style="627" customWidth="1"/>
    <col min="17" max="17" width="9.5703125" style="627" customWidth="1"/>
    <col min="18" max="18" width="10.28515625" style="627" customWidth="1"/>
    <col min="19" max="19" width="10.42578125" style="627" customWidth="1"/>
    <col min="20" max="22" width="12.5703125" style="627" customWidth="1"/>
    <col min="23" max="24" width="10.85546875" style="627" customWidth="1"/>
    <col min="25" max="25" width="12.7109375" style="627" customWidth="1"/>
    <col min="26" max="26" width="14.42578125" style="627" customWidth="1"/>
    <col min="27" max="28" width="9.140625" style="627"/>
    <col min="29" max="29" width="9.28515625" style="627" customWidth="1"/>
    <col min="30" max="30" width="9.85546875" style="627" customWidth="1"/>
    <col min="31" max="31" width="9.5703125" style="627" customWidth="1"/>
    <col min="32" max="32" width="10.28515625" style="627" customWidth="1"/>
    <col min="33" max="33" width="10.42578125" style="627" customWidth="1"/>
    <col min="34" max="36" width="12.5703125" style="627" customWidth="1"/>
    <col min="37" max="39" width="10.85546875" style="627" customWidth="1"/>
    <col min="40" max="40" width="14.42578125" style="627" customWidth="1"/>
    <col min="41" max="16384" width="9.140625" style="627"/>
  </cols>
  <sheetData>
    <row r="1" spans="1:40" ht="15" x14ac:dyDescent="0.25">
      <c r="F1" s="716" t="s">
        <v>655</v>
      </c>
    </row>
    <row r="2" spans="1:40" x14ac:dyDescent="0.2">
      <c r="A2" s="626" t="s">
        <v>283</v>
      </c>
      <c r="O2" s="626" t="s">
        <v>284</v>
      </c>
      <c r="AC2" s="626" t="s">
        <v>285</v>
      </c>
    </row>
    <row r="3" spans="1:40" ht="34.5" customHeight="1" x14ac:dyDescent="0.2">
      <c r="A3" s="787" t="s">
        <v>642</v>
      </c>
      <c r="B3" s="787"/>
      <c r="C3" s="787"/>
      <c r="D3" s="787"/>
      <c r="E3" s="787"/>
      <c r="F3" s="787"/>
      <c r="G3" s="787"/>
      <c r="H3" s="787"/>
      <c r="I3" s="787"/>
      <c r="J3" s="787"/>
      <c r="K3" s="628"/>
      <c r="O3" s="787" t="s">
        <v>643</v>
      </c>
      <c r="P3" s="787"/>
      <c r="Q3" s="787"/>
      <c r="R3" s="787"/>
      <c r="S3" s="787"/>
      <c r="T3" s="787"/>
      <c r="U3" s="787"/>
      <c r="V3" s="787"/>
      <c r="W3" s="787"/>
      <c r="X3" s="787"/>
      <c r="Y3" s="628"/>
      <c r="AC3" s="787" t="s">
        <v>644</v>
      </c>
      <c r="AD3" s="787"/>
      <c r="AE3" s="787"/>
      <c r="AF3" s="787"/>
      <c r="AG3" s="787"/>
      <c r="AH3" s="787"/>
      <c r="AI3" s="787"/>
      <c r="AJ3" s="787"/>
      <c r="AK3" s="787"/>
      <c r="AL3" s="787"/>
      <c r="AM3" s="628"/>
    </row>
    <row r="4" spans="1:40" x14ac:dyDescent="0.2">
      <c r="A4" s="628"/>
      <c r="B4" s="628"/>
      <c r="C4" s="628"/>
      <c r="D4" s="711"/>
      <c r="E4" s="712" t="s">
        <v>591</v>
      </c>
      <c r="F4" s="713" t="s">
        <v>590</v>
      </c>
      <c r="G4" s="714" t="s">
        <v>589</v>
      </c>
      <c r="H4" s="715" t="s">
        <v>588</v>
      </c>
      <c r="I4" s="629" t="s">
        <v>267</v>
      </c>
      <c r="O4" s="628"/>
      <c r="P4" s="628"/>
      <c r="Q4" s="628"/>
      <c r="R4" s="628"/>
      <c r="W4" s="629" t="s">
        <v>267</v>
      </c>
      <c r="AC4" s="628"/>
      <c r="AD4" s="628"/>
      <c r="AE4" s="628"/>
      <c r="AF4" s="628"/>
      <c r="AK4" s="629" t="s">
        <v>267</v>
      </c>
    </row>
    <row r="5" spans="1:40" ht="31.5" customHeight="1" x14ac:dyDescent="0.2">
      <c r="A5" s="628"/>
      <c r="B5" s="628"/>
      <c r="C5" s="628"/>
      <c r="D5" s="628"/>
      <c r="E5" s="630"/>
      <c r="F5" s="795" t="s">
        <v>151</v>
      </c>
      <c r="G5" s="795"/>
      <c r="H5" s="795"/>
      <c r="I5" s="631" t="s">
        <v>148</v>
      </c>
      <c r="J5" s="788" t="s">
        <v>149</v>
      </c>
      <c r="K5" s="788"/>
      <c r="L5" s="788"/>
      <c r="O5" s="628"/>
      <c r="P5" s="628"/>
      <c r="Q5" s="628"/>
      <c r="R5" s="628"/>
      <c r="T5" s="788" t="s">
        <v>151</v>
      </c>
      <c r="U5" s="788"/>
      <c r="V5" s="788"/>
      <c r="W5" s="631" t="s">
        <v>148</v>
      </c>
      <c r="X5" s="788" t="s">
        <v>149</v>
      </c>
      <c r="Y5" s="788"/>
      <c r="Z5" s="788"/>
      <c r="AC5" s="628"/>
      <c r="AD5" s="628"/>
      <c r="AE5" s="628"/>
      <c r="AF5" s="628"/>
      <c r="AH5" s="788" t="s">
        <v>151</v>
      </c>
      <c r="AI5" s="788"/>
      <c r="AJ5" s="788"/>
      <c r="AK5" s="631" t="s">
        <v>148</v>
      </c>
      <c r="AL5" s="788" t="s">
        <v>149</v>
      </c>
      <c r="AM5" s="788"/>
      <c r="AN5" s="788"/>
    </row>
    <row r="6" spans="1:40" ht="18.75" customHeight="1" x14ac:dyDescent="0.2">
      <c r="D6" s="632"/>
      <c r="E6" s="633"/>
      <c r="F6" s="792" t="s">
        <v>612</v>
      </c>
      <c r="G6" s="793"/>
      <c r="H6" s="794"/>
      <c r="I6" s="634" t="s">
        <v>613</v>
      </c>
      <c r="J6" s="793" t="s">
        <v>614</v>
      </c>
      <c r="K6" s="793"/>
      <c r="L6" s="794"/>
      <c r="N6" s="635"/>
      <c r="R6" s="632"/>
      <c r="T6" s="792" t="s">
        <v>615</v>
      </c>
      <c r="U6" s="793"/>
      <c r="V6" s="794"/>
      <c r="W6" s="636" t="s">
        <v>613</v>
      </c>
      <c r="X6" s="792" t="s">
        <v>616</v>
      </c>
      <c r="Y6" s="793"/>
      <c r="Z6" s="794"/>
      <c r="AF6" s="632"/>
      <c r="AH6" s="789" t="s">
        <v>617</v>
      </c>
      <c r="AI6" s="790"/>
      <c r="AJ6" s="791"/>
      <c r="AK6" s="636" t="s">
        <v>613</v>
      </c>
      <c r="AL6" s="789" t="s">
        <v>618</v>
      </c>
      <c r="AM6" s="790"/>
      <c r="AN6" s="791"/>
    </row>
    <row r="7" spans="1:40" ht="53.25" customHeight="1" x14ac:dyDescent="0.2">
      <c r="A7" s="637" t="s">
        <v>139</v>
      </c>
      <c r="B7" s="638" t="s">
        <v>111</v>
      </c>
      <c r="C7" s="638" t="s">
        <v>102</v>
      </c>
      <c r="D7" s="639" t="s">
        <v>619</v>
      </c>
      <c r="E7" s="644" t="s">
        <v>651</v>
      </c>
      <c r="F7" s="640" t="s">
        <v>652</v>
      </c>
      <c r="G7" s="641" t="s">
        <v>653</v>
      </c>
      <c r="H7" s="642" t="s">
        <v>654</v>
      </c>
      <c r="I7" s="643"/>
      <c r="J7" s="640" t="s">
        <v>652</v>
      </c>
      <c r="K7" s="641" t="s">
        <v>653</v>
      </c>
      <c r="L7" s="642" t="s">
        <v>654</v>
      </c>
      <c r="N7" s="635"/>
      <c r="O7" s="637" t="s">
        <v>139</v>
      </c>
      <c r="P7" s="638" t="s">
        <v>111</v>
      </c>
      <c r="Q7" s="638" t="s">
        <v>102</v>
      </c>
      <c r="R7" s="639" t="s">
        <v>619</v>
      </c>
      <c r="S7" s="644" t="s">
        <v>620</v>
      </c>
      <c r="T7" s="640" t="s">
        <v>621</v>
      </c>
      <c r="U7" s="641" t="s">
        <v>622</v>
      </c>
      <c r="V7" s="642" t="s">
        <v>623</v>
      </c>
      <c r="W7" s="643"/>
      <c r="X7" s="640" t="s">
        <v>621</v>
      </c>
      <c r="Y7" s="641" t="s">
        <v>622</v>
      </c>
      <c r="Z7" s="642" t="s">
        <v>623</v>
      </c>
      <c r="AC7" s="637" t="s">
        <v>139</v>
      </c>
      <c r="AD7" s="638" t="s">
        <v>111</v>
      </c>
      <c r="AE7" s="638" t="s">
        <v>102</v>
      </c>
      <c r="AF7" s="639" t="s">
        <v>619</v>
      </c>
      <c r="AG7" s="644" t="s">
        <v>624</v>
      </c>
      <c r="AH7" s="640" t="s">
        <v>625</v>
      </c>
      <c r="AI7" s="641" t="s">
        <v>626</v>
      </c>
      <c r="AJ7" s="642" t="s">
        <v>627</v>
      </c>
      <c r="AK7" s="643"/>
      <c r="AL7" s="640" t="s">
        <v>625</v>
      </c>
      <c r="AM7" s="641" t="s">
        <v>626</v>
      </c>
      <c r="AN7" s="642" t="s">
        <v>627</v>
      </c>
    </row>
    <row r="8" spans="1:40" x14ac:dyDescent="0.2">
      <c r="A8" s="645">
        <v>1</v>
      </c>
      <c r="B8" s="646"/>
      <c r="C8" s="646"/>
      <c r="D8" s="647"/>
      <c r="E8" s="648" t="s">
        <v>263</v>
      </c>
      <c r="F8" s="649"/>
      <c r="G8" s="650" t="s">
        <v>264</v>
      </c>
      <c r="H8" s="648"/>
      <c r="I8" s="651" t="s">
        <v>265</v>
      </c>
      <c r="J8" s="650"/>
      <c r="K8" s="650" t="s">
        <v>266</v>
      </c>
      <c r="L8" s="648"/>
      <c r="N8" s="635"/>
      <c r="O8" s="645"/>
      <c r="P8" s="646"/>
      <c r="Q8" s="646"/>
      <c r="R8" s="647"/>
      <c r="S8" s="648" t="s">
        <v>263</v>
      </c>
      <c r="T8" s="649"/>
      <c r="U8" s="650" t="s">
        <v>264</v>
      </c>
      <c r="V8" s="648"/>
      <c r="W8" s="651" t="s">
        <v>265</v>
      </c>
      <c r="X8" s="650"/>
      <c r="Y8" s="650" t="s">
        <v>266</v>
      </c>
      <c r="Z8" s="648"/>
      <c r="AC8" s="645"/>
      <c r="AD8" s="646"/>
      <c r="AE8" s="646"/>
      <c r="AF8" s="647"/>
      <c r="AG8" s="648" t="s">
        <v>263</v>
      </c>
      <c r="AH8" s="649"/>
      <c r="AI8" s="650" t="s">
        <v>264</v>
      </c>
      <c r="AJ8" s="648"/>
      <c r="AK8" s="651" t="s">
        <v>265</v>
      </c>
      <c r="AL8" s="650"/>
      <c r="AM8" s="650" t="s">
        <v>266</v>
      </c>
      <c r="AN8" s="648"/>
    </row>
    <row r="9" spans="1:40" x14ac:dyDescent="0.2">
      <c r="A9" s="652" t="s">
        <v>125</v>
      </c>
      <c r="B9" s="637">
        <v>2211</v>
      </c>
      <c r="C9" s="629" t="s">
        <v>1</v>
      </c>
      <c r="D9" s="637">
        <v>2</v>
      </c>
      <c r="E9" s="653">
        <v>2.9915378104342101</v>
      </c>
      <c r="F9" s="654">
        <v>1.4742</v>
      </c>
      <c r="G9" s="655">
        <v>2.1528</v>
      </c>
      <c r="H9" s="656">
        <v>3.4786000000000001</v>
      </c>
      <c r="I9" s="657">
        <v>1.1273408088969084</v>
      </c>
      <c r="J9" s="598">
        <f t="shared" ref="J9:L14" si="0">F9/$I9</f>
        <v>1.3076790872517867</v>
      </c>
      <c r="K9" s="598">
        <f t="shared" si="0"/>
        <v>1.9096266036057838</v>
      </c>
      <c r="L9" s="658">
        <f t="shared" si="0"/>
        <v>3.0856684797951877</v>
      </c>
      <c r="M9" s="632"/>
      <c r="N9" s="635"/>
      <c r="O9" s="652" t="s">
        <v>125</v>
      </c>
      <c r="P9" s="637">
        <v>2211</v>
      </c>
      <c r="Q9" s="629" t="s">
        <v>1</v>
      </c>
      <c r="R9" s="637">
        <v>2</v>
      </c>
      <c r="S9" s="653">
        <v>0.53376464952283398</v>
      </c>
      <c r="T9" s="654">
        <v>1.06576143627959</v>
      </c>
      <c r="U9" s="655">
        <v>1.74935014834366</v>
      </c>
      <c r="V9" s="656">
        <v>2.7631152956143401</v>
      </c>
      <c r="W9" s="657">
        <v>1.1273408088969084</v>
      </c>
      <c r="X9" s="598">
        <f t="shared" ref="X9:Z14" si="1">T9/$W9</f>
        <v>0.94537643618386069</v>
      </c>
      <c r="Y9" s="598">
        <f t="shared" si="1"/>
        <v>1.5517491556571801</v>
      </c>
      <c r="Z9" s="658">
        <f t="shared" si="1"/>
        <v>2.4510026371865492</v>
      </c>
      <c r="AC9" s="652" t="s">
        <v>125</v>
      </c>
      <c r="AD9" s="637">
        <v>2211</v>
      </c>
      <c r="AE9" s="629" t="s">
        <v>1</v>
      </c>
      <c r="AF9" s="637">
        <v>2</v>
      </c>
      <c r="AG9" s="653">
        <v>22.929177852320503</v>
      </c>
      <c r="AH9" s="654">
        <v>1.7860192384150899</v>
      </c>
      <c r="AI9" s="655">
        <v>2.6637061119258698</v>
      </c>
      <c r="AJ9" s="656">
        <v>4.4558544486196698</v>
      </c>
      <c r="AK9" s="657">
        <v>1.1273408088969084</v>
      </c>
      <c r="AL9" s="598">
        <f t="shared" ref="AL9:AN14" si="2">AH9/$AK9</f>
        <v>1.5842762227002958</v>
      </c>
      <c r="AM9" s="598">
        <f t="shared" si="2"/>
        <v>2.3628223966559672</v>
      </c>
      <c r="AN9" s="658">
        <f t="shared" si="2"/>
        <v>3.9525353943140571</v>
      </c>
    </row>
    <row r="10" spans="1:40" x14ac:dyDescent="0.2">
      <c r="A10" s="652"/>
      <c r="B10" s="629">
        <v>2213</v>
      </c>
      <c r="C10" s="629" t="s">
        <v>1</v>
      </c>
      <c r="D10" s="629">
        <v>4</v>
      </c>
      <c r="E10" s="653">
        <v>1.6830861867448501</v>
      </c>
      <c r="F10" s="654">
        <v>1.0670999999999999</v>
      </c>
      <c r="G10" s="655">
        <v>1.5761000000000001</v>
      </c>
      <c r="H10" s="656">
        <v>2.5937000000000001</v>
      </c>
      <c r="I10" s="657">
        <v>1.1273408088969084</v>
      </c>
      <c r="J10" s="598">
        <f t="shared" si="0"/>
        <v>0.94656380003146212</v>
      </c>
      <c r="K10" s="598">
        <f t="shared" si="0"/>
        <v>1.3980687894570214</v>
      </c>
      <c r="L10" s="658">
        <f t="shared" si="0"/>
        <v>2.3007239510276483</v>
      </c>
      <c r="M10" s="632"/>
      <c r="O10" s="652"/>
      <c r="P10" s="629">
        <v>2213</v>
      </c>
      <c r="Q10" s="629" t="s">
        <v>1</v>
      </c>
      <c r="R10" s="629">
        <v>4</v>
      </c>
      <c r="S10" s="653">
        <v>0.64104751538325799</v>
      </c>
      <c r="T10" s="654">
        <v>1.0580494664214</v>
      </c>
      <c r="U10" s="655">
        <v>1.7920236499865101</v>
      </c>
      <c r="V10" s="656">
        <v>2.8817185044577802</v>
      </c>
      <c r="W10" s="657">
        <v>1.1273408088969084</v>
      </c>
      <c r="X10" s="598">
        <f t="shared" si="1"/>
        <v>0.93853558575307028</v>
      </c>
      <c r="Y10" s="598">
        <f t="shared" si="1"/>
        <v>1.5896023951621048</v>
      </c>
      <c r="Z10" s="658">
        <f t="shared" si="1"/>
        <v>2.5562088072350657</v>
      </c>
      <c r="AC10" s="652"/>
      <c r="AD10" s="629">
        <v>2213</v>
      </c>
      <c r="AE10" s="629" t="s">
        <v>1</v>
      </c>
      <c r="AF10" s="629">
        <v>4</v>
      </c>
      <c r="AG10" s="653">
        <v>6.2689086064068302</v>
      </c>
      <c r="AH10" s="654">
        <v>0.91062091457484096</v>
      </c>
      <c r="AI10" s="655">
        <v>1.3344710441377701</v>
      </c>
      <c r="AJ10" s="656">
        <v>2.2340289863259799</v>
      </c>
      <c r="AK10" s="657">
        <v>1.1273408088969084</v>
      </c>
      <c r="AL10" s="598">
        <f t="shared" si="2"/>
        <v>0.80776009117054348</v>
      </c>
      <c r="AM10" s="598">
        <f t="shared" si="2"/>
        <v>1.1837334669393691</v>
      </c>
      <c r="AN10" s="658">
        <f t="shared" si="2"/>
        <v>1.9816802236689672</v>
      </c>
    </row>
    <row r="11" spans="1:40" x14ac:dyDescent="0.2">
      <c r="A11" s="646"/>
      <c r="B11" s="645">
        <v>2215</v>
      </c>
      <c r="C11" s="645" t="s">
        <v>1</v>
      </c>
      <c r="D11" s="645">
        <v>7</v>
      </c>
      <c r="E11" s="659">
        <v>2.15236897015992</v>
      </c>
      <c r="F11" s="660">
        <v>1.2242999999999999</v>
      </c>
      <c r="G11" s="661">
        <v>1.8067</v>
      </c>
      <c r="H11" s="662">
        <v>2.9963000000000002</v>
      </c>
      <c r="I11" s="663">
        <v>1.1273408088969084</v>
      </c>
      <c r="J11" s="599">
        <f t="shared" si="0"/>
        <v>1.0860069912646604</v>
      </c>
      <c r="K11" s="599">
        <f t="shared" si="0"/>
        <v>1.602620951660428</v>
      </c>
      <c r="L11" s="664">
        <f t="shared" si="0"/>
        <v>2.6578475438424425</v>
      </c>
      <c r="M11" s="632"/>
      <c r="O11" s="646"/>
      <c r="P11" s="645">
        <v>2215</v>
      </c>
      <c r="Q11" s="645" t="s">
        <v>1</v>
      </c>
      <c r="R11" s="645">
        <v>7</v>
      </c>
      <c r="S11" s="659">
        <v>0.72600652852148706</v>
      </c>
      <c r="T11" s="660">
        <v>1.0152627565823</v>
      </c>
      <c r="U11" s="661">
        <v>1.9050297169319901</v>
      </c>
      <c r="V11" s="662">
        <v>3.23111961439424</v>
      </c>
      <c r="W11" s="663">
        <v>1.1273408088969084</v>
      </c>
      <c r="X11" s="599">
        <f t="shared" si="1"/>
        <v>0.90058192568733886</v>
      </c>
      <c r="Y11" s="599">
        <f t="shared" si="1"/>
        <v>1.6898436585437215</v>
      </c>
      <c r="Z11" s="664">
        <f t="shared" si="1"/>
        <v>2.8661426863060675</v>
      </c>
      <c r="AC11" s="646"/>
      <c r="AD11" s="645">
        <v>2215</v>
      </c>
      <c r="AE11" s="645" t="s">
        <v>1</v>
      </c>
      <c r="AF11" s="645">
        <v>7</v>
      </c>
      <c r="AG11" s="659">
        <v>10.711782233771899</v>
      </c>
      <c r="AH11" s="660">
        <v>1.16490290154009</v>
      </c>
      <c r="AI11" s="661">
        <v>1.7456611794881201</v>
      </c>
      <c r="AJ11" s="662">
        <v>2.9258026364262602</v>
      </c>
      <c r="AK11" s="663">
        <v>1.1273408088969084</v>
      </c>
      <c r="AL11" s="599">
        <f t="shared" si="2"/>
        <v>1.0333191989030681</v>
      </c>
      <c r="AM11" s="599">
        <f t="shared" si="2"/>
        <v>1.5484768809143279</v>
      </c>
      <c r="AN11" s="664">
        <f t="shared" si="2"/>
        <v>2.5953133367797876</v>
      </c>
    </row>
    <row r="12" spans="1:40" x14ac:dyDescent="0.2">
      <c r="A12" s="638" t="s">
        <v>126</v>
      </c>
      <c r="B12" s="637">
        <v>2219</v>
      </c>
      <c r="C12" s="637" t="s">
        <v>2</v>
      </c>
      <c r="D12" s="637">
        <v>2</v>
      </c>
      <c r="E12" s="653">
        <v>2.8392716253296899</v>
      </c>
      <c r="F12" s="654">
        <v>1.3753</v>
      </c>
      <c r="G12" s="655">
        <v>1.8931</v>
      </c>
      <c r="H12" s="656">
        <v>2.7814000000000001</v>
      </c>
      <c r="I12" s="665">
        <v>1.3288038369006778</v>
      </c>
      <c r="J12" s="598">
        <f t="shared" si="0"/>
        <v>1.0349909910011779</v>
      </c>
      <c r="K12" s="666">
        <f t="shared" si="0"/>
        <v>1.4246647604626843</v>
      </c>
      <c r="L12" s="667">
        <f t="shared" si="0"/>
        <v>2.0931607230209237</v>
      </c>
      <c r="M12" s="632"/>
      <c r="O12" s="638" t="s">
        <v>126</v>
      </c>
      <c r="P12" s="637">
        <v>2219</v>
      </c>
      <c r="Q12" s="637" t="s">
        <v>2</v>
      </c>
      <c r="R12" s="637">
        <v>2</v>
      </c>
      <c r="S12" s="653">
        <v>0.30337204959287101</v>
      </c>
      <c r="T12" s="654">
        <v>1.0670431068033599</v>
      </c>
      <c r="U12" s="655">
        <v>1.40922617504624</v>
      </c>
      <c r="V12" s="656">
        <v>1.9234603485497599</v>
      </c>
      <c r="W12" s="665">
        <v>1.3288038369006778</v>
      </c>
      <c r="X12" s="598">
        <f t="shared" si="1"/>
        <v>0.80301025416373528</v>
      </c>
      <c r="Y12" s="666">
        <f t="shared" si="1"/>
        <v>1.0605223554540153</v>
      </c>
      <c r="Z12" s="667">
        <f t="shared" si="1"/>
        <v>1.4475126389129549</v>
      </c>
      <c r="AC12" s="638" t="s">
        <v>126</v>
      </c>
      <c r="AD12" s="637">
        <v>2219</v>
      </c>
      <c r="AE12" s="637" t="s">
        <v>2</v>
      </c>
      <c r="AF12" s="637">
        <v>2</v>
      </c>
      <c r="AG12" s="653">
        <v>15.091949416665202</v>
      </c>
      <c r="AH12" s="654">
        <v>1.36393773442341</v>
      </c>
      <c r="AI12" s="655">
        <v>2.0120390732408602</v>
      </c>
      <c r="AJ12" s="656">
        <v>3.1486538519270399</v>
      </c>
      <c r="AK12" s="665">
        <v>1.3288038369006778</v>
      </c>
      <c r="AL12" s="598">
        <f t="shared" si="2"/>
        <v>1.0264402438848153</v>
      </c>
      <c r="AM12" s="666">
        <f t="shared" si="2"/>
        <v>1.5141731362950988</v>
      </c>
      <c r="AN12" s="667">
        <f t="shared" si="2"/>
        <v>2.3695400061991152</v>
      </c>
    </row>
    <row r="13" spans="1:40" x14ac:dyDescent="0.2">
      <c r="A13" s="652"/>
      <c r="B13" s="629">
        <v>2221</v>
      </c>
      <c r="C13" s="629" t="s">
        <v>2</v>
      </c>
      <c r="D13" s="629">
        <v>4</v>
      </c>
      <c r="E13" s="653">
        <v>3.0223639763899999</v>
      </c>
      <c r="F13" s="654">
        <v>1.4269000000000001</v>
      </c>
      <c r="G13" s="655">
        <v>1.9621999999999999</v>
      </c>
      <c r="H13" s="656">
        <v>2.8616000000000001</v>
      </c>
      <c r="I13" s="657">
        <v>1.3288038369006778</v>
      </c>
      <c r="J13" s="598">
        <f t="shared" si="0"/>
        <v>1.0738229077725447</v>
      </c>
      <c r="K13" s="598">
        <f t="shared" si="0"/>
        <v>1.4766664164491463</v>
      </c>
      <c r="L13" s="658">
        <f t="shared" si="0"/>
        <v>2.1535157564523888</v>
      </c>
      <c r="M13" s="632"/>
      <c r="O13" s="652"/>
      <c r="P13" s="629">
        <v>2221</v>
      </c>
      <c r="Q13" s="629" t="s">
        <v>2</v>
      </c>
      <c r="R13" s="629">
        <v>4</v>
      </c>
      <c r="S13" s="653">
        <v>0.68343108812875397</v>
      </c>
      <c r="T13" s="654">
        <v>1.22053728922016</v>
      </c>
      <c r="U13" s="655">
        <v>1.6721766256667401</v>
      </c>
      <c r="V13" s="656">
        <v>2.3196064191366998</v>
      </c>
      <c r="W13" s="657">
        <v>1.3288038369006778</v>
      </c>
      <c r="X13" s="598">
        <f t="shared" si="1"/>
        <v>0.91852330293307982</v>
      </c>
      <c r="Y13" s="598">
        <f t="shared" si="1"/>
        <v>1.2584074332348032</v>
      </c>
      <c r="Z13" s="658">
        <f t="shared" si="1"/>
        <v>1.7456349498109405</v>
      </c>
      <c r="AC13" s="652"/>
      <c r="AD13" s="629">
        <v>2221</v>
      </c>
      <c r="AE13" s="629" t="s">
        <v>2</v>
      </c>
      <c r="AF13" s="629">
        <v>4</v>
      </c>
      <c r="AG13" s="653">
        <v>10.1968247515654</v>
      </c>
      <c r="AH13" s="654">
        <v>1.13416558069694</v>
      </c>
      <c r="AI13" s="655">
        <v>1.7009491189133099</v>
      </c>
      <c r="AJ13" s="656">
        <v>2.7261869235221998</v>
      </c>
      <c r="AK13" s="657">
        <v>1.3288038369006778</v>
      </c>
      <c r="AL13" s="598">
        <f t="shared" si="2"/>
        <v>0.85352370997233495</v>
      </c>
      <c r="AM13" s="598">
        <f t="shared" si="2"/>
        <v>1.2800603608133985</v>
      </c>
      <c r="AN13" s="658">
        <f t="shared" si="2"/>
        <v>2.0516097619651665</v>
      </c>
    </row>
    <row r="14" spans="1:40" x14ac:dyDescent="0.2">
      <c r="A14" s="646"/>
      <c r="B14" s="645">
        <v>2223</v>
      </c>
      <c r="C14" s="645" t="s">
        <v>2</v>
      </c>
      <c r="D14" s="645">
        <v>7</v>
      </c>
      <c r="E14" s="659">
        <v>2.40260352775246</v>
      </c>
      <c r="F14" s="660">
        <v>1.2754000000000001</v>
      </c>
      <c r="G14" s="661">
        <v>1.7811999999999999</v>
      </c>
      <c r="H14" s="662">
        <v>2.6646000000000001</v>
      </c>
      <c r="I14" s="663">
        <v>1.3288038369006778</v>
      </c>
      <c r="J14" s="599">
        <f t="shared" si="0"/>
        <v>0.95981059399614799</v>
      </c>
      <c r="K14" s="599">
        <f t="shared" si="0"/>
        <v>1.3404536851387319</v>
      </c>
      <c r="L14" s="664">
        <f t="shared" si="0"/>
        <v>2.0052621207167443</v>
      </c>
      <c r="M14" s="632"/>
      <c r="O14" s="646"/>
      <c r="P14" s="645">
        <v>2223</v>
      </c>
      <c r="Q14" s="645" t="s">
        <v>2</v>
      </c>
      <c r="R14" s="645">
        <v>7</v>
      </c>
      <c r="S14" s="659">
        <v>0.65251858337172997</v>
      </c>
      <c r="T14" s="660">
        <v>0.96701528249740498</v>
      </c>
      <c r="U14" s="661">
        <v>1.4669108261850099</v>
      </c>
      <c r="V14" s="662">
        <v>2.18217179641228</v>
      </c>
      <c r="W14" s="663">
        <v>1.3288038369006778</v>
      </c>
      <c r="X14" s="599">
        <f t="shared" si="1"/>
        <v>0.72773366214300383</v>
      </c>
      <c r="Y14" s="599">
        <f t="shared" si="1"/>
        <v>1.1039333161518068</v>
      </c>
      <c r="Z14" s="664">
        <f t="shared" si="1"/>
        <v>1.6422076275020476</v>
      </c>
      <c r="AC14" s="646"/>
      <c r="AD14" s="645">
        <v>2223</v>
      </c>
      <c r="AE14" s="645" t="s">
        <v>2</v>
      </c>
      <c r="AF14" s="645">
        <v>7</v>
      </c>
      <c r="AG14" s="659">
        <v>9.6550711845068609</v>
      </c>
      <c r="AH14" s="660">
        <v>1.1460836348608101</v>
      </c>
      <c r="AI14" s="661">
        <v>1.73301737513801</v>
      </c>
      <c r="AJ14" s="662">
        <v>2.8206391680185399</v>
      </c>
      <c r="AK14" s="663">
        <v>1.3288038369006778</v>
      </c>
      <c r="AL14" s="599">
        <f t="shared" si="2"/>
        <v>0.86249271941745209</v>
      </c>
      <c r="AM14" s="599">
        <f t="shared" si="2"/>
        <v>1.304193536331236</v>
      </c>
      <c r="AN14" s="664">
        <f t="shared" si="2"/>
        <v>2.1226904150107222</v>
      </c>
    </row>
    <row r="15" spans="1:40" ht="13.5" x14ac:dyDescent="0.25">
      <c r="A15" s="627" t="s">
        <v>628</v>
      </c>
      <c r="E15" s="632"/>
      <c r="F15" s="629"/>
      <c r="G15" s="632"/>
      <c r="N15" s="635"/>
      <c r="O15" s="635"/>
      <c r="P15" s="635"/>
      <c r="Q15" s="635"/>
      <c r="R15" s="635"/>
      <c r="S15" s="668" t="s">
        <v>261</v>
      </c>
      <c r="T15" s="669"/>
      <c r="U15" s="669"/>
      <c r="V15" s="669"/>
      <c r="W15" s="669"/>
      <c r="X15" s="669"/>
      <c r="Y15" s="669"/>
      <c r="Z15" s="669"/>
    </row>
    <row r="16" spans="1:40" ht="13.5" x14ac:dyDescent="0.2">
      <c r="A16" s="670" t="s">
        <v>629</v>
      </c>
      <c r="B16" s="632"/>
      <c r="C16" s="632"/>
      <c r="N16" s="635"/>
      <c r="O16" s="635"/>
      <c r="P16" s="635"/>
      <c r="Q16" s="635"/>
      <c r="R16" s="635"/>
      <c r="S16" s="671" t="s">
        <v>630</v>
      </c>
      <c r="T16" s="672"/>
      <c r="U16" s="672"/>
      <c r="V16" s="672"/>
      <c r="W16" s="672"/>
      <c r="X16" s="672"/>
      <c r="Y16" s="672"/>
      <c r="Z16" s="672"/>
    </row>
    <row r="17" spans="1:40" ht="13.5" x14ac:dyDescent="0.25">
      <c r="A17" s="627" t="s">
        <v>631</v>
      </c>
      <c r="B17" s="632"/>
      <c r="C17" s="632"/>
      <c r="N17" s="635"/>
      <c r="O17" s="635"/>
      <c r="P17" s="635"/>
      <c r="Q17" s="635"/>
      <c r="R17" s="635"/>
      <c r="S17" s="635"/>
    </row>
    <row r="18" spans="1:40" x14ac:dyDescent="0.2">
      <c r="A18" s="632"/>
      <c r="B18" s="632"/>
      <c r="C18" s="632"/>
      <c r="D18" s="673" t="s">
        <v>632</v>
      </c>
      <c r="E18" s="674">
        <f>AVERAGE(E9:E14)+1*_xlfn.STDEV.S(E9:E14)</f>
        <v>3.0492227923964723</v>
      </c>
      <c r="F18" s="675">
        <f>AVERAGE(F9:F14)+1*_xlfn.STDEV.S(F9:F14)</f>
        <v>1.457124220858407</v>
      </c>
      <c r="G18" s="676">
        <f>AVERAGE(G9:G14)+1*_xlfn.STDEV.S(G9:G14)</f>
        <v>2.0553544169035685</v>
      </c>
      <c r="H18" s="675">
        <f>AVERAGE(H9:H14)+1*_xlfn.STDEV.S(H9:H14)</f>
        <v>3.2150100137766935</v>
      </c>
      <c r="I18" s="669"/>
      <c r="J18" s="677">
        <f>AVERAGE(J9:J14)+1*_xlfn.STDEV.S(J9:J14)</f>
        <v>1.1987944088705733</v>
      </c>
      <c r="K18" s="677">
        <f>AVERAGE(K9:K14)+1*_xlfn.STDEV.S(K9:K14)</f>
        <v>1.7334530942485298</v>
      </c>
      <c r="L18" s="678">
        <f>AVERAGE(L9:L14)+1*_xlfn.STDEV.S(L9:L14)</f>
        <v>2.7963167115559293</v>
      </c>
      <c r="N18" s="635"/>
      <c r="O18" s="635"/>
      <c r="P18" s="635"/>
      <c r="Q18" s="635"/>
      <c r="R18" s="673" t="s">
        <v>632</v>
      </c>
      <c r="S18" s="674">
        <f>AVERAGE(S9:S14)+1*_xlfn.STDEV.S(S9:S14)</f>
        <v>0.74433449044356537</v>
      </c>
      <c r="T18" s="675">
        <f>AVERAGE(T9:T14)+1*_xlfn.STDEV.S(T9:T14)</f>
        <v>1.1508376867605585</v>
      </c>
      <c r="U18" s="676">
        <f>AVERAGE(U9:U14)+1*_xlfn.STDEV.S(U9:U14)</f>
        <v>1.8584369551601612</v>
      </c>
      <c r="V18" s="675">
        <f>AVERAGE(V9:V14)+1*_xlfn.STDEV.S(V9:V14)</f>
        <v>3.0401598272759736</v>
      </c>
      <c r="W18" s="669"/>
      <c r="X18" s="677">
        <f>AVERAGE(X9:X14)+1*_xlfn.STDEV.S(X9:X14)</f>
        <v>0.95988836106940234</v>
      </c>
      <c r="Y18" s="677">
        <f>AVERAGE(Y9:Y14)+1*_xlfn.STDEV.S(Y9:Y14)</f>
        <v>1.644892060954066</v>
      </c>
      <c r="Z18" s="678">
        <f>AVERAGE(Z9:Z14)+1*_xlfn.STDEV.S(Z9:Z14)</f>
        <v>2.6972939360047019</v>
      </c>
      <c r="AF18" s="673" t="s">
        <v>632</v>
      </c>
      <c r="AG18" s="674">
        <f>AVERAGE(AG9:AG14)+1*_xlfn.STDEV.S(AG9:AG14)</f>
        <v>18.322068268109714</v>
      </c>
      <c r="AH18" s="675">
        <f>AVERAGE(AH9:AH14)+1*_xlfn.STDEV.S(AH9:AH14)</f>
        <v>1.5499295356364751</v>
      </c>
      <c r="AI18" s="676">
        <f>AVERAGE(AI9:AI14)+1*_xlfn.STDEV.S(AI9:AI14)</f>
        <v>2.3120951687597779</v>
      </c>
      <c r="AJ18" s="675">
        <f>AVERAGE(AJ9:AJ14)+1*_xlfn.STDEV.S(AJ9:AJ14)</f>
        <v>3.8035036719968591</v>
      </c>
      <c r="AK18" s="669"/>
      <c r="AL18" s="677">
        <f>AVERAGE(AL9:AL14)+1*_xlfn.STDEV.S(AL9:AL14)</f>
        <v>1.3163483814000996</v>
      </c>
      <c r="AM18" s="677">
        <f>AVERAGE(AM9:AM14)+1*_xlfn.STDEV.S(AM9:AM14)</f>
        <v>1.9629435932910348</v>
      </c>
      <c r="AN18" s="678">
        <f>AVERAGE(AN9:AN14)+1*_xlfn.STDEV.S(AN9:AN14)</f>
        <v>3.2534620341585168</v>
      </c>
    </row>
    <row r="19" spans="1:40" x14ac:dyDescent="0.2">
      <c r="A19" s="632"/>
      <c r="B19" s="632"/>
      <c r="C19" s="632"/>
      <c r="D19" s="679" t="s">
        <v>164</v>
      </c>
      <c r="E19" s="680">
        <f>AVERAGE(E9:E14)</f>
        <v>2.5152053494685216</v>
      </c>
      <c r="F19" s="680">
        <f>AVERAGE(F9:F14)</f>
        <v>1.3071999999999999</v>
      </c>
      <c r="G19" s="681">
        <f>AVERAGE(G9:G14)</f>
        <v>1.8620166666666667</v>
      </c>
      <c r="H19" s="680">
        <f>AVERAGE(H9:H14)</f>
        <v>2.8960333333333335</v>
      </c>
      <c r="I19" s="682"/>
      <c r="J19" s="680">
        <f>AVERAGE(J9:J14)</f>
        <v>1.0681457285529634</v>
      </c>
      <c r="K19" s="680">
        <f>AVERAGE(K9:K14)</f>
        <v>1.5253502011289661</v>
      </c>
      <c r="L19" s="683">
        <f>AVERAGE(L9:L14)</f>
        <v>2.3826964291425559</v>
      </c>
      <c r="N19" s="635"/>
      <c r="O19" s="635"/>
      <c r="P19" s="635"/>
      <c r="Q19" s="635"/>
      <c r="R19" s="679" t="s">
        <v>164</v>
      </c>
      <c r="S19" s="680">
        <f>AVERAGE(S9:S14)</f>
        <v>0.59002340242015572</v>
      </c>
      <c r="T19" s="680">
        <f>AVERAGE(T9:T14)</f>
        <v>1.0656115563007025</v>
      </c>
      <c r="U19" s="681">
        <f>AVERAGE(U9:U14)</f>
        <v>1.6657861903600253</v>
      </c>
      <c r="V19" s="680">
        <f>AVERAGE(V9:V14)</f>
        <v>2.5501986630941835</v>
      </c>
      <c r="W19" s="682"/>
      <c r="X19" s="680">
        <f>AVERAGE(X9:X14)</f>
        <v>0.87229352781068148</v>
      </c>
      <c r="Y19" s="680">
        <f>AVERAGE(Y9:Y14)</f>
        <v>1.3756763857006051</v>
      </c>
      <c r="Z19" s="683">
        <f>AVERAGE(Z9:Z14)</f>
        <v>2.1181182244922705</v>
      </c>
      <c r="AF19" s="679" t="s">
        <v>164</v>
      </c>
      <c r="AG19" s="680">
        <f>AVERAGE(AG9:AG14)</f>
        <v>12.47561900753945</v>
      </c>
      <c r="AH19" s="680">
        <f>AVERAGE(AH9:AH14)</f>
        <v>1.2509550007518635</v>
      </c>
      <c r="AI19" s="681">
        <f>AVERAGE(AI9:AI14)</f>
        <v>1.8649739838073234</v>
      </c>
      <c r="AJ19" s="680">
        <f>AVERAGE(AJ9:AJ14)</f>
        <v>3.0518610024732813</v>
      </c>
      <c r="AK19" s="682"/>
      <c r="AL19" s="680">
        <f>AVERAGE(AL9:AL14)</f>
        <v>1.0279686976747517</v>
      </c>
      <c r="AM19" s="680">
        <f>AVERAGE(AM9:AM14)</f>
        <v>1.5322432963248998</v>
      </c>
      <c r="AN19" s="683">
        <f>AVERAGE(AN9:AN14)</f>
        <v>2.512228189656303</v>
      </c>
    </row>
    <row r="20" spans="1:40" x14ac:dyDescent="0.2">
      <c r="A20" s="632"/>
      <c r="B20" s="632"/>
      <c r="C20" s="632"/>
      <c r="D20" s="684" t="s">
        <v>261</v>
      </c>
      <c r="E20" s="685">
        <f>_xlfn.STDEV.S(E9:E14)/AVERAGE(E9:E14)</f>
        <v>0.21231564374685832</v>
      </c>
      <c r="F20" s="685">
        <f>_xlfn.STDEV.S(F9:F14)/AVERAGE(F9:F14)</f>
        <v>0.11469111142779001</v>
      </c>
      <c r="G20" s="685">
        <f>_xlfn.STDEV.S(G9:G14)/AVERAGE(G9:G14)</f>
        <v>0.10383244881637396</v>
      </c>
      <c r="H20" s="685">
        <f>_xlfn.STDEV.S(H9:H14)/AVERAGE(H9:H14)</f>
        <v>0.110142613612882</v>
      </c>
      <c r="I20" s="686"/>
      <c r="J20" s="685">
        <f>_xlfn.STDEV.S(J9:J14)/AVERAGE(J9:J14)</f>
        <v>0.12231353533997832</v>
      </c>
      <c r="K20" s="685">
        <f>_xlfn.STDEV.S(K9:K14)/AVERAGE(K9:K14)</f>
        <v>0.1364295838198594</v>
      </c>
      <c r="L20" s="687">
        <f>_xlfn.STDEV.S(L9:L14)/AVERAGE(L9:L14)</f>
        <v>0.17359336143472545</v>
      </c>
      <c r="N20" s="635"/>
      <c r="O20" s="635"/>
      <c r="P20" s="635"/>
      <c r="Q20" s="635"/>
      <c r="R20" s="684" t="s">
        <v>261</v>
      </c>
      <c r="S20" s="685">
        <f>_xlfn.STDEV.S(S9:S14)/AVERAGE(S9:S14)</f>
        <v>0.26153384321784029</v>
      </c>
      <c r="T20" s="685">
        <f>_xlfn.STDEV.S(T9:T14)/AVERAGE(T9:T14)</f>
        <v>7.9978609424733338E-2</v>
      </c>
      <c r="U20" s="685">
        <f>_xlfn.STDEV.S(U9:U14)/AVERAGE(U9:U14)</f>
        <v>0.11565155595298722</v>
      </c>
      <c r="V20" s="685">
        <f>_xlfn.STDEV.S(V9:V14)/AVERAGE(V9:V14)</f>
        <v>0.19212666498198014</v>
      </c>
      <c r="W20" s="686"/>
      <c r="X20" s="685">
        <f>_xlfn.STDEV.S(X9:X14)/AVERAGE(X9:X14)</f>
        <v>0.10041898795073029</v>
      </c>
      <c r="Y20" s="685">
        <f>_xlfn.STDEV.S(Y9:Y14)/AVERAGE(Y9:Y14)</f>
        <v>0.19569695173356819</v>
      </c>
      <c r="Z20" s="687">
        <f>_xlfn.STDEV.S(Z9:Z14)/AVERAGE(Z9:Z14)</f>
        <v>0.27343880280868854</v>
      </c>
      <c r="AF20" s="684" t="s">
        <v>261</v>
      </c>
      <c r="AG20" s="685">
        <f>_xlfn.STDEV.S(AG9:AG14)/AVERAGE(AG9:AG14)</f>
        <v>0.46862999399364885</v>
      </c>
      <c r="AH20" s="685">
        <f>_xlfn.STDEV.S(AH9:AH14)/AVERAGE(AH9:AH14)</f>
        <v>0.23899703402993583</v>
      </c>
      <c r="AI20" s="685">
        <f>_xlfn.STDEV.S(AI9:AI14)/AVERAGE(AI9:AI14)</f>
        <v>0.23974660710261569</v>
      </c>
      <c r="AJ20" s="685">
        <f>_xlfn.STDEV.S(AJ9:AJ14)/AVERAGE(AJ9:AJ14)</f>
        <v>0.24628994207614088</v>
      </c>
      <c r="AK20" s="686"/>
      <c r="AL20" s="685">
        <f>_xlfn.STDEV.S(AL9:AL14)/AVERAGE(AL9:AL14)</f>
        <v>0.28053352633952572</v>
      </c>
      <c r="AM20" s="685">
        <f>_xlfn.STDEV.S(AM9:AM14)/AVERAGE(AM9:AM14)</f>
        <v>0.28109132407312459</v>
      </c>
      <c r="AN20" s="687">
        <f>_xlfn.STDEV.S(AN9:AN14)/AVERAGE(AN9:AN14)</f>
        <v>0.29505036507198074</v>
      </c>
    </row>
    <row r="21" spans="1:40" x14ac:dyDescent="0.2">
      <c r="A21" s="632"/>
      <c r="B21" s="632"/>
      <c r="C21" s="632"/>
      <c r="D21" s="688" t="s">
        <v>162</v>
      </c>
      <c r="E21" s="675">
        <f>MAX(E9:E14)</f>
        <v>3.0223639763899999</v>
      </c>
      <c r="F21" s="675">
        <f t="shared" ref="F21:L21" si="3">MAX(F9:F14)</f>
        <v>1.4742</v>
      </c>
      <c r="G21" s="675">
        <f t="shared" si="3"/>
        <v>2.1528</v>
      </c>
      <c r="H21" s="675">
        <f t="shared" si="3"/>
        <v>3.4786000000000001</v>
      </c>
      <c r="I21" s="675"/>
      <c r="J21" s="675">
        <f t="shared" si="3"/>
        <v>1.3076790872517867</v>
      </c>
      <c r="K21" s="675">
        <f t="shared" si="3"/>
        <v>1.9096266036057838</v>
      </c>
      <c r="L21" s="689">
        <f t="shared" si="3"/>
        <v>3.0856684797951877</v>
      </c>
      <c r="N21" s="635"/>
      <c r="O21" s="635"/>
      <c r="P21" s="635"/>
      <c r="Q21" s="635"/>
      <c r="R21" s="688" t="s">
        <v>162</v>
      </c>
      <c r="S21" s="675">
        <f>MAX(S9:S14)</f>
        <v>0.72600652852148706</v>
      </c>
      <c r="T21" s="675">
        <f>MAX(T9:T14)</f>
        <v>1.22053728922016</v>
      </c>
      <c r="U21" s="675">
        <f>MAX(U9:U14)</f>
        <v>1.9050297169319901</v>
      </c>
      <c r="V21" s="675">
        <f>MAX(V9:V14)</f>
        <v>3.23111961439424</v>
      </c>
      <c r="W21" s="675"/>
      <c r="X21" s="675">
        <f>MAX(X9:X14)</f>
        <v>0.94537643618386069</v>
      </c>
      <c r="Y21" s="675">
        <f>MAX(Y9:Y14)</f>
        <v>1.6898436585437215</v>
      </c>
      <c r="Z21" s="689">
        <f>MAX(Z9:Z14)</f>
        <v>2.8661426863060675</v>
      </c>
      <c r="AF21" s="688" t="s">
        <v>162</v>
      </c>
      <c r="AG21" s="675">
        <f>MAX(AG9:AG14)</f>
        <v>22.929177852320503</v>
      </c>
      <c r="AH21" s="675">
        <f>MAX(AH9:AH14)</f>
        <v>1.7860192384150899</v>
      </c>
      <c r="AI21" s="675">
        <f>MAX(AI9:AI14)</f>
        <v>2.6637061119258698</v>
      </c>
      <c r="AJ21" s="675">
        <f>MAX(AJ9:AJ14)</f>
        <v>4.4558544486196698</v>
      </c>
      <c r="AK21" s="675"/>
      <c r="AL21" s="675">
        <f>MAX(AL9:AL14)</f>
        <v>1.5842762227002958</v>
      </c>
      <c r="AM21" s="675">
        <f>MAX(AM9:AM14)</f>
        <v>2.3628223966559672</v>
      </c>
      <c r="AN21" s="689">
        <f>MAX(AN9:AN14)</f>
        <v>3.9525353943140571</v>
      </c>
    </row>
    <row r="22" spans="1:40" x14ac:dyDescent="0.2">
      <c r="A22" s="632"/>
      <c r="B22" s="632"/>
      <c r="C22" s="632"/>
      <c r="D22" s="690" t="s">
        <v>163</v>
      </c>
      <c r="E22" s="691">
        <f>MIN(E9:E14)</f>
        <v>1.6830861867448501</v>
      </c>
      <c r="F22" s="691">
        <f t="shared" ref="F22:L22" si="4">MIN(F9:F14)</f>
        <v>1.0670999999999999</v>
      </c>
      <c r="G22" s="691">
        <f t="shared" si="4"/>
        <v>1.5761000000000001</v>
      </c>
      <c r="H22" s="691">
        <f t="shared" si="4"/>
        <v>2.5937000000000001</v>
      </c>
      <c r="I22" s="691"/>
      <c r="J22" s="691">
        <f t="shared" si="4"/>
        <v>0.94656380003146212</v>
      </c>
      <c r="K22" s="691">
        <f t="shared" si="4"/>
        <v>1.3404536851387319</v>
      </c>
      <c r="L22" s="692">
        <f t="shared" si="4"/>
        <v>2.0052621207167443</v>
      </c>
      <c r="N22" s="635"/>
      <c r="O22" s="635"/>
      <c r="P22" s="635"/>
      <c r="Q22" s="635"/>
      <c r="R22" s="690" t="s">
        <v>163</v>
      </c>
      <c r="S22" s="691">
        <f>MIN(S9:S14)</f>
        <v>0.30337204959287101</v>
      </c>
      <c r="T22" s="691">
        <f>MIN(T9:T14)</f>
        <v>0.96701528249740498</v>
      </c>
      <c r="U22" s="691">
        <f>MIN(U9:U14)</f>
        <v>1.40922617504624</v>
      </c>
      <c r="V22" s="691">
        <f>MIN(V9:V14)</f>
        <v>1.9234603485497599</v>
      </c>
      <c r="W22" s="691"/>
      <c r="X22" s="691">
        <f>MIN(X9:X14)</f>
        <v>0.72773366214300383</v>
      </c>
      <c r="Y22" s="691">
        <f>MIN(Y9:Y14)</f>
        <v>1.0605223554540153</v>
      </c>
      <c r="Z22" s="692">
        <f>MIN(Z9:Z14)</f>
        <v>1.4475126389129549</v>
      </c>
      <c r="AF22" s="690" t="s">
        <v>163</v>
      </c>
      <c r="AG22" s="691">
        <f>MIN(AG9:AG14)</f>
        <v>6.2689086064068302</v>
      </c>
      <c r="AH22" s="691">
        <f>MIN(AH9:AH14)</f>
        <v>0.91062091457484096</v>
      </c>
      <c r="AI22" s="691">
        <f>MIN(AI9:AI14)</f>
        <v>1.3344710441377701</v>
      </c>
      <c r="AJ22" s="691">
        <f>MIN(AJ9:AJ14)</f>
        <v>2.2340289863259799</v>
      </c>
      <c r="AK22" s="691"/>
      <c r="AL22" s="691">
        <f>MIN(AL9:AL14)</f>
        <v>0.80776009117054348</v>
      </c>
      <c r="AM22" s="691">
        <f>MIN(AM9:AM14)</f>
        <v>1.1837334669393691</v>
      </c>
      <c r="AN22" s="692">
        <f>MIN(AN9:AN14)</f>
        <v>1.9816802236689672</v>
      </c>
    </row>
    <row r="23" spans="1:40" x14ac:dyDescent="0.2">
      <c r="A23" s="632"/>
      <c r="B23" s="632"/>
      <c r="C23" s="632"/>
      <c r="D23" s="693"/>
      <c r="E23" s="694"/>
      <c r="F23" s="694"/>
      <c r="G23" s="694"/>
      <c r="H23" s="694"/>
      <c r="I23" s="694"/>
      <c r="J23" s="694"/>
      <c r="K23" s="694"/>
      <c r="L23" s="694"/>
      <c r="N23" s="635"/>
      <c r="O23" s="635"/>
      <c r="P23" s="635"/>
      <c r="Q23" s="635"/>
      <c r="R23" s="693"/>
      <c r="S23" s="694"/>
      <c r="T23" s="694"/>
      <c r="U23" s="694"/>
      <c r="V23" s="694"/>
      <c r="W23" s="694"/>
      <c r="X23" s="694"/>
      <c r="Y23" s="694"/>
      <c r="Z23" s="694"/>
      <c r="AF23" s="693"/>
      <c r="AG23" s="694"/>
      <c r="AH23" s="694"/>
      <c r="AI23" s="694"/>
      <c r="AJ23" s="694"/>
      <c r="AK23" s="694"/>
      <c r="AL23" s="694"/>
      <c r="AM23" s="694"/>
      <c r="AN23" s="694"/>
    </row>
    <row r="24" spans="1:40" x14ac:dyDescent="0.2">
      <c r="A24" s="632"/>
      <c r="B24" s="632"/>
      <c r="C24" s="632"/>
      <c r="D24" s="693"/>
      <c r="E24" s="694"/>
      <c r="F24" s="694"/>
      <c r="G24" s="694"/>
      <c r="H24" s="694"/>
      <c r="I24" s="694"/>
      <c r="J24" s="694"/>
      <c r="K24" s="694"/>
      <c r="L24" s="694"/>
      <c r="N24" s="635"/>
      <c r="O24" s="635"/>
      <c r="P24" s="635"/>
      <c r="Q24" s="635"/>
      <c r="R24" s="693"/>
      <c r="S24" s="694"/>
      <c r="T24" s="694"/>
      <c r="U24" s="694"/>
      <c r="V24" s="694"/>
      <c r="W24" s="694"/>
      <c r="X24" s="694"/>
      <c r="Y24" s="694"/>
      <c r="Z24" s="694"/>
      <c r="AF24" s="693"/>
      <c r="AG24" s="694"/>
      <c r="AH24" s="694"/>
      <c r="AI24" s="694"/>
      <c r="AJ24" s="694"/>
      <c r="AK24" s="694"/>
      <c r="AL24" s="694"/>
      <c r="AM24" s="694"/>
      <c r="AN24" s="694"/>
    </row>
    <row r="25" spans="1:40" ht="18.75" x14ac:dyDescent="0.2">
      <c r="B25" s="695" t="s">
        <v>633</v>
      </c>
      <c r="J25" s="107">
        <v>1.2</v>
      </c>
      <c r="K25" s="107">
        <v>1.7</v>
      </c>
      <c r="L25" s="107">
        <v>2.8</v>
      </c>
      <c r="M25" s="107"/>
      <c r="N25" s="107"/>
      <c r="O25" s="107"/>
      <c r="P25" s="107"/>
      <c r="Q25" s="107"/>
      <c r="R25" s="107"/>
      <c r="S25" s="107"/>
      <c r="T25" s="107"/>
      <c r="U25" s="107"/>
      <c r="V25" s="107"/>
      <c r="W25" s="107"/>
      <c r="X25" s="107">
        <v>1</v>
      </c>
      <c r="Y25" s="107">
        <v>1.6</v>
      </c>
      <c r="Z25" s="107">
        <v>2.7</v>
      </c>
      <c r="AA25" s="107"/>
      <c r="AB25" s="107"/>
      <c r="AC25" s="107"/>
      <c r="AD25" s="107"/>
      <c r="AE25" s="107"/>
      <c r="AF25" s="107"/>
      <c r="AG25" s="107"/>
      <c r="AH25" s="107"/>
      <c r="AI25" s="107"/>
      <c r="AJ25" s="107"/>
      <c r="AK25" s="107"/>
      <c r="AL25" s="107">
        <v>1.3</v>
      </c>
      <c r="AM25" s="107">
        <v>2</v>
      </c>
      <c r="AN25" s="107">
        <v>3.3</v>
      </c>
    </row>
    <row r="28" spans="1:40" x14ac:dyDescent="0.2">
      <c r="F28" s="654">
        <v>1.4742</v>
      </c>
      <c r="G28" s="655">
        <v>1.8427</v>
      </c>
      <c r="H28" s="656">
        <v>2.6697000000000002</v>
      </c>
      <c r="I28" s="657">
        <v>1.1273408088969084</v>
      </c>
      <c r="J28" s="598">
        <v>1.3076790872517867</v>
      </c>
      <c r="K28" s="598">
        <v>1.6345545069046719</v>
      </c>
      <c r="L28" s="658">
        <v>2.3681392343210521</v>
      </c>
      <c r="N28" s="598">
        <v>2.1528</v>
      </c>
      <c r="O28" s="658">
        <v>3.4786000000000001</v>
      </c>
    </row>
    <row r="29" spans="1:40" x14ac:dyDescent="0.2">
      <c r="F29" s="654">
        <v>1.0680000000000001</v>
      </c>
      <c r="G29" s="655">
        <v>1.3411999999999999</v>
      </c>
      <c r="H29" s="656">
        <v>1.9722999999999999</v>
      </c>
      <c r="I29" s="657">
        <v>1.1273408088969084</v>
      </c>
      <c r="J29" s="598">
        <v>0.94736213891256837</v>
      </c>
      <c r="K29" s="598">
        <v>1.1897023414883301</v>
      </c>
      <c r="L29" s="658">
        <v>1.7495153057839499</v>
      </c>
      <c r="N29" s="598">
        <v>1.5761000000000001</v>
      </c>
      <c r="O29" s="658">
        <v>2.5937000000000001</v>
      </c>
    </row>
    <row r="30" spans="1:40" x14ac:dyDescent="0.2">
      <c r="F30" s="660">
        <v>1.2242999999999999</v>
      </c>
      <c r="G30" s="661">
        <v>1.5375000000000001</v>
      </c>
      <c r="H30" s="662">
        <v>2.2648999999999999</v>
      </c>
      <c r="I30" s="663">
        <v>1.1273408088969084</v>
      </c>
      <c r="J30" s="599">
        <v>1.0860069912646604</v>
      </c>
      <c r="K30" s="599">
        <v>1.3638289218895823</v>
      </c>
      <c r="L30" s="664">
        <v>2.0090641464635541</v>
      </c>
      <c r="N30" s="599">
        <v>1.8067</v>
      </c>
      <c r="O30" s="664">
        <v>2.9963000000000002</v>
      </c>
    </row>
    <row r="31" spans="1:40" x14ac:dyDescent="0.2">
      <c r="F31" s="654">
        <v>1.3753</v>
      </c>
      <c r="G31" s="655">
        <v>1.6633</v>
      </c>
      <c r="H31" s="656">
        <v>2.2557</v>
      </c>
      <c r="I31" s="665">
        <v>1.3288038369006778</v>
      </c>
      <c r="J31" s="598">
        <v>1.0349909910011779</v>
      </c>
      <c r="K31" s="666">
        <v>1.2517272706553182</v>
      </c>
      <c r="L31" s="667">
        <v>1.6975417569994597</v>
      </c>
      <c r="N31" s="598">
        <v>1.8931</v>
      </c>
      <c r="O31" s="658">
        <v>2.7814000000000001</v>
      </c>
    </row>
    <row r="32" spans="1:40" x14ac:dyDescent="0.2">
      <c r="F32" s="654">
        <v>1.4269000000000001</v>
      </c>
      <c r="G32" s="655">
        <v>1.7257</v>
      </c>
      <c r="H32" s="656">
        <v>2.3319000000000001</v>
      </c>
      <c r="I32" s="657">
        <v>1.3288038369006778</v>
      </c>
      <c r="J32" s="598">
        <v>1.0738229077725447</v>
      </c>
      <c r="K32" s="598">
        <v>1.2986867979137153</v>
      </c>
      <c r="L32" s="658">
        <v>1.7548865643246176</v>
      </c>
      <c r="N32" s="598">
        <v>1.9621999999999999</v>
      </c>
      <c r="O32" s="658">
        <v>2.8616000000000001</v>
      </c>
    </row>
    <row r="33" spans="6:15" x14ac:dyDescent="0.2">
      <c r="F33" s="660">
        <v>1.2754000000000001</v>
      </c>
      <c r="G33" s="661">
        <v>1.5558000000000001</v>
      </c>
      <c r="H33" s="662">
        <v>2.1395</v>
      </c>
      <c r="I33" s="663">
        <v>1.3288038369006778</v>
      </c>
      <c r="J33" s="599">
        <v>0.95981059399614799</v>
      </c>
      <c r="K33" s="599">
        <v>1.170827444048304</v>
      </c>
      <c r="L33" s="664">
        <v>1.6100946886112266</v>
      </c>
      <c r="N33" s="599">
        <v>1.7811999999999999</v>
      </c>
      <c r="O33" s="664">
        <v>2.6646000000000001</v>
      </c>
    </row>
  </sheetData>
  <mergeCells count="15">
    <mergeCell ref="A3:J3"/>
    <mergeCell ref="F5:H5"/>
    <mergeCell ref="J5:L5"/>
    <mergeCell ref="F6:H6"/>
    <mergeCell ref="J6:L6"/>
    <mergeCell ref="O3:X3"/>
    <mergeCell ref="T5:V5"/>
    <mergeCell ref="X5:Z5"/>
    <mergeCell ref="T6:V6"/>
    <mergeCell ref="X6:Z6"/>
    <mergeCell ref="AC3:AL3"/>
    <mergeCell ref="AH5:AJ5"/>
    <mergeCell ref="AL5:AN5"/>
    <mergeCell ref="AH6:AJ6"/>
    <mergeCell ref="AL6:AN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
    <tabColor rgb="FF00FF00"/>
  </sheetPr>
  <dimension ref="A2:J10"/>
  <sheetViews>
    <sheetView zoomScale="115" zoomScaleNormal="115" workbookViewId="0">
      <selection activeCell="A4" sqref="A4"/>
    </sheetView>
  </sheetViews>
  <sheetFormatPr defaultRowHeight="15.75" x14ac:dyDescent="0.25"/>
  <cols>
    <col min="1" max="1" width="20.85546875" style="3" customWidth="1"/>
    <col min="2" max="4" width="15.28515625" style="3" customWidth="1"/>
    <col min="5" max="6" width="9.140625" style="3"/>
    <col min="7" max="9" width="12.42578125" style="3" customWidth="1"/>
    <col min="10" max="16384" width="9.140625" style="3"/>
  </cols>
  <sheetData>
    <row r="2" spans="1:10" x14ac:dyDescent="0.25">
      <c r="A2" s="594" t="s">
        <v>593</v>
      </c>
    </row>
    <row r="3" spans="1:10" ht="54.75" customHeight="1" x14ac:dyDescent="0.25">
      <c r="A3" s="721" t="s">
        <v>645</v>
      </c>
      <c r="B3" s="721"/>
      <c r="C3" s="721"/>
      <c r="D3" s="721"/>
      <c r="E3" s="262"/>
      <c r="F3" s="262"/>
      <c r="G3" s="262"/>
      <c r="H3" s="262"/>
      <c r="I3" s="262"/>
      <c r="J3" s="262"/>
    </row>
    <row r="4" spans="1:10" x14ac:dyDescent="0.25">
      <c r="F4" s="42"/>
    </row>
    <row r="5" spans="1:10" ht="31.5" x14ac:dyDescent="0.25">
      <c r="A5" s="4" t="s">
        <v>600</v>
      </c>
      <c r="B5" s="7" t="s">
        <v>594</v>
      </c>
      <c r="C5" s="7" t="s">
        <v>595</v>
      </c>
      <c r="D5" s="7" t="s">
        <v>596</v>
      </c>
      <c r="F5" s="42"/>
    </row>
    <row r="6" spans="1:10" ht="31.5" customHeight="1" x14ac:dyDescent="0.25">
      <c r="A6" s="590" t="s">
        <v>597</v>
      </c>
      <c r="B6" s="591">
        <v>1.1987792005902744</v>
      </c>
      <c r="C6" s="591">
        <v>1.4886277143642888</v>
      </c>
      <c r="D6" s="591">
        <v>2.1450107738512125</v>
      </c>
      <c r="F6" s="20"/>
      <c r="G6" s="20"/>
    </row>
    <row r="7" spans="1:10" ht="31.5" customHeight="1" x14ac:dyDescent="0.25">
      <c r="A7" s="3" t="s">
        <v>598</v>
      </c>
      <c r="B7" s="592">
        <v>0.95988836106940234</v>
      </c>
      <c r="C7" s="592">
        <v>1.644892060954066</v>
      </c>
      <c r="D7" s="592">
        <v>2.6972939360047019</v>
      </c>
      <c r="F7" s="20"/>
      <c r="G7" s="20"/>
    </row>
    <row r="8" spans="1:10" ht="31.5" customHeight="1" x14ac:dyDescent="0.25">
      <c r="A8" s="69" t="s">
        <v>599</v>
      </c>
      <c r="B8" s="593">
        <v>1.3163483814000996</v>
      </c>
      <c r="C8" s="593">
        <v>1.9629435932910348</v>
      </c>
      <c r="D8" s="593">
        <v>3.2534620341585168</v>
      </c>
      <c r="F8" s="20">
        <f>B8/B7</f>
        <v>1.3713557063381501</v>
      </c>
      <c r="G8" s="20">
        <f t="shared" ref="G8:H8" si="0">C8/C7</f>
        <v>1.1933570839611769</v>
      </c>
      <c r="H8" s="20">
        <f t="shared" si="0"/>
        <v>1.2061948424418381</v>
      </c>
    </row>
    <row r="10" spans="1:10" x14ac:dyDescent="0.25">
      <c r="B10" s="3">
        <v>1.3</v>
      </c>
      <c r="C10" s="3">
        <v>2</v>
      </c>
      <c r="D10" s="3">
        <v>3.3</v>
      </c>
    </row>
  </sheetData>
  <mergeCells count="1">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TabFigList</vt:lpstr>
      <vt:lpstr>T1</vt:lpstr>
      <vt:lpstr>T2</vt:lpstr>
      <vt:lpstr>DS1_DamLim</vt:lpstr>
      <vt:lpstr>TX</vt:lpstr>
      <vt:lpstr>T3</vt:lpstr>
      <vt:lpstr>DS2SigDam_DS3ExtDam</vt:lpstr>
      <vt:lpstr>Frag_DS1-4</vt:lpstr>
      <vt:lpstr>T4(IM_β)</vt:lpstr>
      <vt:lpstr>ConsqModel</vt:lpstr>
      <vt:lpstr>T5_6 (lb,ub)</vt:lpstr>
      <vt:lpstr>im_lb recomm</vt:lpstr>
      <vt:lpstr>T7</vt:lpstr>
      <vt:lpstr>T8</vt:lpstr>
      <vt:lpstr>T9(IM_λ)</vt:lpstr>
      <vt:lpstr>T10-12(RTGM)</vt:lpstr>
      <vt:lpstr>T13(ARTMF reco)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Singh</dc:creator>
  <cp:lastModifiedBy>Prakash Singh</cp:lastModifiedBy>
  <cp:lastPrinted>2021-01-04T11:10:20Z</cp:lastPrinted>
  <dcterms:created xsi:type="dcterms:W3CDTF">2016-11-30T10:09:49Z</dcterms:created>
  <dcterms:modified xsi:type="dcterms:W3CDTF">2026-03-31T11:33:41Z</dcterms:modified>
</cp:coreProperties>
</file>