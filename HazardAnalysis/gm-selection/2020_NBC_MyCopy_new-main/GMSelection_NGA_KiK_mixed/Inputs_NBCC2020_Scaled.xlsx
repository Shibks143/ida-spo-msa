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\Desktop\NBCC_GMSel_git_NGA_W2_KiK_NET_mixed\"/>
    </mc:Choice>
  </mc:AlternateContent>
  <xr:revisionPtr revIDLastSave="0" documentId="13_ncr:1_{988422BC-D0B5-42DB-8F2F-339DC78C6C4D}" xr6:coauthVersionLast="36" xr6:coauthVersionMax="36" xr10:uidLastSave="{00000000-0000-0000-0000-000000000000}"/>
  <bookViews>
    <workbookView xWindow="0" yWindow="0" windowWidth="25200" windowHeight="11775" xr2:uid="{C31BBB9E-21B6-4147-A374-CE75F23C105D}"/>
  </bookViews>
  <sheets>
    <sheet name="Inputs" sheetId="1" r:id="rId1"/>
    <sheet name="fixed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F18" i="1"/>
  <c r="F19" i="1"/>
  <c r="E17" i="1"/>
  <c r="E18" i="1"/>
  <c r="E19" i="1"/>
  <c r="G17" i="1"/>
  <c r="G18" i="1"/>
  <c r="G19" i="1"/>
  <c r="H17" i="1" l="1"/>
  <c r="H18" i="1"/>
  <c r="H19" i="1"/>
  <c r="G6" i="1"/>
  <c r="F6" i="1"/>
  <c r="C16" i="1" l="1"/>
</calcChain>
</file>

<file path=xl/sharedStrings.xml><?xml version="1.0" encoding="utf-8"?>
<sst xmlns="http://schemas.openxmlformats.org/spreadsheetml/2006/main" count="86" uniqueCount="60">
  <si>
    <t>Inputs for Ground Motion Selection (NBCC 2020)</t>
  </si>
  <si>
    <t>Location</t>
  </si>
  <si>
    <t>Lat</t>
  </si>
  <si>
    <t>Lon</t>
  </si>
  <si>
    <t>Vancouver City Hall</t>
  </si>
  <si>
    <t>Crustal</t>
  </si>
  <si>
    <t>In-slab</t>
  </si>
  <si>
    <t>1. Location and Building</t>
  </si>
  <si>
    <t>s</t>
  </si>
  <si>
    <r>
      <t>T</t>
    </r>
    <r>
      <rPr>
        <vertAlign val="subscript"/>
        <sz val="11"/>
        <color theme="1"/>
        <rFont val="Calibri"/>
        <family val="2"/>
        <scheme val="minor"/>
      </rPr>
      <t>90%</t>
    </r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</si>
  <si>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</si>
  <si>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t>Lowest period that achieves a cumulative mass participation of 90%</t>
  </si>
  <si>
    <t>NBCC (Single Building)</t>
  </si>
  <si>
    <t>-</t>
  </si>
  <si>
    <t>Any</t>
  </si>
  <si>
    <t>Tectonics</t>
  </si>
  <si>
    <t>#GM</t>
  </si>
  <si>
    <t>Source Database</t>
  </si>
  <si>
    <t>Period Range</t>
  </si>
  <si>
    <r>
      <t>T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(s)</t>
    </r>
  </si>
  <si>
    <r>
      <t>T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(s)</t>
    </r>
  </si>
  <si>
    <t>2. Ground motion specifications. Number, tectonic, period range, soil class, GM and database for each tectonic regime</t>
  </si>
  <si>
    <t>M</t>
  </si>
  <si>
    <t>R (km)</t>
  </si>
  <si>
    <t>Target Mag-Dist</t>
  </si>
  <si>
    <t>GMM</t>
  </si>
  <si>
    <t>CB08</t>
  </si>
  <si>
    <t>Available Ground Motion Models</t>
  </si>
  <si>
    <t>BA08</t>
  </si>
  <si>
    <t>BSSA14</t>
  </si>
  <si>
    <t>CB14</t>
  </si>
  <si>
    <t>BCH16</t>
  </si>
  <si>
    <t/>
  </si>
  <si>
    <r>
      <t>V</t>
    </r>
    <r>
      <rPr>
        <vertAlign val="subscript"/>
        <sz val="11"/>
        <color theme="1"/>
        <rFont val="Calibri"/>
        <family val="2"/>
        <scheme val="minor"/>
      </rPr>
      <t>s30</t>
    </r>
  </si>
  <si>
    <t>m/s</t>
  </si>
  <si>
    <t>ΔM (±)</t>
  </si>
  <si>
    <r>
      <t>R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(km)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</si>
  <si>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s30,min</t>
    </r>
    <r>
      <rPr>
        <sz val="11"/>
        <color theme="1"/>
        <rFont val="Calibri"/>
        <family val="2"/>
        <scheme val="minor"/>
      </rPr>
      <t xml:space="preserve"> (m/s)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</si>
  <si>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s30,max</t>
    </r>
    <r>
      <rPr>
        <sz val="11"/>
        <color theme="1"/>
        <rFont val="Calibri"/>
        <family val="2"/>
        <scheme val="minor"/>
      </rPr>
      <t xml:space="preserve"> (m/s)</t>
    </r>
  </si>
  <si>
    <t>3. Other advanced parameters for selection such as mean-standard deviation weights for error, number of loops, are fixed inside the MATALB script.</t>
  </si>
  <si>
    <t>Mechanism</t>
  </si>
  <si>
    <t>Unknown</t>
  </si>
  <si>
    <t>Spectral acceleration for target return period from PSHA</t>
  </si>
  <si>
    <t>Sa(T1)</t>
  </si>
  <si>
    <t>g</t>
  </si>
  <si>
    <t>NGA_W2</t>
  </si>
  <si>
    <t>KiK_NET</t>
  </si>
  <si>
    <t>Target T1</t>
  </si>
  <si>
    <t>T1 (s)</t>
  </si>
  <si>
    <t>Sa(T1) (g)</t>
  </si>
  <si>
    <t>Interface/Subduction</t>
  </si>
  <si>
    <t>Reverse</t>
  </si>
  <si>
    <t>Manual (Deaggregation-Based)</t>
  </si>
  <si>
    <t>Edited values in the app are overriding.</t>
  </si>
  <si>
    <t>Max Scaling</t>
  </si>
  <si>
    <t>Scaling</t>
  </si>
  <si>
    <t>Record Filtering Criteria
(-99, if not required)</t>
  </si>
  <si>
    <t>Zhao06</t>
  </si>
  <si>
    <t>AB03_Sub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</si>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</sst>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9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3"/>
    </xf>
    <xf numFmtId="0" fontId="1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0" fillId="0" borderId="10" xfId="0" applyBorder="1"/>
    <xf numFmtId="0" fontId="0" fillId="0" borderId="14" xfId="0" applyBorder="1"/>
    <xf numFmtId="0" fontId="0" fillId="0" borderId="12" xfId="0" applyBorder="1"/>
    <xf numFmtId="0" fontId="1" fillId="0" borderId="9" xfId="0" applyFont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2" xfId="0" applyFont="1" applyFill="1" applyBorder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 indent="3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right" vertical="center"/>
    </xf>
    <xf numFmtId="0" fontId="0" fillId="4" borderId="12" xfId="0" applyFill="1" applyBorder="1" applyAlignment="1">
      <alignment horizontal="center" vertical="center"/>
    </xf>
    <xf numFmtId="0" fontId="9" fillId="0" borderId="9" xfId="0" applyFont="1" applyFill="1" applyBorder="1" applyAlignment="1">
      <alignment vertical="center"/>
    </xf>
    <xf numFmtId="0" fontId="9" fillId="0" borderId="10" xfId="0" applyFont="1" applyFill="1" applyBorder="1"/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63E2-CF1A-4157-86E1-E15A05D1A669}">
  <dimension ref="A1:L252"/>
  <sheetViews>
    <sheetView tabSelected="1" zoomScaleNormal="100" workbookViewId="0">
      <selection activeCell="J10" sqref="J10"/>
    </sheetView>
  </sheetViews>
  <sheetFormatPr defaultRowHeight="15" x14ac:dyDescent="0.25"/>
  <cols>
    <col min="1" max="1" width="6" style="1" customWidth="1"/>
    <col min="2" max="2" width="10" style="1" customWidth="1"/>
    <col min="3" max="3" width="8.85546875" style="1" customWidth="1"/>
    <col min="4" max="6" width="11" style="1" customWidth="1"/>
    <col min="7" max="7" width="9.140625" style="1"/>
    <col min="8" max="8" width="12.5703125" style="1" customWidth="1"/>
    <col min="9" max="9" width="11.28515625" style="1" customWidth="1"/>
    <col min="10" max="11" width="9.140625" style="1"/>
    <col min="12" max="12" width="11.28515625" style="1" bestFit="1" customWidth="1"/>
    <col min="13" max="13" width="12" style="1" bestFit="1" customWidth="1"/>
    <col min="14" max="16384" width="9.140625" style="1"/>
  </cols>
  <sheetData>
    <row r="1" spans="1:12" ht="16.5" customHeight="1" x14ac:dyDescent="0.25"/>
    <row r="2" spans="1:12" ht="16.5" customHeight="1" x14ac:dyDescent="0.25">
      <c r="A2" s="2" t="s">
        <v>0</v>
      </c>
      <c r="I2" s="72"/>
    </row>
    <row r="3" spans="1:12" ht="16.5" customHeight="1" x14ac:dyDescent="0.25">
      <c r="I3" s="73" t="s">
        <v>56</v>
      </c>
      <c r="J3" s="68"/>
    </row>
    <row r="4" spans="1:12" ht="16.5" customHeight="1" x14ac:dyDescent="0.25">
      <c r="A4" s="3" t="s">
        <v>7</v>
      </c>
      <c r="F4" s="78" t="s">
        <v>12</v>
      </c>
      <c r="G4" s="79"/>
      <c r="I4" s="69" t="s">
        <v>35</v>
      </c>
      <c r="J4" s="70">
        <v>1.5</v>
      </c>
    </row>
    <row r="5" spans="1:12" ht="16.5" customHeight="1" x14ac:dyDescent="0.25">
      <c r="B5" s="4" t="s">
        <v>1</v>
      </c>
      <c r="C5" s="1" t="s">
        <v>4</v>
      </c>
      <c r="F5" s="80" t="s">
        <v>19</v>
      </c>
      <c r="G5" s="81" t="s">
        <v>20</v>
      </c>
      <c r="I5" s="65" t="s">
        <v>36</v>
      </c>
      <c r="J5" s="53">
        <v>20</v>
      </c>
    </row>
    <row r="6" spans="1:12" ht="16.5" customHeight="1" x14ac:dyDescent="0.25">
      <c r="B6" s="4" t="s">
        <v>3</v>
      </c>
      <c r="C6" s="6">
        <v>-123.12</v>
      </c>
      <c r="F6" s="25">
        <f t="shared" ref="F6" si="0">MIN(0.15*$C$9, $C$10)</f>
        <v>0.17549999999999999</v>
      </c>
      <c r="G6" s="26">
        <f t="shared" ref="G6" si="1">MAX(2*$C$9, 1.5)</f>
        <v>2.34</v>
      </c>
      <c r="I6" s="64" t="s">
        <v>37</v>
      </c>
      <c r="J6" s="53">
        <v>300</v>
      </c>
    </row>
    <row r="7" spans="1:12" ht="16.5" customHeight="1" x14ac:dyDescent="0.25">
      <c r="B7" s="4" t="s">
        <v>2</v>
      </c>
      <c r="C7" s="1">
        <v>49.25</v>
      </c>
      <c r="I7" s="71" t="s">
        <v>38</v>
      </c>
      <c r="J7" s="66">
        <v>600</v>
      </c>
    </row>
    <row r="8" spans="1:12" ht="16.5" customHeight="1" x14ac:dyDescent="0.25">
      <c r="B8" s="4" t="s">
        <v>33</v>
      </c>
      <c r="C8" s="1">
        <v>450</v>
      </c>
      <c r="D8" s="1" t="s">
        <v>34</v>
      </c>
      <c r="I8" s="74" t="s">
        <v>55</v>
      </c>
      <c r="J8" s="75" t="s">
        <v>59</v>
      </c>
    </row>
    <row r="9" spans="1:12" ht="16.5" customHeight="1" x14ac:dyDescent="0.25">
      <c r="B9" s="4" t="s">
        <v>10</v>
      </c>
      <c r="C9" s="1">
        <v>1.17</v>
      </c>
      <c r="D9" s="1" t="s">
        <v>8</v>
      </c>
      <c r="I9" s="76" t="s">
        <v>54</v>
      </c>
      <c r="J9" s="77">
        <v>5</v>
      </c>
    </row>
    <row r="10" spans="1:12" ht="16.5" customHeight="1" x14ac:dyDescent="0.25">
      <c r="B10" s="4" t="s">
        <v>9</v>
      </c>
      <c r="C10" s="1">
        <v>0.25</v>
      </c>
      <c r="D10" s="1" t="s">
        <v>8</v>
      </c>
      <c r="E10" s="52" t="s">
        <v>11</v>
      </c>
      <c r="F10" s="52"/>
    </row>
    <row r="11" spans="1:12" ht="16.5" customHeight="1" x14ac:dyDescent="0.25">
      <c r="B11" s="4" t="s">
        <v>43</v>
      </c>
      <c r="C11" s="1">
        <v>0.39450000000000002</v>
      </c>
      <c r="D11" s="1" t="s">
        <v>44</v>
      </c>
      <c r="E11" s="52" t="s">
        <v>42</v>
      </c>
      <c r="F11" s="52"/>
    </row>
    <row r="12" spans="1:12" ht="16.5" customHeight="1" x14ac:dyDescent="0.25">
      <c r="B12" s="4"/>
    </row>
    <row r="13" spans="1:12" ht="16.5" customHeight="1" x14ac:dyDescent="0.25">
      <c r="A13" s="3" t="s">
        <v>21</v>
      </c>
    </row>
    <row r="14" spans="1:12" s="5" customFormat="1" ht="30" x14ac:dyDescent="0.25">
      <c r="A14" s="17"/>
      <c r="B14" s="22" t="s">
        <v>15</v>
      </c>
      <c r="C14" s="23" t="s">
        <v>16</v>
      </c>
      <c r="D14" s="23" t="s">
        <v>17</v>
      </c>
      <c r="E14" s="54" t="s">
        <v>47</v>
      </c>
      <c r="F14" s="35" t="s">
        <v>43</v>
      </c>
      <c r="G14" s="34" t="s">
        <v>18</v>
      </c>
      <c r="H14" s="35"/>
      <c r="I14" s="31" t="s">
        <v>24</v>
      </c>
      <c r="J14" s="32"/>
      <c r="K14" s="46" t="s">
        <v>25</v>
      </c>
      <c r="L14" s="32" t="s">
        <v>40</v>
      </c>
    </row>
    <row r="15" spans="1:12" s="5" customFormat="1" x14ac:dyDescent="0.25">
      <c r="A15" s="40"/>
      <c r="B15" s="42"/>
      <c r="C15" s="41"/>
      <c r="D15" s="51" t="s">
        <v>53</v>
      </c>
      <c r="E15" s="55"/>
      <c r="F15" s="56"/>
      <c r="G15" s="47" t="s">
        <v>52</v>
      </c>
      <c r="H15" s="48"/>
      <c r="I15" s="49" t="s">
        <v>13</v>
      </c>
      <c r="J15" s="50" t="s">
        <v>13</v>
      </c>
      <c r="K15" s="49" t="s">
        <v>13</v>
      </c>
      <c r="L15" s="50" t="s">
        <v>13</v>
      </c>
    </row>
    <row r="16" spans="1:12" ht="18" x14ac:dyDescent="0.25">
      <c r="A16" s="3"/>
      <c r="B16" s="7"/>
      <c r="C16" s="67">
        <f>SUM(C17:C20)</f>
        <v>40</v>
      </c>
      <c r="D16" s="16" t="s">
        <v>13</v>
      </c>
      <c r="E16" s="36" t="s">
        <v>48</v>
      </c>
      <c r="F16" s="37" t="s">
        <v>49</v>
      </c>
      <c r="G16" s="36" t="s">
        <v>19</v>
      </c>
      <c r="H16" s="37" t="s">
        <v>20</v>
      </c>
      <c r="I16" s="27" t="s">
        <v>22</v>
      </c>
      <c r="J16" s="33" t="s">
        <v>23</v>
      </c>
      <c r="K16" s="38" t="s">
        <v>13</v>
      </c>
      <c r="L16" s="24" t="s">
        <v>13</v>
      </c>
    </row>
    <row r="17" spans="1:12" ht="16.5" customHeight="1" x14ac:dyDescent="0.25">
      <c r="B17" s="12" t="s">
        <v>5</v>
      </c>
      <c r="C17" s="13">
        <v>16</v>
      </c>
      <c r="D17" s="13" t="s">
        <v>45</v>
      </c>
      <c r="E17" s="57">
        <f t="shared" ref="E17:E19" si="2">$C$9</f>
        <v>1.17</v>
      </c>
      <c r="F17" s="60">
        <f t="shared" ref="F17:F19" si="3">$C$11</f>
        <v>0.39450000000000002</v>
      </c>
      <c r="G17" s="38">
        <f t="shared" ref="G17:G19" si="4">MIN(0.15*$C$9, $C$10)</f>
        <v>0.17549999999999999</v>
      </c>
      <c r="H17" s="24">
        <f t="shared" ref="H17:H19" si="5">MAX(2*$C$9, 1.5)</f>
        <v>2.34</v>
      </c>
      <c r="I17" s="62">
        <v>7.35</v>
      </c>
      <c r="J17" s="24">
        <v>15</v>
      </c>
      <c r="K17" s="38" t="s">
        <v>30</v>
      </c>
      <c r="L17" s="43" t="s">
        <v>41</v>
      </c>
    </row>
    <row r="18" spans="1:12" ht="16.5" customHeight="1" x14ac:dyDescent="0.25">
      <c r="B18" s="14" t="s">
        <v>50</v>
      </c>
      <c r="C18" s="8">
        <v>13</v>
      </c>
      <c r="D18" s="8" t="s">
        <v>46</v>
      </c>
      <c r="E18" s="58">
        <f t="shared" si="2"/>
        <v>1.17</v>
      </c>
      <c r="F18" s="61">
        <f t="shared" si="3"/>
        <v>0.39450000000000002</v>
      </c>
      <c r="G18" s="39">
        <f t="shared" si="4"/>
        <v>0.17549999999999999</v>
      </c>
      <c r="H18" s="28">
        <f t="shared" si="5"/>
        <v>2.34</v>
      </c>
      <c r="I18" s="63">
        <v>8.85</v>
      </c>
      <c r="J18" s="28">
        <v>145</v>
      </c>
      <c r="K18" s="39" t="s">
        <v>31</v>
      </c>
      <c r="L18" s="44" t="s">
        <v>51</v>
      </c>
    </row>
    <row r="19" spans="1:12" ht="16.5" customHeight="1" x14ac:dyDescent="0.25">
      <c r="B19" s="14" t="s">
        <v>6</v>
      </c>
      <c r="C19" s="8">
        <v>11</v>
      </c>
      <c r="D19" s="8" t="s">
        <v>45</v>
      </c>
      <c r="E19" s="58">
        <f t="shared" si="2"/>
        <v>1.17</v>
      </c>
      <c r="F19" s="61">
        <f t="shared" si="3"/>
        <v>0.39450000000000002</v>
      </c>
      <c r="G19" s="39">
        <f t="shared" si="4"/>
        <v>0.17549999999999999</v>
      </c>
      <c r="H19" s="28">
        <f t="shared" si="5"/>
        <v>2.34</v>
      </c>
      <c r="I19" s="63">
        <v>7.15</v>
      </c>
      <c r="J19" s="28">
        <v>55</v>
      </c>
      <c r="K19" s="39" t="s">
        <v>58</v>
      </c>
      <c r="L19" s="44" t="s">
        <v>41</v>
      </c>
    </row>
    <row r="20" spans="1:12" ht="16.5" customHeight="1" x14ac:dyDescent="0.25">
      <c r="B20" s="15" t="s">
        <v>14</v>
      </c>
      <c r="C20" s="9"/>
      <c r="D20" s="9"/>
      <c r="E20" s="59"/>
      <c r="F20" s="45"/>
      <c r="G20" s="25"/>
      <c r="H20" s="26"/>
      <c r="I20" s="29"/>
      <c r="J20" s="30"/>
      <c r="K20" s="25"/>
      <c r="L20" s="45"/>
    </row>
    <row r="21" spans="1:12" ht="16.5" customHeight="1" x14ac:dyDescent="0.25">
      <c r="C21" s="11"/>
    </row>
    <row r="22" spans="1:12" ht="16.5" customHeight="1" x14ac:dyDescent="0.25">
      <c r="A22" s="3" t="s">
        <v>39</v>
      </c>
    </row>
    <row r="23" spans="1:12" ht="16.5" customHeight="1" x14ac:dyDescent="0.25">
      <c r="A23" s="3"/>
    </row>
    <row r="24" spans="1:12" ht="16.5" customHeight="1" x14ac:dyDescent="0.25"/>
    <row r="25" spans="1:12" ht="16.5" customHeight="1" x14ac:dyDescent="0.25"/>
    <row r="26" spans="1:12" ht="16.5" customHeight="1" x14ac:dyDescent="0.25"/>
    <row r="27" spans="1:12" ht="16.5" customHeight="1" x14ac:dyDescent="0.25"/>
    <row r="28" spans="1:12" ht="16.5" customHeight="1" x14ac:dyDescent="0.25"/>
    <row r="29" spans="1:12" ht="16.5" customHeight="1" x14ac:dyDescent="0.25">
      <c r="B29" s="10"/>
    </row>
    <row r="30" spans="1:12" ht="16.5" customHeight="1" x14ac:dyDescent="0.25"/>
    <row r="31" spans="1:12" ht="16.5" customHeight="1" x14ac:dyDescent="0.25"/>
    <row r="32" spans="1:1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</sheetData>
  <dataValidations count="5">
    <dataValidation type="list" allowBlank="1" showInputMessage="1" showErrorMessage="1" sqref="D17:D20" xr:uid="{AA24CB9A-7DE1-4B41-9D79-031D90B0B358}">
      <formula1>"NGA_W2, KiK_NET"</formula1>
    </dataValidation>
    <dataValidation type="list" allowBlank="1" showInputMessage="1" showErrorMessage="1" sqref="G15" xr:uid="{7359B6E3-E731-4981-A3E1-5020D4AD226F}">
      <formula1>"NBCC (Single Building), Manual (Deaggregation-Based)"</formula1>
    </dataValidation>
    <dataValidation type="list" allowBlank="1" showInputMessage="1" showErrorMessage="1" sqref="L17:L20" xr:uid="{36164C23-E0D7-43FD-B683-765532264B64}">
      <formula1>"Strike-slip, Normal, Reverse, Unknown"</formula1>
    </dataValidation>
    <dataValidation type="list" allowBlank="1" showInputMessage="1" showErrorMessage="1" sqref="B17:B20" xr:uid="{DF2B57B8-BA95-4FFB-AE54-B7BF95AC2821}">
      <formula1>"Crustal,In-slab,Interface/Subduction,Any"</formula1>
    </dataValidation>
    <dataValidation type="list" allowBlank="1" showInputMessage="1" showErrorMessage="1" sqref="J8" xr:uid="{B661E38C-C1B7-4B22-AD4D-B31408E43CE4}">
      <formula1>"Yes, No"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76DAF724-25AD-4DFA-B6B6-EE49FE0E58B3}">
          <x14:formula1>
            <xm:f>fixedInfo!$D$3:$D$22</xm:f>
          </x14:formula1>
          <xm:sqref>K17:K20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E08A-9C11-4969-9E37-4CC01F5C151E}">
  <dimension ref="D1:D31"/>
  <sheetViews>
    <sheetView zoomScale="115" zoomScaleNormal="115" workbookViewId="0">
      <selection activeCell="D9" sqref="D9"/>
    </sheetView>
  </sheetViews>
  <sheetFormatPr defaultRowHeight="15" x14ac:dyDescent="0.25"/>
  <cols>
    <col min="4" max="4" width="28" customWidth="1"/>
  </cols>
  <sheetData>
    <row r="1" spans="4:4" ht="21" customHeight="1" x14ac:dyDescent="0.25"/>
    <row r="2" spans="4:4" ht="30" x14ac:dyDescent="0.25">
      <c r="D2" s="18" t="s">
        <v>27</v>
      </c>
    </row>
    <row r="3" spans="4:4" ht="21" customHeight="1" x14ac:dyDescent="0.25">
      <c r="D3" s="19" t="s">
        <v>26</v>
      </c>
    </row>
    <row r="4" spans="4:4" ht="21" customHeight="1" x14ac:dyDescent="0.25">
      <c r="D4" s="20" t="s">
        <v>28</v>
      </c>
    </row>
    <row r="5" spans="4:4" ht="21" customHeight="1" x14ac:dyDescent="0.25">
      <c r="D5" s="20" t="s">
        <v>29</v>
      </c>
    </row>
    <row r="6" spans="4:4" ht="21" customHeight="1" x14ac:dyDescent="0.25">
      <c r="D6" s="20" t="s">
        <v>30</v>
      </c>
    </row>
    <row r="7" spans="4:4" ht="21" customHeight="1" x14ac:dyDescent="0.25">
      <c r="D7" s="20" t="s">
        <v>31</v>
      </c>
    </row>
    <row r="8" spans="4:4" ht="21" customHeight="1" x14ac:dyDescent="0.25">
      <c r="D8" s="20" t="s">
        <v>57</v>
      </c>
    </row>
    <row r="9" spans="4:4" ht="21" customHeight="1" x14ac:dyDescent="0.25">
      <c r="D9" s="20" t="s">
        <v>58</v>
      </c>
    </row>
    <row r="10" spans="4:4" ht="21" customHeight="1" x14ac:dyDescent="0.25">
      <c r="D10" s="20" t="s">
        <v>32</v>
      </c>
    </row>
    <row r="11" spans="4:4" ht="21" customHeight="1" x14ac:dyDescent="0.25">
      <c r="D11" s="20" t="s">
        <v>32</v>
      </c>
    </row>
    <row r="12" spans="4:4" ht="21" customHeight="1" x14ac:dyDescent="0.25">
      <c r="D12" s="20" t="s">
        <v>32</v>
      </c>
    </row>
    <row r="13" spans="4:4" ht="21" customHeight="1" x14ac:dyDescent="0.25">
      <c r="D13" s="20" t="s">
        <v>32</v>
      </c>
    </row>
    <row r="14" spans="4:4" ht="21" customHeight="1" x14ac:dyDescent="0.25">
      <c r="D14" s="20" t="s">
        <v>32</v>
      </c>
    </row>
    <row r="15" spans="4:4" ht="21" customHeight="1" x14ac:dyDescent="0.25">
      <c r="D15" s="20" t="s">
        <v>32</v>
      </c>
    </row>
    <row r="16" spans="4:4" ht="21" customHeight="1" x14ac:dyDescent="0.25">
      <c r="D16" s="20" t="s">
        <v>32</v>
      </c>
    </row>
    <row r="17" spans="4:4" ht="21" customHeight="1" x14ac:dyDescent="0.25">
      <c r="D17" s="20" t="s">
        <v>32</v>
      </c>
    </row>
    <row r="18" spans="4:4" ht="21" customHeight="1" x14ac:dyDescent="0.25">
      <c r="D18" s="20" t="s">
        <v>32</v>
      </c>
    </row>
    <row r="19" spans="4:4" ht="21" customHeight="1" x14ac:dyDescent="0.25">
      <c r="D19" s="20" t="s">
        <v>32</v>
      </c>
    </row>
    <row r="20" spans="4:4" ht="21" customHeight="1" x14ac:dyDescent="0.25">
      <c r="D20" s="20" t="s">
        <v>32</v>
      </c>
    </row>
    <row r="21" spans="4:4" ht="21" customHeight="1" x14ac:dyDescent="0.25">
      <c r="D21" s="20" t="s">
        <v>32</v>
      </c>
    </row>
    <row r="22" spans="4:4" ht="21" customHeight="1" x14ac:dyDescent="0.25">
      <c r="D22" s="21"/>
    </row>
    <row r="23" spans="4:4" ht="21" customHeight="1" x14ac:dyDescent="0.25"/>
    <row r="24" spans="4:4" ht="21" customHeight="1" x14ac:dyDescent="0.25"/>
    <row r="25" spans="4:4" ht="21" customHeight="1" x14ac:dyDescent="0.25"/>
    <row r="26" spans="4:4" ht="21" customHeight="1" x14ac:dyDescent="0.25"/>
    <row r="27" spans="4:4" ht="21" customHeight="1" x14ac:dyDescent="0.25"/>
    <row r="28" spans="4:4" ht="21" customHeight="1" x14ac:dyDescent="0.25"/>
    <row r="29" spans="4:4" ht="21" customHeight="1" x14ac:dyDescent="0.25"/>
    <row r="30" spans="4:4" ht="21" customHeight="1" x14ac:dyDescent="0.25"/>
    <row r="31" spans="4:4" ht="21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fixedInfo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SinghBadal, Prakash</dc:creator>
  <cp:lastModifiedBy>SinghBadal, Prakash</cp:lastModifiedBy>
  <dcterms:created xsi:type="dcterms:W3CDTF">2022-06-01T23:17:14Z</dcterms:created>
  <dcterms:modified xsi:type="dcterms:W3CDTF">2022-06-24T02:45:24Z</dcterms:modified>
</cp:coreProperties>
</file>