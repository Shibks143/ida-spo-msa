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ak\Desktop\github_repo_copy_for_analysis\NBCC2020_myCopy\GMSelection_NGA_KiK_mixed\"/>
    </mc:Choice>
  </mc:AlternateContent>
  <xr:revisionPtr revIDLastSave="0" documentId="13_ncr:1_{E372FACD-F759-427E-B49A-61098C55C262}" xr6:coauthVersionLast="47" xr6:coauthVersionMax="47" xr10:uidLastSave="{00000000-0000-0000-0000-000000000000}"/>
  <bookViews>
    <workbookView xWindow="-120" yWindow="-120" windowWidth="29040" windowHeight="15840" xr2:uid="{C31BBB9E-21B6-4147-A374-CE75F23C105D}"/>
  </bookViews>
  <sheets>
    <sheet name="Inputs" sheetId="1" r:id="rId1"/>
    <sheet name="fixedInfo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7" i="1" l="1"/>
  <c r="F18" i="1"/>
  <c r="F19" i="1"/>
  <c r="E17" i="1"/>
  <c r="E18" i="1"/>
  <c r="E19" i="1"/>
  <c r="G17" i="1"/>
  <c r="G18" i="1"/>
  <c r="G19" i="1"/>
  <c r="H17" i="1" l="1"/>
  <c r="H18" i="1"/>
  <c r="H19" i="1"/>
  <c r="G6" i="1"/>
  <c r="F6" i="1"/>
  <c r="C16" i="1" l="1"/>
</calcChain>
</file>

<file path=xl/sharedStrings.xml><?xml version="1.0" encoding="utf-8"?>
<sst xmlns="http://schemas.openxmlformats.org/spreadsheetml/2006/main" count="86" uniqueCount="60">
  <si>
    <t>Inputs for Ground Motion Selection (NBCC 2020)</t>
  </si>
  <si>
    <t>Location</t>
  </si>
  <si>
    <t>Lat</t>
  </si>
  <si>
    <t>Lon</t>
  </si>
  <si>
    <t>Vancouver City Hall</t>
  </si>
  <si>
    <t>Crustal</t>
  </si>
  <si>
    <t>In-slab</t>
  </si>
  <si>
    <t>1. Location and Building</t>
  </si>
  <si>
    <t>s</t>
  </si>
  <si>
    <r>
      <t>T</t>
    </r>
    <r>
      <rPr>
        <vertAlign val="subscript"/>
        <sz val="11"/>
        <color theme="1"/>
        <rFont val="Calibri"/>
        <family val="2"/>
        <scheme val="minor"/>
      </rPr>
      <t>90%</t>
    </r>
  </si>
  <si>
    <r>
      <t>T</t>
    </r>
    <r>
      <rPr>
        <vertAlign val="subscript"/>
        <sz val="11"/>
        <color theme="1"/>
        <rFont val="Calibri"/>
        <family val="2"/>
        <scheme val="minor"/>
      </rPr>
      <t>1</t>
    </r>
  </si>
  <si>
    <t>Lowest period that achieves a cumulative mass participation of 90%</t>
  </si>
  <si>
    <t>NBCC (Single Building)</t>
  </si>
  <si>
    <t>-</t>
  </si>
  <si>
    <t>Any</t>
  </si>
  <si>
    <t>Tectonics</t>
  </si>
  <si>
    <t>#GM</t>
  </si>
  <si>
    <t>Source Database</t>
  </si>
  <si>
    <t>Period Range</t>
  </si>
  <si>
    <r>
      <t>T</t>
    </r>
    <r>
      <rPr>
        <vertAlign val="subscript"/>
        <sz val="11"/>
        <color theme="1"/>
        <rFont val="Calibri"/>
        <family val="2"/>
        <scheme val="minor"/>
      </rPr>
      <t>min</t>
    </r>
    <r>
      <rPr>
        <sz val="11"/>
        <color theme="1"/>
        <rFont val="Calibri"/>
        <family val="2"/>
        <scheme val="minor"/>
      </rPr>
      <t xml:space="preserve"> (s)</t>
    </r>
  </si>
  <si>
    <r>
      <t>T</t>
    </r>
    <r>
      <rPr>
        <vertAlign val="subscript"/>
        <sz val="11"/>
        <color theme="1"/>
        <rFont val="Calibri"/>
        <family val="2"/>
        <scheme val="minor"/>
      </rPr>
      <t>max</t>
    </r>
    <r>
      <rPr>
        <sz val="11"/>
        <color theme="1"/>
        <rFont val="Calibri"/>
        <family val="2"/>
        <scheme val="minor"/>
      </rPr>
      <t xml:space="preserve"> (s)</t>
    </r>
  </si>
  <si>
    <t>2. Ground motion specifications. Number, tectonic, period range, soil class, GM and database for each tectonic regime</t>
  </si>
  <si>
    <t>M</t>
  </si>
  <si>
    <t>R (km)</t>
  </si>
  <si>
    <t>Target Mag-Dist</t>
  </si>
  <si>
    <t>GMM</t>
  </si>
  <si>
    <t>CB08</t>
  </si>
  <si>
    <t>Available Ground Motion Models</t>
  </si>
  <si>
    <t>BA08</t>
  </si>
  <si>
    <t>BSSA14</t>
  </si>
  <si>
    <t>CB14</t>
  </si>
  <si>
    <t>BCH16</t>
  </si>
  <si>
    <t/>
  </si>
  <si>
    <r>
      <t>V</t>
    </r>
    <r>
      <rPr>
        <vertAlign val="subscript"/>
        <sz val="11"/>
        <color theme="1"/>
        <rFont val="Calibri"/>
        <family val="2"/>
        <scheme val="minor"/>
      </rPr>
      <t>s30</t>
    </r>
  </si>
  <si>
    <t>m/s</t>
  </si>
  <si>
    <t>ΔM (±)</t>
  </si>
  <si>
    <r>
      <t>R</t>
    </r>
    <r>
      <rPr>
        <vertAlign val="subscript"/>
        <sz val="11"/>
        <color theme="1"/>
        <rFont val="Calibri"/>
        <family val="2"/>
        <scheme val="minor"/>
      </rPr>
      <t>min</t>
    </r>
    <r>
      <rPr>
        <sz val="11"/>
        <color theme="1"/>
        <rFont val="Calibri"/>
        <family val="2"/>
        <scheme val="minor"/>
      </rPr>
      <t xml:space="preserve"> (km)</t>
    </r>
  </si>
  <si>
    <r>
      <t>V</t>
    </r>
    <r>
      <rPr>
        <vertAlign val="subscript"/>
        <sz val="11"/>
        <color theme="1"/>
        <rFont val="Calibri"/>
        <family val="2"/>
        <scheme val="minor"/>
      </rPr>
      <t>s30,min</t>
    </r>
    <r>
      <rPr>
        <sz val="11"/>
        <color theme="1"/>
        <rFont val="Calibri"/>
        <family val="2"/>
        <scheme val="minor"/>
      </rPr>
      <t xml:space="preserve"> (m/s)</t>
    </r>
  </si>
  <si>
    <r>
      <t>V</t>
    </r>
    <r>
      <rPr>
        <vertAlign val="subscript"/>
        <sz val="11"/>
        <color theme="1"/>
        <rFont val="Calibri"/>
        <family val="2"/>
        <scheme val="minor"/>
      </rPr>
      <t>s30,max</t>
    </r>
    <r>
      <rPr>
        <sz val="11"/>
        <color theme="1"/>
        <rFont val="Calibri"/>
        <family val="2"/>
        <scheme val="minor"/>
      </rPr>
      <t xml:space="preserve"> (m/s)</t>
    </r>
  </si>
  <si>
    <t>3. Other advanced parameters for selection such as mean-standard deviation weights for error, number of loops, are fixed inside the MATALB script.</t>
  </si>
  <si>
    <t>Mechanism</t>
  </si>
  <si>
    <t>Unknown</t>
  </si>
  <si>
    <t>Spectral acceleration for target return period from PSHA</t>
  </si>
  <si>
    <t>Sa(T1)</t>
  </si>
  <si>
    <t>g</t>
  </si>
  <si>
    <t>NGA_W2</t>
  </si>
  <si>
    <t>KiK_NET</t>
  </si>
  <si>
    <t>Target T1</t>
  </si>
  <si>
    <t>T1 (s)</t>
  </si>
  <si>
    <t>Sa(T1) (g)</t>
  </si>
  <si>
    <t>Interface/Subduction</t>
  </si>
  <si>
    <t>Reverse</t>
  </si>
  <si>
    <t>Manual (Deaggregation-Based)</t>
  </si>
  <si>
    <t>Edited values in the app are overriding.</t>
  </si>
  <si>
    <t>Max Scaling</t>
  </si>
  <si>
    <t>Scaling</t>
  </si>
  <si>
    <t>Record Filtering Criteria
(-99, if not required)</t>
  </si>
  <si>
    <t>Zhao06</t>
  </si>
  <si>
    <t>AB03_Sub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</si>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</sst>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vertAlign val="subscript"/>
      <sz val="11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i/>
      <u/>
      <sz val="11"/>
      <color rgb="FFFF0000"/>
      <name val="Calibri"/>
      <family val="2"/>
      <scheme val="minor"/>
    </font>
    <font>
      <i/>
      <sz val="11"/>
      <color rgb="FFFF0000"/>
      <name val="Calibri"/>
      <family val="2"/>
      <scheme val="minor"/>
    </font>
    <font>
      <sz val="11"/>
      <color rgb="FF0000FF"/>
      <name val="Calibri"/>
      <family val="2"/>
      <scheme val="minor"/>
    </font>
    <font>
      <b/>
      <i/>
      <u/>
      <sz val="11"/>
      <color rgb="FFFF0000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auto="1"/>
      </bottom>
      <diagonal/>
    </border>
    <border>
      <left/>
      <right style="thin">
        <color indexed="64"/>
      </right>
      <top/>
      <bottom style="thin">
        <color auto="1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82">
    <xf numFmtId="0" fontId="0" fillId="0" borderId="0" xfId="0"/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0" fillId="0" borderId="0" xfId="0" applyFont="1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quotePrefix="1" applyAlignment="1">
      <alignment horizontal="right" vertical="center"/>
    </xf>
    <xf numFmtId="0" fontId="1" fillId="0" borderId="5" xfId="0" applyFon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0" fillId="0" borderId="6" xfId="0" applyBorder="1" applyAlignment="1">
      <alignment vertical="center"/>
    </xf>
    <xf numFmtId="0" fontId="0" fillId="0" borderId="6" xfId="0" applyBorder="1" applyAlignment="1">
      <alignment horizontal="center" vertical="center"/>
    </xf>
    <xf numFmtId="0" fontId="0" fillId="0" borderId="0" xfId="0" applyBorder="1" applyAlignment="1">
      <alignment vertical="center"/>
    </xf>
    <xf numFmtId="0" fontId="0" fillId="0" borderId="7" xfId="0" applyBorder="1" applyAlignment="1">
      <alignment vertical="center"/>
    </xf>
    <xf numFmtId="0" fontId="0" fillId="0" borderId="5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0" borderId="0" xfId="0" applyFont="1" applyAlignment="1">
      <alignment horizontal="center" wrapText="1"/>
    </xf>
    <xf numFmtId="0" fontId="0" fillId="0" borderId="8" xfId="0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1" fillId="0" borderId="6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 wrapText="1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1" xfId="0" applyBorder="1" applyAlignment="1">
      <alignment vertical="center"/>
    </xf>
    <xf numFmtId="0" fontId="0" fillId="0" borderId="12" xfId="0" applyBorder="1" applyAlignment="1">
      <alignment vertical="center"/>
    </xf>
    <xf numFmtId="0" fontId="1" fillId="0" borderId="9" xfId="0" applyFont="1" applyBorder="1" applyAlignment="1">
      <alignment horizontal="left" vertical="center" indent="1"/>
    </xf>
    <xf numFmtId="0" fontId="1" fillId="0" borderId="10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1" fillId="0" borderId="9" xfId="0" applyFont="1" applyBorder="1" applyAlignment="1">
      <alignment horizontal="left" vertical="center" indent="3"/>
    </xf>
    <xf numFmtId="0" fontId="1" fillId="0" borderId="10" xfId="0" applyFont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/>
    </xf>
    <xf numFmtId="0" fontId="0" fillId="0" borderId="2" xfId="0" applyFon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8" fillId="0" borderId="5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left" vertical="center"/>
    </xf>
    <xf numFmtId="0" fontId="0" fillId="0" borderId="10" xfId="0" applyBorder="1"/>
    <xf numFmtId="0" fontId="0" fillId="0" borderId="14" xfId="0" applyBorder="1"/>
    <xf numFmtId="0" fontId="0" fillId="0" borderId="12" xfId="0" applyBorder="1"/>
    <xf numFmtId="0" fontId="1" fillId="0" borderId="9" xfId="0" applyFont="1" applyBorder="1" applyAlignment="1">
      <alignment horizontal="center" vertical="center"/>
    </xf>
    <xf numFmtId="0" fontId="9" fillId="0" borderId="1" xfId="0" applyFont="1" applyFill="1" applyBorder="1" applyAlignment="1">
      <alignment vertical="center"/>
    </xf>
    <xf numFmtId="0" fontId="9" fillId="0" borderId="2" xfId="0" applyFont="1" applyFill="1" applyBorder="1"/>
    <xf numFmtId="0" fontId="9" fillId="0" borderId="1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10" fillId="0" borderId="5" xfId="0" applyFont="1" applyBorder="1" applyAlignment="1">
      <alignment horizontal="right" vertical="center"/>
    </xf>
    <xf numFmtId="0" fontId="11" fillId="0" borderId="0" xfId="0" applyFont="1" applyAlignment="1">
      <alignment vertical="center"/>
    </xf>
    <xf numFmtId="0" fontId="0" fillId="2" borderId="14" xfId="0" applyFill="1" applyBorder="1" applyAlignment="1">
      <alignment horizontal="center" vertical="center"/>
    </xf>
    <xf numFmtId="0" fontId="1" fillId="0" borderId="9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right" vertical="center"/>
    </xf>
    <xf numFmtId="0" fontId="10" fillId="0" borderId="2" xfId="0" applyFont="1" applyBorder="1" applyAlignment="1">
      <alignment horizontal="right" vertical="center"/>
    </xf>
    <xf numFmtId="0" fontId="0" fillId="0" borderId="9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4" xfId="0" applyBorder="1" applyAlignment="1">
      <alignment horizontal="center"/>
    </xf>
    <xf numFmtId="2" fontId="0" fillId="0" borderId="9" xfId="0" applyNumberFormat="1" applyBorder="1" applyAlignment="1">
      <alignment horizontal="center" vertical="center"/>
    </xf>
    <xf numFmtId="2" fontId="0" fillId="0" borderId="13" xfId="0" applyNumberFormat="1" applyBorder="1" applyAlignment="1">
      <alignment horizontal="center" vertical="center"/>
    </xf>
    <xf numFmtId="0" fontId="0" fillId="2" borderId="13" xfId="0" applyFont="1" applyFill="1" applyBorder="1" applyAlignment="1">
      <alignment horizontal="center" vertical="center" wrapText="1"/>
    </xf>
    <xf numFmtId="0" fontId="0" fillId="2" borderId="13" xfId="0" applyFon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0" fontId="12" fillId="3" borderId="5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left" vertical="center" indent="3"/>
    </xf>
    <xf numFmtId="0" fontId="0" fillId="2" borderId="9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2" borderId="11" xfId="0" applyFont="1" applyFill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2" borderId="9" xfId="0" applyFont="1" applyFill="1" applyBorder="1" applyAlignment="1">
      <alignment vertical="center"/>
    </xf>
    <xf numFmtId="0" fontId="0" fillId="4" borderId="9" xfId="0" applyFill="1" applyBorder="1" applyAlignment="1">
      <alignment horizontal="center" vertical="center"/>
    </xf>
    <xf numFmtId="0" fontId="0" fillId="4" borderId="10" xfId="0" applyFill="1" applyBorder="1" applyAlignment="1">
      <alignment horizontal="center" vertical="center"/>
    </xf>
    <xf numFmtId="0" fontId="0" fillId="4" borderId="11" xfId="0" applyFill="1" applyBorder="1" applyAlignment="1">
      <alignment horizontal="right" vertical="center"/>
    </xf>
    <xf numFmtId="0" fontId="0" fillId="4" borderId="12" xfId="0" applyFill="1" applyBorder="1" applyAlignment="1">
      <alignment horizontal="center" vertical="center"/>
    </xf>
    <xf numFmtId="0" fontId="9" fillId="0" borderId="9" xfId="0" applyFont="1" applyFill="1" applyBorder="1" applyAlignment="1">
      <alignment vertical="center"/>
    </xf>
    <xf numFmtId="0" fontId="9" fillId="0" borderId="10" xfId="0" applyFont="1" applyFill="1" applyBorder="1"/>
    <xf numFmtId="0" fontId="0" fillId="0" borderId="9" xfId="0" applyFont="1" applyBorder="1" applyAlignment="1">
      <alignment horizontal="center" vertical="center"/>
    </xf>
    <xf numFmtId="0" fontId="0" fillId="0" borderId="1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ED63E2-CF1A-4157-86E1-E15A05D1A669}">
  <dimension ref="A1:L252"/>
  <sheetViews>
    <sheetView tabSelected="1" zoomScaleNormal="100" workbookViewId="0">
      <selection activeCell="N16" sqref="N16"/>
    </sheetView>
  </sheetViews>
  <sheetFormatPr defaultRowHeight="15" x14ac:dyDescent="0.25"/>
  <cols>
    <col min="1" max="1" width="6" style="1" customWidth="1"/>
    <col min="2" max="2" width="10" style="1" customWidth="1"/>
    <col min="3" max="3" width="8.85546875" style="1" customWidth="1"/>
    <col min="4" max="6" width="11" style="1" customWidth="1"/>
    <col min="7" max="7" width="9.140625" style="1"/>
    <col min="8" max="8" width="12.5703125" style="1" customWidth="1"/>
    <col min="9" max="9" width="11.28515625" style="1" customWidth="1"/>
    <col min="10" max="11" width="9.140625" style="1"/>
    <col min="12" max="12" width="11.28515625" style="1" bestFit="1" customWidth="1"/>
    <col min="13" max="13" width="12" style="1" bestFit="1" customWidth="1"/>
    <col min="14" max="16384" width="9.140625" style="1"/>
  </cols>
  <sheetData>
    <row r="1" spans="1:12" ht="16.5" customHeight="1" x14ac:dyDescent="0.25"/>
    <row r="2" spans="1:12" ht="16.5" customHeight="1" x14ac:dyDescent="0.25">
      <c r="A2" s="2" t="s">
        <v>0</v>
      </c>
      <c r="I2" s="72"/>
    </row>
    <row r="3" spans="1:12" ht="16.5" customHeight="1" x14ac:dyDescent="0.25">
      <c r="I3" s="73" t="s">
        <v>56</v>
      </c>
      <c r="J3" s="68"/>
    </row>
    <row r="4" spans="1:12" ht="16.5" customHeight="1" x14ac:dyDescent="0.25">
      <c r="A4" s="3" t="s">
        <v>7</v>
      </c>
      <c r="F4" s="78" t="s">
        <v>12</v>
      </c>
      <c r="G4" s="79"/>
      <c r="I4" s="69" t="s">
        <v>35</v>
      </c>
      <c r="J4" s="70">
        <v>1.5</v>
      </c>
    </row>
    <row r="5" spans="1:12" ht="16.5" customHeight="1" x14ac:dyDescent="0.25">
      <c r="B5" s="4" t="s">
        <v>1</v>
      </c>
      <c r="C5" s="1" t="s">
        <v>4</v>
      </c>
      <c r="F5" s="80" t="s">
        <v>19</v>
      </c>
      <c r="G5" s="81" t="s">
        <v>20</v>
      </c>
      <c r="I5" s="65" t="s">
        <v>36</v>
      </c>
      <c r="J5" s="53">
        <v>20</v>
      </c>
    </row>
    <row r="6" spans="1:12" ht="16.5" customHeight="1" x14ac:dyDescent="0.25">
      <c r="B6" s="4" t="s">
        <v>3</v>
      </c>
      <c r="C6" s="6">
        <v>-123.12</v>
      </c>
      <c r="F6" s="25">
        <f t="shared" ref="F6" si="0">MIN(0.15*$C$9, $C$10)</f>
        <v>0.25</v>
      </c>
      <c r="G6" s="26">
        <f t="shared" ref="G6" si="1">MAX(2*$C$9, 1.5)</f>
        <v>8.74</v>
      </c>
      <c r="I6" s="64" t="s">
        <v>37</v>
      </c>
      <c r="J6" s="53">
        <v>300</v>
      </c>
    </row>
    <row r="7" spans="1:12" ht="16.5" customHeight="1" x14ac:dyDescent="0.25">
      <c r="B7" s="4" t="s">
        <v>2</v>
      </c>
      <c r="C7" s="1">
        <v>49.25</v>
      </c>
      <c r="I7" s="71" t="s">
        <v>38</v>
      </c>
      <c r="J7" s="66">
        <v>600</v>
      </c>
    </row>
    <row r="8" spans="1:12" ht="16.5" customHeight="1" x14ac:dyDescent="0.25">
      <c r="B8" s="4" t="s">
        <v>33</v>
      </c>
      <c r="C8" s="1">
        <v>450</v>
      </c>
      <c r="D8" s="1" t="s">
        <v>34</v>
      </c>
      <c r="I8" s="74" t="s">
        <v>55</v>
      </c>
      <c r="J8" s="75" t="s">
        <v>59</v>
      </c>
    </row>
    <row r="9" spans="1:12" ht="16.5" customHeight="1" x14ac:dyDescent="0.25">
      <c r="B9" s="4" t="s">
        <v>10</v>
      </c>
      <c r="C9" s="1">
        <v>4.37</v>
      </c>
      <c r="D9" s="1" t="s">
        <v>8</v>
      </c>
      <c r="I9" s="76" t="s">
        <v>54</v>
      </c>
      <c r="J9" s="77">
        <v>5</v>
      </c>
    </row>
    <row r="10" spans="1:12" ht="16.5" customHeight="1" x14ac:dyDescent="0.25">
      <c r="B10" s="4" t="s">
        <v>9</v>
      </c>
      <c r="C10" s="1">
        <v>0.25</v>
      </c>
      <c r="D10" s="1" t="s">
        <v>8</v>
      </c>
      <c r="E10" s="52" t="s">
        <v>11</v>
      </c>
      <c r="F10" s="52"/>
    </row>
    <row r="11" spans="1:12" ht="16.5" customHeight="1" x14ac:dyDescent="0.25">
      <c r="B11" s="4" t="s">
        <v>43</v>
      </c>
      <c r="C11" s="1">
        <v>8.6999999999999994E-2</v>
      </c>
      <c r="D11" s="1" t="s">
        <v>44</v>
      </c>
      <c r="E11" s="52" t="s">
        <v>42</v>
      </c>
      <c r="F11" s="52"/>
    </row>
    <row r="12" spans="1:12" ht="16.5" customHeight="1" x14ac:dyDescent="0.25">
      <c r="B12" s="4"/>
    </row>
    <row r="13" spans="1:12" ht="16.5" customHeight="1" x14ac:dyDescent="0.25">
      <c r="A13" s="3" t="s">
        <v>21</v>
      </c>
    </row>
    <row r="14" spans="1:12" s="5" customFormat="1" ht="30" x14ac:dyDescent="0.25">
      <c r="A14" s="17"/>
      <c r="B14" s="22" t="s">
        <v>15</v>
      </c>
      <c r="C14" s="23" t="s">
        <v>16</v>
      </c>
      <c r="D14" s="23" t="s">
        <v>17</v>
      </c>
      <c r="E14" s="54" t="s">
        <v>47</v>
      </c>
      <c r="F14" s="35" t="s">
        <v>43</v>
      </c>
      <c r="G14" s="34" t="s">
        <v>18</v>
      </c>
      <c r="H14" s="35"/>
      <c r="I14" s="31" t="s">
        <v>24</v>
      </c>
      <c r="J14" s="32"/>
      <c r="K14" s="46" t="s">
        <v>25</v>
      </c>
      <c r="L14" s="32" t="s">
        <v>40</v>
      </c>
    </row>
    <row r="15" spans="1:12" s="5" customFormat="1" x14ac:dyDescent="0.25">
      <c r="A15" s="40"/>
      <c r="B15" s="42"/>
      <c r="C15" s="41"/>
      <c r="D15" s="51" t="s">
        <v>53</v>
      </c>
      <c r="E15" s="55"/>
      <c r="F15" s="56"/>
      <c r="G15" s="47" t="s">
        <v>52</v>
      </c>
      <c r="H15" s="48"/>
      <c r="I15" s="49" t="s">
        <v>13</v>
      </c>
      <c r="J15" s="50" t="s">
        <v>13</v>
      </c>
      <c r="K15" s="49" t="s">
        <v>13</v>
      </c>
      <c r="L15" s="50" t="s">
        <v>13</v>
      </c>
    </row>
    <row r="16" spans="1:12" ht="18" x14ac:dyDescent="0.25">
      <c r="A16" s="3"/>
      <c r="B16" s="7"/>
      <c r="C16" s="67">
        <f>SUM(C17:C20)</f>
        <v>40</v>
      </c>
      <c r="D16" s="16" t="s">
        <v>13</v>
      </c>
      <c r="E16" s="36" t="s">
        <v>48</v>
      </c>
      <c r="F16" s="37" t="s">
        <v>49</v>
      </c>
      <c r="G16" s="36" t="s">
        <v>19</v>
      </c>
      <c r="H16" s="37" t="s">
        <v>20</v>
      </c>
      <c r="I16" s="27" t="s">
        <v>22</v>
      </c>
      <c r="J16" s="33" t="s">
        <v>23</v>
      </c>
      <c r="K16" s="38" t="s">
        <v>13</v>
      </c>
      <c r="L16" s="24" t="s">
        <v>13</v>
      </c>
    </row>
    <row r="17" spans="1:12" ht="16.5" customHeight="1" x14ac:dyDescent="0.25">
      <c r="B17" s="12" t="s">
        <v>5</v>
      </c>
      <c r="C17" s="13">
        <v>20</v>
      </c>
      <c r="D17" s="13" t="s">
        <v>45</v>
      </c>
      <c r="E17" s="57">
        <f t="shared" ref="E17:E19" si="2">$C$9</f>
        <v>4.37</v>
      </c>
      <c r="F17" s="60">
        <f t="shared" ref="F17:F19" si="3">$C$11</f>
        <v>8.6999999999999994E-2</v>
      </c>
      <c r="G17" s="38">
        <f t="shared" ref="G17:G19" si="4">MIN(0.15*$C$9, $C$10)</f>
        <v>0.25</v>
      </c>
      <c r="H17" s="24">
        <f t="shared" ref="H17:H19" si="5">MAX(2*$C$9, 1.5)</f>
        <v>8.74</v>
      </c>
      <c r="I17" s="62">
        <v>7.35</v>
      </c>
      <c r="J17" s="24">
        <v>10</v>
      </c>
      <c r="K17" s="38" t="s">
        <v>30</v>
      </c>
      <c r="L17" s="43" t="s">
        <v>41</v>
      </c>
    </row>
    <row r="18" spans="1:12" ht="16.5" customHeight="1" x14ac:dyDescent="0.25">
      <c r="B18" s="14" t="s">
        <v>50</v>
      </c>
      <c r="C18" s="8">
        <v>17</v>
      </c>
      <c r="D18" s="8" t="s">
        <v>46</v>
      </c>
      <c r="E18" s="58">
        <f t="shared" si="2"/>
        <v>4.37</v>
      </c>
      <c r="F18" s="61">
        <f t="shared" si="3"/>
        <v>8.6999999999999994E-2</v>
      </c>
      <c r="G18" s="39">
        <f t="shared" si="4"/>
        <v>0.25</v>
      </c>
      <c r="H18" s="28">
        <f t="shared" si="5"/>
        <v>8.74</v>
      </c>
      <c r="I18" s="63">
        <v>8.85</v>
      </c>
      <c r="J18" s="28">
        <v>150</v>
      </c>
      <c r="K18" s="39" t="s">
        <v>31</v>
      </c>
      <c r="L18" s="44" t="s">
        <v>51</v>
      </c>
    </row>
    <row r="19" spans="1:12" ht="16.5" customHeight="1" x14ac:dyDescent="0.25">
      <c r="B19" s="14" t="s">
        <v>6</v>
      </c>
      <c r="C19" s="8">
        <v>3</v>
      </c>
      <c r="D19" s="8" t="s">
        <v>45</v>
      </c>
      <c r="E19" s="58">
        <f t="shared" si="2"/>
        <v>4.37</v>
      </c>
      <c r="F19" s="61">
        <f t="shared" si="3"/>
        <v>8.6999999999999994E-2</v>
      </c>
      <c r="G19" s="39">
        <f t="shared" si="4"/>
        <v>0.25</v>
      </c>
      <c r="H19" s="28">
        <f t="shared" si="5"/>
        <v>8.74</v>
      </c>
      <c r="I19" s="63">
        <v>7.45</v>
      </c>
      <c r="J19" s="28">
        <v>50</v>
      </c>
      <c r="K19" s="39" t="s">
        <v>58</v>
      </c>
      <c r="L19" s="44" t="s">
        <v>41</v>
      </c>
    </row>
    <row r="20" spans="1:12" ht="16.5" customHeight="1" x14ac:dyDescent="0.25">
      <c r="B20" s="15" t="s">
        <v>14</v>
      </c>
      <c r="C20" s="9"/>
      <c r="D20" s="9"/>
      <c r="E20" s="59"/>
      <c r="F20" s="45"/>
      <c r="G20" s="25"/>
      <c r="H20" s="26"/>
      <c r="I20" s="29"/>
      <c r="J20" s="30"/>
      <c r="K20" s="25"/>
      <c r="L20" s="45"/>
    </row>
    <row r="21" spans="1:12" ht="16.5" customHeight="1" x14ac:dyDescent="0.25">
      <c r="C21" s="11"/>
    </row>
    <row r="22" spans="1:12" ht="16.5" customHeight="1" x14ac:dyDescent="0.25">
      <c r="A22" s="3" t="s">
        <v>39</v>
      </c>
    </row>
    <row r="23" spans="1:12" ht="16.5" customHeight="1" x14ac:dyDescent="0.25">
      <c r="A23" s="3"/>
    </row>
    <row r="24" spans="1:12" ht="16.5" customHeight="1" x14ac:dyDescent="0.25"/>
    <row r="25" spans="1:12" ht="16.5" customHeight="1" x14ac:dyDescent="0.25"/>
    <row r="26" spans="1:12" ht="16.5" customHeight="1" x14ac:dyDescent="0.25"/>
    <row r="27" spans="1:12" ht="16.5" customHeight="1" x14ac:dyDescent="0.25"/>
    <row r="28" spans="1:12" ht="16.5" customHeight="1" x14ac:dyDescent="0.25"/>
    <row r="29" spans="1:12" ht="16.5" customHeight="1" x14ac:dyDescent="0.25">
      <c r="B29" s="10"/>
    </row>
    <row r="30" spans="1:12" ht="16.5" customHeight="1" x14ac:dyDescent="0.25"/>
    <row r="31" spans="1:12" ht="16.5" customHeight="1" x14ac:dyDescent="0.25"/>
    <row r="32" spans="1:12" ht="16.5" customHeight="1" x14ac:dyDescent="0.25"/>
    <row r="33" ht="16.5" customHeight="1" x14ac:dyDescent="0.25"/>
    <row r="34" ht="16.5" customHeight="1" x14ac:dyDescent="0.25"/>
    <row r="35" ht="16.5" customHeight="1" x14ac:dyDescent="0.25"/>
    <row r="36" ht="16.5" customHeight="1" x14ac:dyDescent="0.25"/>
    <row r="37" ht="16.5" customHeight="1" x14ac:dyDescent="0.25"/>
    <row r="38" ht="16.5" customHeight="1" x14ac:dyDescent="0.25"/>
    <row r="39" ht="16.5" customHeight="1" x14ac:dyDescent="0.25"/>
    <row r="40" ht="16.5" customHeight="1" x14ac:dyDescent="0.25"/>
    <row r="41" ht="16.5" customHeight="1" x14ac:dyDescent="0.25"/>
    <row r="42" ht="16.5" customHeight="1" x14ac:dyDescent="0.25"/>
    <row r="43" ht="16.5" customHeight="1" x14ac:dyDescent="0.25"/>
    <row r="44" ht="16.5" customHeight="1" x14ac:dyDescent="0.25"/>
    <row r="45" ht="16.5" customHeight="1" x14ac:dyDescent="0.25"/>
    <row r="46" ht="16.5" customHeight="1" x14ac:dyDescent="0.25"/>
    <row r="47" ht="16.5" customHeight="1" x14ac:dyDescent="0.25"/>
    <row r="48" ht="16.5" customHeight="1" x14ac:dyDescent="0.25"/>
    <row r="49" ht="16.5" customHeight="1" x14ac:dyDescent="0.25"/>
    <row r="50" ht="16.5" customHeight="1" x14ac:dyDescent="0.25"/>
    <row r="51" ht="16.5" customHeight="1" x14ac:dyDescent="0.25"/>
    <row r="52" ht="16.5" customHeight="1" x14ac:dyDescent="0.25"/>
    <row r="53" ht="16.5" customHeight="1" x14ac:dyDescent="0.25"/>
    <row r="54" ht="16.5" customHeight="1" x14ac:dyDescent="0.25"/>
    <row r="55" ht="16.5" customHeight="1" x14ac:dyDescent="0.25"/>
    <row r="56" ht="16.5" customHeight="1" x14ac:dyDescent="0.25"/>
    <row r="57" ht="16.5" customHeight="1" x14ac:dyDescent="0.25"/>
    <row r="58" ht="16.5" customHeight="1" x14ac:dyDescent="0.25"/>
    <row r="59" ht="16.5" customHeight="1" x14ac:dyDescent="0.25"/>
    <row r="60" ht="16.5" customHeight="1" x14ac:dyDescent="0.25"/>
    <row r="61" ht="16.5" customHeight="1" x14ac:dyDescent="0.25"/>
    <row r="62" ht="16.5" customHeight="1" x14ac:dyDescent="0.25"/>
    <row r="63" ht="16.5" customHeight="1" x14ac:dyDescent="0.25"/>
    <row r="64" ht="16.5" customHeight="1" x14ac:dyDescent="0.25"/>
    <row r="65" ht="16.5" customHeight="1" x14ac:dyDescent="0.25"/>
    <row r="66" ht="16.5" customHeight="1" x14ac:dyDescent="0.25"/>
    <row r="67" ht="16.5" customHeight="1" x14ac:dyDescent="0.25"/>
    <row r="68" ht="16.5" customHeight="1" x14ac:dyDescent="0.25"/>
    <row r="69" ht="16.5" customHeight="1" x14ac:dyDescent="0.25"/>
    <row r="70" ht="16.5" customHeight="1" x14ac:dyDescent="0.25"/>
    <row r="71" ht="16.5" customHeight="1" x14ac:dyDescent="0.25"/>
    <row r="72" ht="16.5" customHeight="1" x14ac:dyDescent="0.25"/>
    <row r="73" ht="16.5" customHeight="1" x14ac:dyDescent="0.25"/>
    <row r="74" ht="16.5" customHeight="1" x14ac:dyDescent="0.25"/>
    <row r="75" ht="16.5" customHeight="1" x14ac:dyDescent="0.25"/>
    <row r="76" ht="16.5" customHeight="1" x14ac:dyDescent="0.25"/>
    <row r="77" ht="16.5" customHeight="1" x14ac:dyDescent="0.25"/>
    <row r="78" ht="16.5" customHeight="1" x14ac:dyDescent="0.25"/>
    <row r="79" ht="16.5" customHeight="1" x14ac:dyDescent="0.25"/>
    <row r="80" ht="16.5" customHeight="1" x14ac:dyDescent="0.25"/>
    <row r="81" ht="16.5" customHeight="1" x14ac:dyDescent="0.25"/>
    <row r="82" ht="16.5" customHeight="1" x14ac:dyDescent="0.25"/>
    <row r="83" ht="16.5" customHeight="1" x14ac:dyDescent="0.25"/>
    <row r="84" ht="16.5" customHeight="1" x14ac:dyDescent="0.25"/>
    <row r="85" ht="16.5" customHeight="1" x14ac:dyDescent="0.25"/>
    <row r="86" ht="16.5" customHeight="1" x14ac:dyDescent="0.25"/>
    <row r="87" ht="16.5" customHeight="1" x14ac:dyDescent="0.25"/>
    <row r="88" ht="16.5" customHeight="1" x14ac:dyDescent="0.25"/>
    <row r="89" ht="16.5" customHeight="1" x14ac:dyDescent="0.25"/>
    <row r="90" ht="16.5" customHeight="1" x14ac:dyDescent="0.25"/>
    <row r="91" ht="16.5" customHeight="1" x14ac:dyDescent="0.25"/>
    <row r="92" ht="16.5" customHeight="1" x14ac:dyDescent="0.25"/>
    <row r="93" ht="16.5" customHeight="1" x14ac:dyDescent="0.25"/>
    <row r="94" ht="16.5" customHeight="1" x14ac:dyDescent="0.25"/>
    <row r="95" ht="16.5" customHeight="1" x14ac:dyDescent="0.25"/>
    <row r="96" ht="16.5" customHeight="1" x14ac:dyDescent="0.25"/>
    <row r="97" ht="16.5" customHeight="1" x14ac:dyDescent="0.25"/>
    <row r="98" ht="16.5" customHeight="1" x14ac:dyDescent="0.25"/>
    <row r="99" ht="16.5" customHeight="1" x14ac:dyDescent="0.25"/>
    <row r="100" ht="16.5" customHeight="1" x14ac:dyDescent="0.25"/>
    <row r="101" ht="16.5" customHeight="1" x14ac:dyDescent="0.25"/>
    <row r="102" ht="16.5" customHeight="1" x14ac:dyDescent="0.25"/>
    <row r="103" ht="16.5" customHeight="1" x14ac:dyDescent="0.25"/>
    <row r="104" ht="16.5" customHeight="1" x14ac:dyDescent="0.25"/>
    <row r="105" ht="16.5" customHeight="1" x14ac:dyDescent="0.25"/>
    <row r="106" ht="16.5" customHeight="1" x14ac:dyDescent="0.25"/>
    <row r="107" ht="16.5" customHeight="1" x14ac:dyDescent="0.25"/>
    <row r="108" ht="16.5" customHeight="1" x14ac:dyDescent="0.25"/>
    <row r="109" ht="16.5" customHeight="1" x14ac:dyDescent="0.25"/>
    <row r="110" ht="16.5" customHeight="1" x14ac:dyDescent="0.25"/>
    <row r="111" ht="16.5" customHeight="1" x14ac:dyDescent="0.25"/>
    <row r="112" ht="16.5" customHeight="1" x14ac:dyDescent="0.25"/>
    <row r="113" ht="16.5" customHeight="1" x14ac:dyDescent="0.25"/>
    <row r="114" ht="16.5" customHeight="1" x14ac:dyDescent="0.25"/>
    <row r="115" ht="16.5" customHeight="1" x14ac:dyDescent="0.25"/>
    <row r="116" ht="16.5" customHeight="1" x14ac:dyDescent="0.25"/>
    <row r="117" ht="16.5" customHeight="1" x14ac:dyDescent="0.25"/>
    <row r="118" ht="16.5" customHeight="1" x14ac:dyDescent="0.25"/>
    <row r="119" ht="16.5" customHeight="1" x14ac:dyDescent="0.25"/>
    <row r="120" ht="16.5" customHeight="1" x14ac:dyDescent="0.25"/>
    <row r="121" ht="16.5" customHeight="1" x14ac:dyDescent="0.25"/>
    <row r="122" ht="16.5" customHeight="1" x14ac:dyDescent="0.25"/>
    <row r="123" ht="16.5" customHeight="1" x14ac:dyDescent="0.25"/>
    <row r="124" ht="16.5" customHeight="1" x14ac:dyDescent="0.25"/>
    <row r="125" ht="16.5" customHeight="1" x14ac:dyDescent="0.25"/>
    <row r="126" ht="16.5" customHeight="1" x14ac:dyDescent="0.25"/>
    <row r="127" ht="16.5" customHeight="1" x14ac:dyDescent="0.25"/>
    <row r="128" ht="16.5" customHeight="1" x14ac:dyDescent="0.25"/>
    <row r="129" ht="16.5" customHeight="1" x14ac:dyDescent="0.25"/>
    <row r="130" ht="16.5" customHeight="1" x14ac:dyDescent="0.25"/>
    <row r="131" ht="16.5" customHeight="1" x14ac:dyDescent="0.25"/>
    <row r="132" ht="16.5" customHeight="1" x14ac:dyDescent="0.25"/>
    <row r="133" ht="16.5" customHeight="1" x14ac:dyDescent="0.25"/>
    <row r="134" ht="16.5" customHeight="1" x14ac:dyDescent="0.25"/>
    <row r="135" ht="16.5" customHeight="1" x14ac:dyDescent="0.25"/>
    <row r="136" ht="16.5" customHeight="1" x14ac:dyDescent="0.25"/>
    <row r="137" ht="16.5" customHeight="1" x14ac:dyDescent="0.25"/>
    <row r="138" ht="16.5" customHeight="1" x14ac:dyDescent="0.25"/>
    <row r="139" ht="16.5" customHeight="1" x14ac:dyDescent="0.25"/>
    <row r="140" ht="16.5" customHeight="1" x14ac:dyDescent="0.25"/>
    <row r="141" ht="16.5" customHeight="1" x14ac:dyDescent="0.25"/>
    <row r="142" ht="16.5" customHeight="1" x14ac:dyDescent="0.25"/>
    <row r="143" ht="16.5" customHeight="1" x14ac:dyDescent="0.25"/>
    <row r="144" ht="16.5" customHeight="1" x14ac:dyDescent="0.25"/>
    <row r="145" ht="16.5" customHeight="1" x14ac:dyDescent="0.25"/>
    <row r="146" ht="16.5" customHeight="1" x14ac:dyDescent="0.25"/>
    <row r="147" ht="16.5" customHeight="1" x14ac:dyDescent="0.25"/>
    <row r="148" ht="16.5" customHeight="1" x14ac:dyDescent="0.25"/>
    <row r="149" ht="16.5" customHeight="1" x14ac:dyDescent="0.25"/>
    <row r="150" ht="16.5" customHeight="1" x14ac:dyDescent="0.25"/>
    <row r="151" ht="16.5" customHeight="1" x14ac:dyDescent="0.25"/>
    <row r="152" ht="16.5" customHeight="1" x14ac:dyDescent="0.25"/>
    <row r="153" ht="16.5" customHeight="1" x14ac:dyDescent="0.25"/>
    <row r="154" ht="16.5" customHeight="1" x14ac:dyDescent="0.25"/>
    <row r="155" ht="16.5" customHeight="1" x14ac:dyDescent="0.25"/>
    <row r="156" ht="16.5" customHeight="1" x14ac:dyDescent="0.25"/>
    <row r="157" ht="16.5" customHeight="1" x14ac:dyDescent="0.25"/>
    <row r="158" ht="16.5" customHeight="1" x14ac:dyDescent="0.25"/>
    <row r="159" ht="16.5" customHeight="1" x14ac:dyDescent="0.25"/>
    <row r="160" ht="16.5" customHeight="1" x14ac:dyDescent="0.25"/>
    <row r="161" ht="16.5" customHeight="1" x14ac:dyDescent="0.25"/>
    <row r="162" ht="16.5" customHeight="1" x14ac:dyDescent="0.25"/>
    <row r="163" ht="16.5" customHeight="1" x14ac:dyDescent="0.25"/>
    <row r="164" ht="16.5" customHeight="1" x14ac:dyDescent="0.25"/>
    <row r="165" ht="16.5" customHeight="1" x14ac:dyDescent="0.25"/>
    <row r="166" ht="16.5" customHeight="1" x14ac:dyDescent="0.25"/>
    <row r="167" ht="16.5" customHeight="1" x14ac:dyDescent="0.25"/>
    <row r="168" ht="16.5" customHeight="1" x14ac:dyDescent="0.25"/>
    <row r="169" ht="16.5" customHeight="1" x14ac:dyDescent="0.25"/>
    <row r="170" ht="16.5" customHeight="1" x14ac:dyDescent="0.25"/>
    <row r="171" ht="16.5" customHeight="1" x14ac:dyDescent="0.25"/>
    <row r="172" ht="16.5" customHeight="1" x14ac:dyDescent="0.25"/>
    <row r="173" ht="16.5" customHeight="1" x14ac:dyDescent="0.25"/>
    <row r="174" ht="16.5" customHeight="1" x14ac:dyDescent="0.25"/>
    <row r="175" ht="16.5" customHeight="1" x14ac:dyDescent="0.25"/>
    <row r="176" ht="16.5" customHeight="1" x14ac:dyDescent="0.25"/>
    <row r="177" ht="16.5" customHeight="1" x14ac:dyDescent="0.25"/>
    <row r="178" ht="16.5" customHeight="1" x14ac:dyDescent="0.25"/>
    <row r="179" ht="16.5" customHeight="1" x14ac:dyDescent="0.25"/>
    <row r="180" ht="16.5" customHeight="1" x14ac:dyDescent="0.25"/>
    <row r="181" ht="16.5" customHeight="1" x14ac:dyDescent="0.25"/>
    <row r="182" ht="16.5" customHeight="1" x14ac:dyDescent="0.25"/>
    <row r="183" ht="16.5" customHeight="1" x14ac:dyDescent="0.25"/>
    <row r="184" ht="16.5" customHeight="1" x14ac:dyDescent="0.25"/>
    <row r="185" ht="16.5" customHeight="1" x14ac:dyDescent="0.25"/>
    <row r="186" ht="16.5" customHeight="1" x14ac:dyDescent="0.25"/>
    <row r="187" ht="16.5" customHeight="1" x14ac:dyDescent="0.25"/>
    <row r="188" ht="16.5" customHeight="1" x14ac:dyDescent="0.25"/>
    <row r="189" ht="16.5" customHeight="1" x14ac:dyDescent="0.25"/>
    <row r="190" ht="16.5" customHeight="1" x14ac:dyDescent="0.25"/>
    <row r="191" ht="16.5" customHeight="1" x14ac:dyDescent="0.25"/>
    <row r="192" ht="16.5" customHeight="1" x14ac:dyDescent="0.25"/>
    <row r="193" ht="16.5" customHeight="1" x14ac:dyDescent="0.25"/>
    <row r="194" ht="16.5" customHeight="1" x14ac:dyDescent="0.25"/>
    <row r="195" ht="16.5" customHeight="1" x14ac:dyDescent="0.25"/>
    <row r="196" ht="16.5" customHeight="1" x14ac:dyDescent="0.25"/>
    <row r="197" ht="16.5" customHeight="1" x14ac:dyDescent="0.25"/>
    <row r="198" ht="16.5" customHeight="1" x14ac:dyDescent="0.25"/>
    <row r="199" ht="16.5" customHeight="1" x14ac:dyDescent="0.25"/>
    <row r="200" ht="16.5" customHeight="1" x14ac:dyDescent="0.25"/>
    <row r="201" ht="16.5" customHeight="1" x14ac:dyDescent="0.25"/>
    <row r="202" ht="16.5" customHeight="1" x14ac:dyDescent="0.25"/>
    <row r="203" ht="16.5" customHeight="1" x14ac:dyDescent="0.25"/>
    <row r="204" ht="16.5" customHeight="1" x14ac:dyDescent="0.25"/>
    <row r="205" ht="16.5" customHeight="1" x14ac:dyDescent="0.25"/>
    <row r="206" ht="16.5" customHeight="1" x14ac:dyDescent="0.25"/>
    <row r="207" ht="16.5" customHeight="1" x14ac:dyDescent="0.25"/>
    <row r="208" ht="16.5" customHeight="1" x14ac:dyDescent="0.25"/>
    <row r="209" ht="16.5" customHeight="1" x14ac:dyDescent="0.25"/>
    <row r="210" ht="16.5" customHeight="1" x14ac:dyDescent="0.25"/>
    <row r="211" ht="16.5" customHeight="1" x14ac:dyDescent="0.25"/>
    <row r="212" ht="16.5" customHeight="1" x14ac:dyDescent="0.25"/>
    <row r="213" ht="16.5" customHeight="1" x14ac:dyDescent="0.25"/>
    <row r="214" ht="16.5" customHeight="1" x14ac:dyDescent="0.25"/>
    <row r="215" ht="16.5" customHeight="1" x14ac:dyDescent="0.25"/>
    <row r="216" ht="16.5" customHeight="1" x14ac:dyDescent="0.25"/>
    <row r="217" ht="16.5" customHeight="1" x14ac:dyDescent="0.25"/>
    <row r="218" ht="16.5" customHeight="1" x14ac:dyDescent="0.25"/>
    <row r="219" ht="16.5" customHeight="1" x14ac:dyDescent="0.25"/>
    <row r="220" ht="16.5" customHeight="1" x14ac:dyDescent="0.25"/>
    <row r="221" ht="16.5" customHeight="1" x14ac:dyDescent="0.25"/>
    <row r="222" ht="16.5" customHeight="1" x14ac:dyDescent="0.25"/>
    <row r="223" ht="16.5" customHeight="1" x14ac:dyDescent="0.25"/>
    <row r="224" ht="16.5" customHeight="1" x14ac:dyDescent="0.25"/>
    <row r="225" ht="16.5" customHeight="1" x14ac:dyDescent="0.25"/>
    <row r="226" ht="16.5" customHeight="1" x14ac:dyDescent="0.25"/>
    <row r="227" ht="16.5" customHeight="1" x14ac:dyDescent="0.25"/>
    <row r="228" ht="16.5" customHeight="1" x14ac:dyDescent="0.25"/>
    <row r="229" ht="16.5" customHeight="1" x14ac:dyDescent="0.25"/>
    <row r="230" ht="16.5" customHeight="1" x14ac:dyDescent="0.25"/>
    <row r="231" ht="16.5" customHeight="1" x14ac:dyDescent="0.25"/>
    <row r="232" ht="16.5" customHeight="1" x14ac:dyDescent="0.25"/>
    <row r="233" ht="16.5" customHeight="1" x14ac:dyDescent="0.25"/>
    <row r="234" ht="16.5" customHeight="1" x14ac:dyDescent="0.25"/>
    <row r="235" ht="16.5" customHeight="1" x14ac:dyDescent="0.25"/>
    <row r="236" ht="16.5" customHeight="1" x14ac:dyDescent="0.25"/>
    <row r="237" ht="16.5" customHeight="1" x14ac:dyDescent="0.25"/>
    <row r="238" ht="16.5" customHeight="1" x14ac:dyDescent="0.25"/>
    <row r="239" ht="16.5" customHeight="1" x14ac:dyDescent="0.25"/>
    <row r="240" ht="16.5" customHeight="1" x14ac:dyDescent="0.25"/>
    <row r="241" ht="16.5" customHeight="1" x14ac:dyDescent="0.25"/>
    <row r="242" ht="16.5" customHeight="1" x14ac:dyDescent="0.25"/>
    <row r="243" ht="16.5" customHeight="1" x14ac:dyDescent="0.25"/>
    <row r="244" ht="16.5" customHeight="1" x14ac:dyDescent="0.25"/>
    <row r="245" ht="16.5" customHeight="1" x14ac:dyDescent="0.25"/>
    <row r="246" ht="16.5" customHeight="1" x14ac:dyDescent="0.25"/>
    <row r="247" ht="16.5" customHeight="1" x14ac:dyDescent="0.25"/>
    <row r="248" ht="16.5" customHeight="1" x14ac:dyDescent="0.25"/>
    <row r="249" ht="16.5" customHeight="1" x14ac:dyDescent="0.25"/>
    <row r="250" ht="16.5" customHeight="1" x14ac:dyDescent="0.25"/>
    <row r="251" ht="16.5" customHeight="1" x14ac:dyDescent="0.25"/>
    <row r="252" ht="16.5" customHeight="1" x14ac:dyDescent="0.25"/>
  </sheetData>
  <dataValidations count="5">
    <dataValidation type="list" allowBlank="1" showInputMessage="1" showErrorMessage="1" sqref="D17:D20" xr:uid="{AA24CB9A-7DE1-4B41-9D79-031D90B0B358}">
      <formula1>"NGA_W2, KiK_NET"</formula1>
    </dataValidation>
    <dataValidation type="list" allowBlank="1" showInputMessage="1" showErrorMessage="1" sqref="G15" xr:uid="{7359B6E3-E731-4981-A3E1-5020D4AD226F}">
      <formula1>"NBCC (Single Building), Manual (Deaggregation-Based)"</formula1>
    </dataValidation>
    <dataValidation type="list" allowBlank="1" showInputMessage="1" showErrorMessage="1" sqref="L17:L20" xr:uid="{36164C23-E0D7-43FD-B683-765532264B64}">
      <formula1>"Strike-slip, Normal, Reverse, Unknown"</formula1>
    </dataValidation>
    <dataValidation type="list" allowBlank="1" showInputMessage="1" showErrorMessage="1" sqref="B17:B20" xr:uid="{DF2B57B8-BA95-4FFB-AE54-B7BF95AC2821}">
      <formula1>"Crustal,In-slab,Interface/Subduction,Any"</formula1>
    </dataValidation>
    <dataValidation type="list" allowBlank="1" showInputMessage="1" showErrorMessage="1" sqref="J8" xr:uid="{B661E38C-C1B7-4B22-AD4D-B31408E43CE4}">
      <formula1>"Yes, No"</formula1>
    </dataValidation>
  </dataValidation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showInputMessage="1" showErrorMessage="1" xr:uid="{76DAF724-25AD-4DFA-B6B6-EE49FE0E58B3}">
          <x14:formula1>
            <xm:f>fixedInfo!$D$3:$D$22</xm:f>
          </x14:formula1>
          <xm:sqref>K17:K20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1EE08A-9C11-4969-9E37-4CC01F5C151E}">
  <dimension ref="D1:D31"/>
  <sheetViews>
    <sheetView zoomScale="115" zoomScaleNormal="115" workbookViewId="0">
      <selection activeCell="D9" sqref="D9"/>
    </sheetView>
  </sheetViews>
  <sheetFormatPr defaultRowHeight="15" x14ac:dyDescent="0.25"/>
  <cols>
    <col min="4" max="4" width="28" customWidth="1"/>
  </cols>
  <sheetData>
    <row r="1" spans="4:4" ht="21" customHeight="1" x14ac:dyDescent="0.25"/>
    <row r="2" spans="4:4" ht="30" x14ac:dyDescent="0.25">
      <c r="D2" s="18" t="s">
        <v>27</v>
      </c>
    </row>
    <row r="3" spans="4:4" ht="21" customHeight="1" x14ac:dyDescent="0.25">
      <c r="D3" s="19" t="s">
        <v>26</v>
      </c>
    </row>
    <row r="4" spans="4:4" ht="21" customHeight="1" x14ac:dyDescent="0.25">
      <c r="D4" s="20" t="s">
        <v>28</v>
      </c>
    </row>
    <row r="5" spans="4:4" ht="21" customHeight="1" x14ac:dyDescent="0.25">
      <c r="D5" s="20" t="s">
        <v>29</v>
      </c>
    </row>
    <row r="6" spans="4:4" ht="21" customHeight="1" x14ac:dyDescent="0.25">
      <c r="D6" s="20" t="s">
        <v>30</v>
      </c>
    </row>
    <row r="7" spans="4:4" ht="21" customHeight="1" x14ac:dyDescent="0.25">
      <c r="D7" s="20" t="s">
        <v>31</v>
      </c>
    </row>
    <row r="8" spans="4:4" ht="21" customHeight="1" x14ac:dyDescent="0.25">
      <c r="D8" s="20" t="s">
        <v>57</v>
      </c>
    </row>
    <row r="9" spans="4:4" ht="21" customHeight="1" x14ac:dyDescent="0.25">
      <c r="D9" s="20" t="s">
        <v>58</v>
      </c>
    </row>
    <row r="10" spans="4:4" ht="21" customHeight="1" x14ac:dyDescent="0.25">
      <c r="D10" s="20" t="s">
        <v>32</v>
      </c>
    </row>
    <row r="11" spans="4:4" ht="21" customHeight="1" x14ac:dyDescent="0.25">
      <c r="D11" s="20" t="s">
        <v>32</v>
      </c>
    </row>
    <row r="12" spans="4:4" ht="21" customHeight="1" x14ac:dyDescent="0.25">
      <c r="D12" s="20" t="s">
        <v>32</v>
      </c>
    </row>
    <row r="13" spans="4:4" ht="21" customHeight="1" x14ac:dyDescent="0.25">
      <c r="D13" s="20" t="s">
        <v>32</v>
      </c>
    </row>
    <row r="14" spans="4:4" ht="21" customHeight="1" x14ac:dyDescent="0.25">
      <c r="D14" s="20" t="s">
        <v>32</v>
      </c>
    </row>
    <row r="15" spans="4:4" ht="21" customHeight="1" x14ac:dyDescent="0.25">
      <c r="D15" s="20" t="s">
        <v>32</v>
      </c>
    </row>
    <row r="16" spans="4:4" ht="21" customHeight="1" x14ac:dyDescent="0.25">
      <c r="D16" s="20" t="s">
        <v>32</v>
      </c>
    </row>
    <row r="17" spans="4:4" ht="21" customHeight="1" x14ac:dyDescent="0.25">
      <c r="D17" s="20" t="s">
        <v>32</v>
      </c>
    </row>
    <row r="18" spans="4:4" ht="21" customHeight="1" x14ac:dyDescent="0.25">
      <c r="D18" s="20" t="s">
        <v>32</v>
      </c>
    </row>
    <row r="19" spans="4:4" ht="21" customHeight="1" x14ac:dyDescent="0.25">
      <c r="D19" s="20" t="s">
        <v>32</v>
      </c>
    </row>
    <row r="20" spans="4:4" ht="21" customHeight="1" x14ac:dyDescent="0.25">
      <c r="D20" s="20" t="s">
        <v>32</v>
      </c>
    </row>
    <row r="21" spans="4:4" ht="21" customHeight="1" x14ac:dyDescent="0.25">
      <c r="D21" s="20" t="s">
        <v>32</v>
      </c>
    </row>
    <row r="22" spans="4:4" ht="21" customHeight="1" x14ac:dyDescent="0.25">
      <c r="D22" s="21"/>
    </row>
    <row r="23" spans="4:4" ht="21" customHeight="1" x14ac:dyDescent="0.25"/>
    <row r="24" spans="4:4" ht="21" customHeight="1" x14ac:dyDescent="0.25"/>
    <row r="25" spans="4:4" ht="21" customHeight="1" x14ac:dyDescent="0.25"/>
    <row r="26" spans="4:4" ht="21" customHeight="1" x14ac:dyDescent="0.25"/>
    <row r="27" spans="4:4" ht="21" customHeight="1" x14ac:dyDescent="0.25"/>
    <row r="28" spans="4:4" ht="21" customHeight="1" x14ac:dyDescent="0.25"/>
    <row r="29" spans="4:4" ht="21" customHeight="1" x14ac:dyDescent="0.25"/>
    <row r="30" spans="4:4" ht="21" customHeight="1" x14ac:dyDescent="0.25"/>
    <row r="31" spans="4:4" ht="21" customHeight="1" x14ac:dyDescent="0.25"/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Inputs</vt:lpstr>
      <vt:lpstr>fixedInfo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SinghBadal, Prakash</dc:creator>
  <cp:lastModifiedBy>Prakash Singh Badal</cp:lastModifiedBy>
  <dcterms:created xsi:type="dcterms:W3CDTF">2022-06-01T23:17:14Z</dcterms:created>
  <dcterms:modified xsi:type="dcterms:W3CDTF">2023-01-26T06:51:22Z</dcterms:modified>
</cp:coreProperties>
</file>