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taticDynamicAnalysis\ida-spo-msa\HazardAnalysis\gm-selection\2020_NBC_MyCopy_new-main\GMSelection_NGA_KiK_mixed\"/>
    </mc:Choice>
  </mc:AlternateContent>
  <xr:revisionPtr revIDLastSave="0" documentId="13_ncr:1_{52C912AD-16E7-48B2-BA05-4B97A44D987D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GMSel_ΔM (±)" sheetId="1" r:id="rId1"/>
    <sheet name="EQ-Infor_Guw-BCH" sheetId="2" r:id="rId2"/>
    <sheet name="CY14-effectOnMIDR_RDR_PFA" sheetId="4" r:id="rId3"/>
    <sheet name="BCH16-effectOnMIDR_RDR_PFA" sheetId="3" r:id="rId4"/>
    <sheet name="effectOnMIDR_RDR_PFA" sheetId="6" r:id="rId5"/>
    <sheet name="OutputMemorySize" sheetId="5" r:id="rId6"/>
    <sheet name="epsilon_ba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6" l="1"/>
  <c r="N32" i="6"/>
  <c r="N30" i="6"/>
  <c r="N29" i="6"/>
  <c r="K33" i="6"/>
  <c r="K32" i="6"/>
  <c r="K30" i="6"/>
  <c r="K29" i="6"/>
  <c r="H33" i="6"/>
  <c r="H32" i="6"/>
  <c r="H30" i="6"/>
  <c r="H29" i="6"/>
  <c r="E30" i="6"/>
  <c r="E32" i="6"/>
  <c r="E33" i="6"/>
  <c r="E29" i="6"/>
  <c r="N20" i="6"/>
  <c r="N19" i="6"/>
  <c r="N17" i="6"/>
  <c r="N16" i="6"/>
  <c r="K20" i="6"/>
  <c r="K19" i="6"/>
  <c r="K17" i="6"/>
  <c r="K16" i="6"/>
  <c r="H20" i="6"/>
  <c r="H19" i="6"/>
  <c r="H17" i="6"/>
  <c r="H16" i="6"/>
  <c r="E17" i="6"/>
  <c r="E19" i="6"/>
  <c r="E20" i="6"/>
  <c r="E16" i="6"/>
  <c r="N5" i="6"/>
  <c r="N7" i="6"/>
  <c r="N8" i="6"/>
  <c r="N4" i="6"/>
  <c r="K5" i="6"/>
  <c r="K7" i="6"/>
  <c r="K8" i="6"/>
  <c r="K4" i="6"/>
  <c r="H5" i="6"/>
  <c r="H7" i="6"/>
  <c r="H8" i="6"/>
  <c r="H4" i="6"/>
  <c r="E7" i="6"/>
  <c r="E8" i="6"/>
  <c r="E5" i="6"/>
  <c r="E4" i="6"/>
  <c r="D3" i="5" l="1"/>
  <c r="D4" i="5"/>
  <c r="D5" i="5"/>
  <c r="D2" i="5"/>
  <c r="E66" i="3"/>
  <c r="E65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4" i="3"/>
  <c r="H66" i="3"/>
  <c r="H65" i="3"/>
  <c r="K66" i="3"/>
  <c r="K65" i="3"/>
  <c r="K66" i="4"/>
  <c r="H66" i="4"/>
  <c r="E66" i="4"/>
  <c r="E65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4" i="4"/>
  <c r="K65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4" i="4"/>
  <c r="H65" i="4"/>
  <c r="H5" i="4"/>
  <c r="H6" i="4"/>
  <c r="H7" i="4"/>
  <c r="H8" i="4"/>
  <c r="H9" i="4"/>
  <c r="H10" i="4"/>
  <c r="H11" i="4"/>
  <c r="H12" i="4"/>
  <c r="H13" i="4"/>
  <c r="H14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4" i="4"/>
  <c r="K63" i="3"/>
  <c r="H63" i="3"/>
  <c r="K62" i="3"/>
  <c r="H62" i="3"/>
  <c r="K61" i="3"/>
  <c r="H61" i="3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K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39" i="1"/>
  <c r="X39" i="1"/>
  <c r="W103" i="1"/>
  <c r="V103" i="1"/>
  <c r="Q103" i="1"/>
  <c r="P103" i="1"/>
  <c r="K103" i="1"/>
  <c r="J103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39" i="1"/>
  <c r="L101" i="1" l="1"/>
  <c r="X100" i="1"/>
  <c r="X101" i="1"/>
  <c r="L100" i="1"/>
  <c r="R100" i="1"/>
  <c r="R101" i="1"/>
</calcChain>
</file>

<file path=xl/sharedStrings.xml><?xml version="1.0" encoding="utf-8"?>
<sst xmlns="http://schemas.openxmlformats.org/spreadsheetml/2006/main" count="439" uniqueCount="173">
  <si>
    <t>SNo</t>
  </si>
  <si>
    <t>RSN</t>
  </si>
  <si>
    <t>SF</t>
  </si>
  <si>
    <t>CY14</t>
  </si>
  <si>
    <t>ΔM (±)= 1.5</t>
  </si>
  <si>
    <t>ΔM (±) = 1.5</t>
  </si>
  <si>
    <t>ΔM (±) = 4</t>
  </si>
  <si>
    <t>ASK14</t>
  </si>
  <si>
    <t xml:space="preserve">Note: </t>
  </si>
  <si>
    <t>1) RSN 5663 is not selected in CY14 and ASK14</t>
  </si>
  <si>
    <t xml:space="preserve"> Magnitude</t>
  </si>
  <si>
    <t xml:space="preserve"> Rjb (km)</t>
  </si>
  <si>
    <t xml:space="preserve"> Vs30 (m/sec)</t>
  </si>
  <si>
    <t xml:space="preserve"> RSN</t>
  </si>
  <si>
    <t xml:space="preserve"> Earthquake Name</t>
  </si>
  <si>
    <t xml:space="preserve"> "Kern County"</t>
  </si>
  <si>
    <t xml:space="preserve"> "San Fernando"</t>
  </si>
  <si>
    <t xml:space="preserve"> "Northridge-01"</t>
  </si>
  <si>
    <t xml:space="preserve"> "Kocaeli_ Turkey"</t>
  </si>
  <si>
    <t xml:space="preserve"> "Chi-Chi_ Taiwan"</t>
  </si>
  <si>
    <t xml:space="preserve"> "Chi-Chi_ Taiwan-03"</t>
  </si>
  <si>
    <t xml:space="preserve"> "Chi-Chi_ Taiwan-06"</t>
  </si>
  <si>
    <t xml:space="preserve"> "Cape Mendocino"</t>
  </si>
  <si>
    <t xml:space="preserve"> "Umbria Marche_ Italy"</t>
  </si>
  <si>
    <t xml:space="preserve"> "Chuetsu-oki_ Japan"</t>
  </si>
  <si>
    <t xml:space="preserve"> "Iwate_ Japan"</t>
  </si>
  <si>
    <t xml:space="preserve"> Year</t>
  </si>
  <si>
    <t>PGV (m/s)</t>
  </si>
  <si>
    <t>unscaled spectra, PGA (g)</t>
  </si>
  <si>
    <t>UnscaledAccRecord6262</t>
  </si>
  <si>
    <t>UnscaledAccRecord6263</t>
  </si>
  <si>
    <t>UnscaledAccRecord6283</t>
  </si>
  <si>
    <t>8 RSNs newly added</t>
  </si>
  <si>
    <t>EQID</t>
  </si>
  <si>
    <t>% Reduction</t>
  </si>
  <si>
    <t xml:space="preserve">BCH16 </t>
  </si>
  <si>
    <t>(UnscaledAccRecord4673)</t>
  </si>
  <si>
    <t>BCH16 (Sa_1&amp;Sa_2 = 0 for RSN = 5663,)</t>
  </si>
  <si>
    <t>Avg</t>
  </si>
  <si>
    <t>Max</t>
  </si>
  <si>
    <t>TotalDuration</t>
  </si>
  <si>
    <t>Duration Before Trim (s)</t>
  </si>
  <si>
    <t>Duration After 5% Trim (s)</t>
  </si>
  <si>
    <t>EQ1</t>
  </si>
  <si>
    <t>EQ2</t>
  </si>
  <si>
    <t>EQ3</t>
  </si>
  <si>
    <t>EQ4</t>
  </si>
  <si>
    <t>EQ5</t>
  </si>
  <si>
    <t>EQ6</t>
  </si>
  <si>
    <t>EQ7</t>
  </si>
  <si>
    <t>EQ8</t>
  </si>
  <si>
    <t>EQ9</t>
  </si>
  <si>
    <t>EQ10</t>
  </si>
  <si>
    <t>EQ11</t>
  </si>
  <si>
    <t>EQ12</t>
  </si>
  <si>
    <t>EQ13</t>
  </si>
  <si>
    <t>EQ14</t>
  </si>
  <si>
    <t>EQ15</t>
  </si>
  <si>
    <t>EQ16</t>
  </si>
  <si>
    <t>EQ17</t>
  </si>
  <si>
    <t>EQ18</t>
  </si>
  <si>
    <t>EQ19</t>
  </si>
  <si>
    <t>EQ20</t>
  </si>
  <si>
    <t>EQ21</t>
  </si>
  <si>
    <t>EQ22</t>
  </si>
  <si>
    <t>EQ23</t>
  </si>
  <si>
    <t>EQ24</t>
  </si>
  <si>
    <t>EQ25</t>
  </si>
  <si>
    <t>EQ26</t>
  </si>
  <si>
    <t>EQ27</t>
  </si>
  <si>
    <t>EQ28</t>
  </si>
  <si>
    <t>EQ29</t>
  </si>
  <si>
    <t>EQ30</t>
  </si>
  <si>
    <t>EQ31</t>
  </si>
  <si>
    <t>EQ32</t>
  </si>
  <si>
    <t>EQ33</t>
  </si>
  <si>
    <t>EQ34</t>
  </si>
  <si>
    <t>EQ35</t>
  </si>
  <si>
    <t>EQ36</t>
  </si>
  <si>
    <t>EQ37</t>
  </si>
  <si>
    <t>EQ38</t>
  </si>
  <si>
    <t>EQ39</t>
  </si>
  <si>
    <t>EQ40</t>
  </si>
  <si>
    <t>EQ41</t>
  </si>
  <si>
    <t>EQ42</t>
  </si>
  <si>
    <t>EQ43</t>
  </si>
  <si>
    <t>EQ44</t>
  </si>
  <si>
    <t>EQ45</t>
  </si>
  <si>
    <t>EQ46</t>
  </si>
  <si>
    <t>EQ47</t>
  </si>
  <si>
    <t>EQ48</t>
  </si>
  <si>
    <t>EQ49</t>
  </si>
  <si>
    <t>EQ50</t>
  </si>
  <si>
    <t>EQ51</t>
  </si>
  <si>
    <t>EQ52</t>
  </si>
  <si>
    <t>EQ53</t>
  </si>
  <si>
    <t>EQ54</t>
  </si>
  <si>
    <t>EQ55</t>
  </si>
  <si>
    <t>EQ56</t>
  </si>
  <si>
    <t>EQ57</t>
  </si>
  <si>
    <t>EQ58</t>
  </si>
  <si>
    <t>EQ59</t>
  </si>
  <si>
    <t>EQ60</t>
  </si>
  <si>
    <t>BCH16</t>
  </si>
  <si>
    <t>Si No</t>
  </si>
  <si>
    <t>eqNumberList</t>
  </si>
  <si>
    <t>MIDR</t>
  </si>
  <si>
    <t>RDR</t>
  </si>
  <si>
    <t>PFA (g)</t>
  </si>
  <si>
    <t>originalGMs</t>
  </si>
  <si>
    <t>curtailedGMs</t>
  </si>
  <si>
    <t>Δ (%)</t>
  </si>
  <si>
    <t>NA</t>
  </si>
  <si>
    <t>Mean</t>
  </si>
  <si>
    <t>StdDev</t>
  </si>
  <si>
    <t>1) MIDR is unaffected by curtailment</t>
  </si>
  <si>
    <r>
      <t xml:space="preserve">The </t>
    </r>
    <r>
      <rPr>
        <b/>
        <sz val="11"/>
        <color theme="1"/>
        <rFont val="Calibri"/>
        <family val="2"/>
        <scheme val="minor"/>
      </rPr>
      <t>hierarchy of sensitivity</t>
    </r>
    <r>
      <rPr>
        <sz val="11"/>
        <color theme="1"/>
        <rFont val="Calibri"/>
        <family val="2"/>
        <scheme val="minor"/>
      </rPr>
      <t xml:space="preserve"> to curtailment is clearly: </t>
    </r>
    <r>
      <rPr>
        <b/>
        <sz val="11"/>
        <color theme="1"/>
        <rFont val="Calibri"/>
        <family val="2"/>
        <scheme val="minor"/>
      </rPr>
      <t>PFA &gt;&gt; RDR &gt;&gt; MIDR</t>
    </r>
  </si>
  <si>
    <t xml:space="preserve">2) RDR has large spread, and bidirectional </t>
  </si>
  <si>
    <t>3) PFA has increased after curtailment, curtailed response more than the original GM response</t>
  </si>
  <si>
    <t>EQ_70011</t>
  </si>
  <si>
    <t>EQ_70012</t>
  </si>
  <si>
    <t>EQ_70021</t>
  </si>
  <si>
    <t>EQ_70022</t>
  </si>
  <si>
    <t>EleGlobalTH</t>
  </si>
  <si>
    <t>EleLocalTH</t>
  </si>
  <si>
    <t>Hinges</t>
  </si>
  <si>
    <t>Joints</t>
  </si>
  <si>
    <t>These are the springs at the base of the columns</t>
  </si>
  <si>
    <t>joint numbers to record - all joints of primary frame</t>
  </si>
  <si>
    <t>computing base shear and story shear</t>
  </si>
  <si>
    <t xml:space="preserve">set elementNumToRecordLIST { </t>
  </si>
  <si>
    <t>}</t>
  </si>
  <si>
    <t xml:space="preserve">set hingeElementsToRecordLIST  { </t>
  </si>
  <si>
    <t xml:space="preserve">set jointNumToRecordLIST { </t>
  </si>
  <si>
    <t>originalSize (GB)</t>
  </si>
  <si>
    <t>RecordTurnoff in Elements folder (MB)</t>
  </si>
  <si>
    <t>Ratio</t>
  </si>
  <si>
    <t>MIDR (%)</t>
  </si>
  <si>
    <t>AllComp</t>
  </si>
  <si>
    <t>1 (%)</t>
  </si>
  <si>
    <t>4 (%)</t>
  </si>
  <si>
    <t>0.2 (%)</t>
  </si>
  <si>
    <t>0.5 (%)</t>
  </si>
  <si>
    <t>GMPM</t>
  </si>
  <si>
    <t>TimeP</t>
  </si>
  <si>
    <t>pred_mean (g)</t>
  </si>
  <si>
    <t>sigma_Ln</t>
  </si>
  <si>
    <t>epsilon_bar</t>
  </si>
  <si>
    <t>BJF97</t>
  </si>
  <si>
    <t>AS97</t>
  </si>
  <si>
    <t>BA08</t>
  </si>
  <si>
    <t>C97</t>
  </si>
  <si>
    <t>ASB96</t>
  </si>
  <si>
    <t>BSSA14</t>
  </si>
  <si>
    <t>CB14</t>
  </si>
  <si>
    <t>AB03SZ</t>
  </si>
  <si>
    <t>Zhao06</t>
  </si>
  <si>
    <t>eps_bar</t>
  </si>
  <si>
    <t>PSHA_mean IM (g)</t>
  </si>
  <si>
    <t>CollapseMechanism, 2 (%)</t>
  </si>
  <si>
    <t>ControlComp</t>
  </si>
  <si>
    <t>2 (%)</t>
  </si>
  <si>
    <t>CollapseMechanism, 12 (%)</t>
  </si>
  <si>
    <t>0.2g</t>
  </si>
  <si>
    <t>0.5g</t>
  </si>
  <si>
    <t>1g</t>
  </si>
  <si>
    <t>CollapseMechanism, 2g</t>
  </si>
  <si>
    <t>PFA</t>
  </si>
  <si>
    <t>1) Curtailed GMs lower median collapse IM (more damaging)</t>
  </si>
  <si>
    <t>1) No change in median capacity</t>
  </si>
  <si>
    <t>1) Not much significant variation in median capacity between original and curtailed GMs</t>
  </si>
  <si>
    <t>MRDR (%)</t>
  </si>
  <si>
    <t>MPFA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</si>
</sst>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3F3F7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onsolas"/>
      <family val="3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3F3F7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FFCC99"/>
        <bgColor rgb="FF000000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7" fillId="4" borderId="5" applyNumberFormat="0" applyFont="0" applyAlignment="0" applyProtection="0"/>
    <xf numFmtId="0" fontId="8" fillId="6" borderId="0" applyNumberFormat="0" applyBorder="0" applyAlignment="0" applyProtection="0"/>
    <xf numFmtId="0" fontId="13" fillId="7" borderId="1" applyNumberFormat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2" fillId="0" borderId="0" xfId="0" applyFont="1"/>
    <xf numFmtId="0" fontId="1" fillId="2" borderId="1" xfId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5" fillId="0" borderId="0" xfId="0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2" fillId="4" borderId="5" xfId="2" applyNumberFormat="1" applyFont="1" applyAlignment="1">
      <alignment horizontal="center" vertical="center"/>
    </xf>
    <xf numFmtId="0" fontId="8" fillId="4" borderId="5" xfId="2" applyFont="1"/>
    <xf numFmtId="0" fontId="8" fillId="4" borderId="5" xfId="2" applyFont="1" applyAlignment="1">
      <alignment horizontal="right"/>
    </xf>
    <xf numFmtId="9" fontId="8" fillId="4" borderId="5" xfId="2" applyNumberFormat="1" applyFont="1" applyAlignment="1">
      <alignment horizontal="center" vertical="center"/>
    </xf>
    <xf numFmtId="0" fontId="8" fillId="4" borderId="5" xfId="2" applyFont="1" applyAlignment="1">
      <alignment horizontal="center" vertical="center"/>
    </xf>
    <xf numFmtId="0" fontId="9" fillId="0" borderId="0" xfId="0" applyFont="1" applyAlignment="1">
      <alignment horizontal="left" vertical="center" indent="3"/>
    </xf>
    <xf numFmtId="0" fontId="6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0" applyFont="1" applyBorder="1"/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/>
    <xf numFmtId="0" fontId="11" fillId="0" borderId="9" xfId="0" applyFont="1" applyBorder="1" applyAlignment="1">
      <alignment horizontal="center" vertical="center"/>
    </xf>
    <xf numFmtId="0" fontId="16" fillId="6" borderId="0" xfId="3" applyFont="1" applyAlignment="1">
      <alignment horizontal="right"/>
    </xf>
    <xf numFmtId="10" fontId="16" fillId="6" borderId="0" xfId="3" applyNumberFormat="1" applyFont="1" applyAlignment="1">
      <alignment horizontal="center" vertical="center"/>
    </xf>
    <xf numFmtId="0" fontId="14" fillId="8" borderId="0" xfId="0" applyFont="1" applyFill="1"/>
    <xf numFmtId="0" fontId="13" fillId="7" borderId="1" xfId="4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2" borderId="1" xfId="1"/>
    <xf numFmtId="0" fontId="0" fillId="0" borderId="0" xfId="0" applyAlignment="1">
      <alignment vertical="center"/>
    </xf>
    <xf numFmtId="9" fontId="13" fillId="7" borderId="1" xfId="4" applyNumberFormat="1" applyAlignment="1">
      <alignment horizontal="center" vertical="center"/>
    </xf>
    <xf numFmtId="10" fontId="13" fillId="7" borderId="1" xfId="4" applyNumberFormat="1" applyAlignment="1">
      <alignment horizontal="center" vertical="center"/>
    </xf>
    <xf numFmtId="0" fontId="15" fillId="0" borderId="0" xfId="0" applyFont="1"/>
    <xf numFmtId="0" fontId="15" fillId="9" borderId="10" xfId="0" applyFont="1" applyFill="1" applyBorder="1" applyAlignment="1">
      <alignment horizontal="center" vertical="center"/>
    </xf>
    <xf numFmtId="0" fontId="18" fillId="2" borderId="1" xfId="1" applyFont="1" applyAlignment="1">
      <alignment horizontal="center" vertical="center"/>
    </xf>
    <xf numFmtId="0" fontId="8" fillId="4" borderId="5" xfId="2" applyFont="1" applyAlignment="1">
      <alignment horizontal="center" vertical="center"/>
    </xf>
    <xf numFmtId="0" fontId="4" fillId="2" borderId="1" xfId="1" applyFont="1" applyAlignment="1">
      <alignment horizont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4" fillId="2" borderId="1" xfId="1" applyFont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2" borderId="7" xfId="1" applyFont="1" applyBorder="1" applyAlignment="1">
      <alignment horizontal="center" vertical="center"/>
    </xf>
  </cellXfs>
  <cellStyles count="5">
    <cellStyle name="Calculation" xfId="4" builtinId="22"/>
    <cellStyle name="Input" xfId="1" builtinId="20"/>
    <cellStyle name="Neutral" xfId="3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6676137132343"/>
          <c:y val="0.11501737958430872"/>
          <c:w val="0.82992688800497871"/>
          <c:h val="0.77769017957994335"/>
        </c:manualLayout>
      </c:layout>
      <c:scatterChart>
        <c:scatterStyle val="lineMarker"/>
        <c:varyColors val="0"/>
        <c:ser>
          <c:idx val="0"/>
          <c:order val="0"/>
          <c:tx>
            <c:v>BCH16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'GMSel_ΔM (±)'!$I$39:$I$98</c:f>
              <c:strCache>
                <c:ptCount val="60"/>
                <c:pt idx="0">
                  <c:v>EQ1</c:v>
                </c:pt>
                <c:pt idx="1">
                  <c:v>EQ2</c:v>
                </c:pt>
                <c:pt idx="2">
                  <c:v>EQ3</c:v>
                </c:pt>
                <c:pt idx="3">
                  <c:v>EQ4</c:v>
                </c:pt>
                <c:pt idx="4">
                  <c:v>EQ5</c:v>
                </c:pt>
                <c:pt idx="5">
                  <c:v>EQ6</c:v>
                </c:pt>
                <c:pt idx="6">
                  <c:v>EQ7</c:v>
                </c:pt>
                <c:pt idx="7">
                  <c:v>EQ8</c:v>
                </c:pt>
                <c:pt idx="8">
                  <c:v>EQ9</c:v>
                </c:pt>
                <c:pt idx="9">
                  <c:v>EQ10</c:v>
                </c:pt>
                <c:pt idx="10">
                  <c:v>EQ11</c:v>
                </c:pt>
                <c:pt idx="11">
                  <c:v>EQ12</c:v>
                </c:pt>
                <c:pt idx="12">
                  <c:v>EQ13</c:v>
                </c:pt>
                <c:pt idx="13">
                  <c:v>EQ14</c:v>
                </c:pt>
                <c:pt idx="14">
                  <c:v>EQ15</c:v>
                </c:pt>
                <c:pt idx="15">
                  <c:v>EQ16</c:v>
                </c:pt>
                <c:pt idx="16">
                  <c:v>EQ17</c:v>
                </c:pt>
                <c:pt idx="17">
                  <c:v>EQ18</c:v>
                </c:pt>
                <c:pt idx="18">
                  <c:v>EQ19</c:v>
                </c:pt>
                <c:pt idx="19">
                  <c:v>EQ20</c:v>
                </c:pt>
                <c:pt idx="20">
                  <c:v>EQ21</c:v>
                </c:pt>
                <c:pt idx="21">
                  <c:v>EQ22</c:v>
                </c:pt>
                <c:pt idx="22">
                  <c:v>EQ23</c:v>
                </c:pt>
                <c:pt idx="23">
                  <c:v>EQ24</c:v>
                </c:pt>
                <c:pt idx="24">
                  <c:v>EQ25</c:v>
                </c:pt>
                <c:pt idx="25">
                  <c:v>EQ26</c:v>
                </c:pt>
                <c:pt idx="26">
                  <c:v>EQ27</c:v>
                </c:pt>
                <c:pt idx="27">
                  <c:v>EQ28</c:v>
                </c:pt>
                <c:pt idx="28">
                  <c:v>EQ29</c:v>
                </c:pt>
                <c:pt idx="29">
                  <c:v>EQ30</c:v>
                </c:pt>
                <c:pt idx="30">
                  <c:v>EQ31</c:v>
                </c:pt>
                <c:pt idx="31">
                  <c:v>EQ32</c:v>
                </c:pt>
                <c:pt idx="32">
                  <c:v>EQ33</c:v>
                </c:pt>
                <c:pt idx="33">
                  <c:v>EQ34</c:v>
                </c:pt>
                <c:pt idx="34">
                  <c:v>EQ35</c:v>
                </c:pt>
                <c:pt idx="35">
                  <c:v>EQ36</c:v>
                </c:pt>
                <c:pt idx="36">
                  <c:v>EQ37</c:v>
                </c:pt>
                <c:pt idx="37">
                  <c:v>EQ38</c:v>
                </c:pt>
                <c:pt idx="38">
                  <c:v>EQ39</c:v>
                </c:pt>
                <c:pt idx="39">
                  <c:v>EQ40</c:v>
                </c:pt>
                <c:pt idx="40">
                  <c:v>EQ41</c:v>
                </c:pt>
                <c:pt idx="41">
                  <c:v>EQ42</c:v>
                </c:pt>
                <c:pt idx="42">
                  <c:v>EQ43</c:v>
                </c:pt>
                <c:pt idx="43">
                  <c:v>EQ44</c:v>
                </c:pt>
                <c:pt idx="44">
                  <c:v>EQ45</c:v>
                </c:pt>
                <c:pt idx="45">
                  <c:v>EQ46</c:v>
                </c:pt>
                <c:pt idx="46">
                  <c:v>EQ47</c:v>
                </c:pt>
                <c:pt idx="47">
                  <c:v>EQ48</c:v>
                </c:pt>
                <c:pt idx="48">
                  <c:v>EQ49</c:v>
                </c:pt>
                <c:pt idx="49">
                  <c:v>EQ50</c:v>
                </c:pt>
                <c:pt idx="50">
                  <c:v>EQ51</c:v>
                </c:pt>
                <c:pt idx="51">
                  <c:v>EQ52</c:v>
                </c:pt>
                <c:pt idx="52">
                  <c:v>EQ53</c:v>
                </c:pt>
                <c:pt idx="53">
                  <c:v>EQ54</c:v>
                </c:pt>
                <c:pt idx="54">
                  <c:v>EQ55</c:v>
                </c:pt>
                <c:pt idx="55">
                  <c:v>EQ56</c:v>
                </c:pt>
                <c:pt idx="56">
                  <c:v>EQ57</c:v>
                </c:pt>
                <c:pt idx="57">
                  <c:v>EQ58</c:v>
                </c:pt>
                <c:pt idx="58">
                  <c:v>EQ59</c:v>
                </c:pt>
                <c:pt idx="59">
                  <c:v>EQ60</c:v>
                </c:pt>
              </c:strCache>
            </c:strRef>
          </c:xVal>
          <c:yVal>
            <c:numRef>
              <c:f>'GMSel_ΔM (±)'!$L$39:$L$98</c:f>
              <c:numCache>
                <c:formatCode>0%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0.31111111111111112</c:v>
                </c:pt>
                <c:pt idx="4">
                  <c:v>0.63492063492063489</c:v>
                </c:pt>
                <c:pt idx="5">
                  <c:v>0.61904761904761907</c:v>
                </c:pt>
                <c:pt idx="6">
                  <c:v>0.27777777777777779</c:v>
                </c:pt>
                <c:pt idx="7">
                  <c:v>0.27777777777777779</c:v>
                </c:pt>
                <c:pt idx="8">
                  <c:v>9.3333333333333338E-2</c:v>
                </c:pt>
                <c:pt idx="9">
                  <c:v>0.08</c:v>
                </c:pt>
                <c:pt idx="10">
                  <c:v>0.21590909090909091</c:v>
                </c:pt>
                <c:pt idx="11">
                  <c:v>0.375</c:v>
                </c:pt>
                <c:pt idx="12">
                  <c:v>0.26923076923076922</c:v>
                </c:pt>
                <c:pt idx="13">
                  <c:v>0.32051282051282054</c:v>
                </c:pt>
                <c:pt idx="14">
                  <c:v>0</c:v>
                </c:pt>
                <c:pt idx="15">
                  <c:v>3.3333333333333333E-2</c:v>
                </c:pt>
                <c:pt idx="16">
                  <c:v>0.37777777777777777</c:v>
                </c:pt>
                <c:pt idx="17">
                  <c:v>0.3888888888888889</c:v>
                </c:pt>
                <c:pt idx="18">
                  <c:v>0.43333333333333335</c:v>
                </c:pt>
                <c:pt idx="19">
                  <c:v>0.41111111111111109</c:v>
                </c:pt>
                <c:pt idx="20">
                  <c:v>0.66666666666666663</c:v>
                </c:pt>
                <c:pt idx="21">
                  <c:v>0.72222222222222221</c:v>
                </c:pt>
                <c:pt idx="22">
                  <c:v>0.27777777777777779</c:v>
                </c:pt>
                <c:pt idx="23">
                  <c:v>0.3</c:v>
                </c:pt>
                <c:pt idx="24">
                  <c:v>0.4777777777777778</c:v>
                </c:pt>
                <c:pt idx="25">
                  <c:v>0.66666666666666663</c:v>
                </c:pt>
                <c:pt idx="26">
                  <c:v>0.33333333333333331</c:v>
                </c:pt>
                <c:pt idx="27">
                  <c:v>0.35555555555555557</c:v>
                </c:pt>
                <c:pt idx="28">
                  <c:v>0.2890625</c:v>
                </c:pt>
                <c:pt idx="29">
                  <c:v>0.3203125</c:v>
                </c:pt>
                <c:pt idx="30">
                  <c:v>0.18888888888888888</c:v>
                </c:pt>
                <c:pt idx="31">
                  <c:v>0.18888888888888888</c:v>
                </c:pt>
                <c:pt idx="32">
                  <c:v>0.31111111111111112</c:v>
                </c:pt>
                <c:pt idx="33">
                  <c:v>0.32222222222222224</c:v>
                </c:pt>
                <c:pt idx="34">
                  <c:v>0.73394495412844041</c:v>
                </c:pt>
                <c:pt idx="35">
                  <c:v>0.30275229357798167</c:v>
                </c:pt>
                <c:pt idx="36">
                  <c:v>0.45</c:v>
                </c:pt>
                <c:pt idx="37">
                  <c:v>0.56666666666666665</c:v>
                </c:pt>
                <c:pt idx="38">
                  <c:v>0.53086419753086422</c:v>
                </c:pt>
                <c:pt idx="39">
                  <c:v>0.44444444444444442</c:v>
                </c:pt>
                <c:pt idx="40">
                  <c:v>0.61250000000000004</c:v>
                </c:pt>
                <c:pt idx="41">
                  <c:v>0.52500000000000002</c:v>
                </c:pt>
                <c:pt idx="42">
                  <c:v>0.54651162790697672</c:v>
                </c:pt>
                <c:pt idx="43">
                  <c:v>0.37209302325581395</c:v>
                </c:pt>
                <c:pt idx="44">
                  <c:v>0.5</c:v>
                </c:pt>
                <c:pt idx="45">
                  <c:v>0.4</c:v>
                </c:pt>
                <c:pt idx="46">
                  <c:v>0</c:v>
                </c:pt>
                <c:pt idx="47">
                  <c:v>6.8965517241379309E-2</c:v>
                </c:pt>
                <c:pt idx="48">
                  <c:v>0.10714285714285714</c:v>
                </c:pt>
                <c:pt idx="49">
                  <c:v>3.5714285714285712E-2</c:v>
                </c:pt>
                <c:pt idx="50">
                  <c:v>0.44897959183673469</c:v>
                </c:pt>
                <c:pt idx="51">
                  <c:v>0.59183673469387754</c:v>
                </c:pt>
                <c:pt idx="52">
                  <c:v>0.27272727272727271</c:v>
                </c:pt>
                <c:pt idx="53">
                  <c:v>0.21212121212121213</c:v>
                </c:pt>
                <c:pt idx="54">
                  <c:v>0.32500000000000001</c:v>
                </c:pt>
                <c:pt idx="55">
                  <c:v>0.22500000000000001</c:v>
                </c:pt>
                <c:pt idx="56">
                  <c:v>0.33333333333333331</c:v>
                </c:pt>
                <c:pt idx="57">
                  <c:v>0.5</c:v>
                </c:pt>
                <c:pt idx="58">
                  <c:v>0.1206896551724138</c:v>
                </c:pt>
                <c:pt idx="59">
                  <c:v>0.27586206896551724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D-41FF-B14B-99C1DEC83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227680"/>
        <c:axId val="6857130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CY14</c:v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'GMSel_ΔM (±)'!$O$39:$O$98</c15:sqref>
                        </c15:formulaRef>
                      </c:ext>
                    </c:extLst>
                    <c:strCache>
                      <c:ptCount val="60"/>
                      <c:pt idx="0">
                        <c:v>EQ1</c:v>
                      </c:pt>
                      <c:pt idx="1">
                        <c:v>EQ2</c:v>
                      </c:pt>
                      <c:pt idx="2">
                        <c:v>EQ3</c:v>
                      </c:pt>
                      <c:pt idx="3">
                        <c:v>EQ4</c:v>
                      </c:pt>
                      <c:pt idx="4">
                        <c:v>EQ5</c:v>
                      </c:pt>
                      <c:pt idx="5">
                        <c:v>EQ6</c:v>
                      </c:pt>
                      <c:pt idx="6">
                        <c:v>EQ7</c:v>
                      </c:pt>
                      <c:pt idx="7">
                        <c:v>EQ8</c:v>
                      </c:pt>
                      <c:pt idx="8">
                        <c:v>EQ9</c:v>
                      </c:pt>
                      <c:pt idx="9">
                        <c:v>EQ10</c:v>
                      </c:pt>
                      <c:pt idx="10">
                        <c:v>EQ11</c:v>
                      </c:pt>
                      <c:pt idx="11">
                        <c:v>EQ12</c:v>
                      </c:pt>
                      <c:pt idx="12">
                        <c:v>EQ13</c:v>
                      </c:pt>
                      <c:pt idx="13">
                        <c:v>EQ14</c:v>
                      </c:pt>
                      <c:pt idx="14">
                        <c:v>EQ15</c:v>
                      </c:pt>
                      <c:pt idx="15">
                        <c:v>EQ16</c:v>
                      </c:pt>
                      <c:pt idx="16">
                        <c:v>EQ17</c:v>
                      </c:pt>
                      <c:pt idx="17">
                        <c:v>EQ18</c:v>
                      </c:pt>
                      <c:pt idx="18">
                        <c:v>EQ19</c:v>
                      </c:pt>
                      <c:pt idx="19">
                        <c:v>EQ20</c:v>
                      </c:pt>
                      <c:pt idx="20">
                        <c:v>EQ21</c:v>
                      </c:pt>
                      <c:pt idx="21">
                        <c:v>EQ22</c:v>
                      </c:pt>
                      <c:pt idx="22">
                        <c:v>EQ23</c:v>
                      </c:pt>
                      <c:pt idx="23">
                        <c:v>EQ24</c:v>
                      </c:pt>
                      <c:pt idx="24">
                        <c:v>EQ25</c:v>
                      </c:pt>
                      <c:pt idx="25">
                        <c:v>EQ26</c:v>
                      </c:pt>
                      <c:pt idx="26">
                        <c:v>EQ27</c:v>
                      </c:pt>
                      <c:pt idx="27">
                        <c:v>EQ28</c:v>
                      </c:pt>
                      <c:pt idx="28">
                        <c:v>EQ29</c:v>
                      </c:pt>
                      <c:pt idx="29">
                        <c:v>EQ30</c:v>
                      </c:pt>
                      <c:pt idx="30">
                        <c:v>EQ31</c:v>
                      </c:pt>
                      <c:pt idx="31">
                        <c:v>EQ32</c:v>
                      </c:pt>
                      <c:pt idx="32">
                        <c:v>EQ33</c:v>
                      </c:pt>
                      <c:pt idx="33">
                        <c:v>EQ34</c:v>
                      </c:pt>
                      <c:pt idx="34">
                        <c:v>EQ35</c:v>
                      </c:pt>
                      <c:pt idx="35">
                        <c:v>EQ36</c:v>
                      </c:pt>
                      <c:pt idx="36">
                        <c:v>EQ37</c:v>
                      </c:pt>
                      <c:pt idx="37">
                        <c:v>EQ38</c:v>
                      </c:pt>
                      <c:pt idx="38">
                        <c:v>EQ39</c:v>
                      </c:pt>
                      <c:pt idx="39">
                        <c:v>EQ40</c:v>
                      </c:pt>
                      <c:pt idx="40">
                        <c:v>EQ41</c:v>
                      </c:pt>
                      <c:pt idx="41">
                        <c:v>EQ42</c:v>
                      </c:pt>
                      <c:pt idx="42">
                        <c:v>EQ43</c:v>
                      </c:pt>
                      <c:pt idx="43">
                        <c:v>EQ44</c:v>
                      </c:pt>
                      <c:pt idx="44">
                        <c:v>EQ45</c:v>
                      </c:pt>
                      <c:pt idx="45">
                        <c:v>EQ46</c:v>
                      </c:pt>
                      <c:pt idx="46">
                        <c:v>EQ47</c:v>
                      </c:pt>
                      <c:pt idx="47">
                        <c:v>EQ48</c:v>
                      </c:pt>
                      <c:pt idx="48">
                        <c:v>EQ49</c:v>
                      </c:pt>
                      <c:pt idx="49">
                        <c:v>EQ50</c:v>
                      </c:pt>
                      <c:pt idx="50">
                        <c:v>EQ51</c:v>
                      </c:pt>
                      <c:pt idx="51">
                        <c:v>EQ52</c:v>
                      </c:pt>
                      <c:pt idx="52">
                        <c:v>EQ53</c:v>
                      </c:pt>
                      <c:pt idx="53">
                        <c:v>EQ54</c:v>
                      </c:pt>
                      <c:pt idx="54">
                        <c:v>EQ55</c:v>
                      </c:pt>
                      <c:pt idx="55">
                        <c:v>EQ56</c:v>
                      </c:pt>
                      <c:pt idx="56">
                        <c:v>EQ57</c:v>
                      </c:pt>
                      <c:pt idx="57">
                        <c:v>EQ58</c:v>
                      </c:pt>
                      <c:pt idx="58">
                        <c:v>EQ59</c:v>
                      </c:pt>
                      <c:pt idx="59">
                        <c:v>EQ60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'GMSel_ΔM (±)'!$R$39:$R$98</c15:sqref>
                        </c15:formulaRef>
                      </c:ext>
                    </c:extLst>
                    <c:numCache>
                      <c:formatCode>0%</c:formatCode>
                      <c:ptCount val="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0.28409090909090912</c:v>
                      </c:pt>
                      <c:pt idx="3">
                        <c:v>0.28409090909090912</c:v>
                      </c:pt>
                      <c:pt idx="4">
                        <c:v>0.3</c:v>
                      </c:pt>
                      <c:pt idx="5">
                        <c:v>0.31111111111111112</c:v>
                      </c:pt>
                      <c:pt idx="6">
                        <c:v>0.63492063492063489</c:v>
                      </c:pt>
                      <c:pt idx="7">
                        <c:v>0.61904761904761907</c:v>
                      </c:pt>
                      <c:pt idx="8">
                        <c:v>9.3333333333333338E-2</c:v>
                      </c:pt>
                      <c:pt idx="9">
                        <c:v>0.08</c:v>
                      </c:pt>
                      <c:pt idx="10">
                        <c:v>0.21590909090909091</c:v>
                      </c:pt>
                      <c:pt idx="11">
                        <c:v>0.375</c:v>
                      </c:pt>
                      <c:pt idx="12">
                        <c:v>0.26923076923076922</c:v>
                      </c:pt>
                      <c:pt idx="13">
                        <c:v>0.32051282051282054</c:v>
                      </c:pt>
                      <c:pt idx="14">
                        <c:v>0.27966101694915252</c:v>
                      </c:pt>
                      <c:pt idx="15">
                        <c:v>0.3559322033898305</c:v>
                      </c:pt>
                      <c:pt idx="16">
                        <c:v>0.42222222222222222</c:v>
                      </c:pt>
                      <c:pt idx="17">
                        <c:v>0.42222222222222222</c:v>
                      </c:pt>
                      <c:pt idx="18">
                        <c:v>0.22222222222222221</c:v>
                      </c:pt>
                      <c:pt idx="19">
                        <c:v>0.31111111111111112</c:v>
                      </c:pt>
                      <c:pt idx="20">
                        <c:v>0</c:v>
                      </c:pt>
                      <c:pt idx="21">
                        <c:v>3.3333333333333333E-2</c:v>
                      </c:pt>
                      <c:pt idx="22">
                        <c:v>0.24444444444444444</c:v>
                      </c:pt>
                      <c:pt idx="23">
                        <c:v>0.28888888888888886</c:v>
                      </c:pt>
                      <c:pt idx="24">
                        <c:v>0.33333333333333331</c:v>
                      </c:pt>
                      <c:pt idx="25">
                        <c:v>0.37777777777777777</c:v>
                      </c:pt>
                      <c:pt idx="26">
                        <c:v>0.27777777777777779</c:v>
                      </c:pt>
                      <c:pt idx="27">
                        <c:v>0.3</c:v>
                      </c:pt>
                      <c:pt idx="28">
                        <c:v>0.32222222222222224</c:v>
                      </c:pt>
                      <c:pt idx="29">
                        <c:v>0.32222222222222224</c:v>
                      </c:pt>
                      <c:pt idx="30">
                        <c:v>0.4777777777777778</c:v>
                      </c:pt>
                      <c:pt idx="31">
                        <c:v>0.66666666666666663</c:v>
                      </c:pt>
                      <c:pt idx="32">
                        <c:v>0.24444444444444444</c:v>
                      </c:pt>
                      <c:pt idx="33">
                        <c:v>0.35555555555555557</c:v>
                      </c:pt>
                      <c:pt idx="34">
                        <c:v>0.33333333333333331</c:v>
                      </c:pt>
                      <c:pt idx="35">
                        <c:v>0.35555555555555557</c:v>
                      </c:pt>
                      <c:pt idx="36">
                        <c:v>0.2890625</c:v>
                      </c:pt>
                      <c:pt idx="37">
                        <c:v>0.3203125</c:v>
                      </c:pt>
                      <c:pt idx="38">
                        <c:v>0.18888888888888888</c:v>
                      </c:pt>
                      <c:pt idx="39">
                        <c:v>0.18888888888888888</c:v>
                      </c:pt>
                      <c:pt idx="40">
                        <c:v>0.31111111111111112</c:v>
                      </c:pt>
                      <c:pt idx="41">
                        <c:v>0.32222222222222224</c:v>
                      </c:pt>
                      <c:pt idx="42">
                        <c:v>0.45</c:v>
                      </c:pt>
                      <c:pt idx="43">
                        <c:v>0.56666666666666665</c:v>
                      </c:pt>
                      <c:pt idx="44">
                        <c:v>0.54651162790697672</c:v>
                      </c:pt>
                      <c:pt idx="45">
                        <c:v>0.37209302325581395</c:v>
                      </c:pt>
                      <c:pt idx="46">
                        <c:v>0.5</c:v>
                      </c:pt>
                      <c:pt idx="47">
                        <c:v>0.4</c:v>
                      </c:pt>
                      <c:pt idx="48">
                        <c:v>0</c:v>
                      </c:pt>
                      <c:pt idx="49">
                        <c:v>6.8965517241379309E-2</c:v>
                      </c:pt>
                      <c:pt idx="50">
                        <c:v>0.27272727272727271</c:v>
                      </c:pt>
                      <c:pt idx="51">
                        <c:v>0.21212121212121213</c:v>
                      </c:pt>
                      <c:pt idx="52">
                        <c:v>0.32500000000000001</c:v>
                      </c:pt>
                      <c:pt idx="53">
                        <c:v>0.22500000000000001</c:v>
                      </c:pt>
                      <c:pt idx="54">
                        <c:v>0.41666666666666669</c:v>
                      </c:pt>
                      <c:pt idx="55">
                        <c:v>0.36666666666666664</c:v>
                      </c:pt>
                      <c:pt idx="56">
                        <c:v>7.6923076923076927E-2</c:v>
                      </c:pt>
                      <c:pt idx="57">
                        <c:v>5.128205128205128E-2</c:v>
                      </c:pt>
                      <c:pt idx="58">
                        <c:v>0.1206896551724138</c:v>
                      </c:pt>
                      <c:pt idx="59">
                        <c:v>0.27586206896551724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D4D-41FF-B14B-99C1DEC83C8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ASK14</c:v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'GMSel_ΔM (±)'!$U$39:$U$98</c15:sqref>
                        </c15:formulaRef>
                      </c:ext>
                    </c:extLst>
                    <c:strCache>
                      <c:ptCount val="60"/>
                      <c:pt idx="0">
                        <c:v>EQ1</c:v>
                      </c:pt>
                      <c:pt idx="1">
                        <c:v>EQ2</c:v>
                      </c:pt>
                      <c:pt idx="2">
                        <c:v>EQ3</c:v>
                      </c:pt>
                      <c:pt idx="3">
                        <c:v>EQ4</c:v>
                      </c:pt>
                      <c:pt idx="4">
                        <c:v>EQ5</c:v>
                      </c:pt>
                      <c:pt idx="5">
                        <c:v>EQ6</c:v>
                      </c:pt>
                      <c:pt idx="6">
                        <c:v>EQ7</c:v>
                      </c:pt>
                      <c:pt idx="7">
                        <c:v>EQ8</c:v>
                      </c:pt>
                      <c:pt idx="8">
                        <c:v>EQ9</c:v>
                      </c:pt>
                      <c:pt idx="9">
                        <c:v>EQ10</c:v>
                      </c:pt>
                      <c:pt idx="10">
                        <c:v>EQ11</c:v>
                      </c:pt>
                      <c:pt idx="11">
                        <c:v>EQ12</c:v>
                      </c:pt>
                      <c:pt idx="12">
                        <c:v>EQ13</c:v>
                      </c:pt>
                      <c:pt idx="13">
                        <c:v>EQ14</c:v>
                      </c:pt>
                      <c:pt idx="14">
                        <c:v>EQ15</c:v>
                      </c:pt>
                      <c:pt idx="15">
                        <c:v>EQ16</c:v>
                      </c:pt>
                      <c:pt idx="16">
                        <c:v>EQ17</c:v>
                      </c:pt>
                      <c:pt idx="17">
                        <c:v>EQ18</c:v>
                      </c:pt>
                      <c:pt idx="18">
                        <c:v>EQ19</c:v>
                      </c:pt>
                      <c:pt idx="19">
                        <c:v>EQ20</c:v>
                      </c:pt>
                      <c:pt idx="20">
                        <c:v>EQ21</c:v>
                      </c:pt>
                      <c:pt idx="21">
                        <c:v>EQ22</c:v>
                      </c:pt>
                      <c:pt idx="22">
                        <c:v>EQ23</c:v>
                      </c:pt>
                      <c:pt idx="23">
                        <c:v>EQ24</c:v>
                      </c:pt>
                      <c:pt idx="24">
                        <c:v>EQ25</c:v>
                      </c:pt>
                      <c:pt idx="25">
                        <c:v>EQ26</c:v>
                      </c:pt>
                      <c:pt idx="26">
                        <c:v>EQ27</c:v>
                      </c:pt>
                      <c:pt idx="27">
                        <c:v>EQ28</c:v>
                      </c:pt>
                      <c:pt idx="28">
                        <c:v>EQ29</c:v>
                      </c:pt>
                      <c:pt idx="29">
                        <c:v>EQ30</c:v>
                      </c:pt>
                      <c:pt idx="30">
                        <c:v>EQ31</c:v>
                      </c:pt>
                      <c:pt idx="31">
                        <c:v>EQ32</c:v>
                      </c:pt>
                      <c:pt idx="32">
                        <c:v>EQ33</c:v>
                      </c:pt>
                      <c:pt idx="33">
                        <c:v>EQ34</c:v>
                      </c:pt>
                      <c:pt idx="34">
                        <c:v>EQ35</c:v>
                      </c:pt>
                      <c:pt idx="35">
                        <c:v>EQ36</c:v>
                      </c:pt>
                      <c:pt idx="36">
                        <c:v>EQ37</c:v>
                      </c:pt>
                      <c:pt idx="37">
                        <c:v>EQ38</c:v>
                      </c:pt>
                      <c:pt idx="38">
                        <c:v>EQ39</c:v>
                      </c:pt>
                      <c:pt idx="39">
                        <c:v>EQ40</c:v>
                      </c:pt>
                      <c:pt idx="40">
                        <c:v>EQ41</c:v>
                      </c:pt>
                      <c:pt idx="41">
                        <c:v>EQ42</c:v>
                      </c:pt>
                      <c:pt idx="42">
                        <c:v>EQ43</c:v>
                      </c:pt>
                      <c:pt idx="43">
                        <c:v>EQ44</c:v>
                      </c:pt>
                      <c:pt idx="44">
                        <c:v>EQ45</c:v>
                      </c:pt>
                      <c:pt idx="45">
                        <c:v>EQ46</c:v>
                      </c:pt>
                      <c:pt idx="46">
                        <c:v>EQ47</c:v>
                      </c:pt>
                      <c:pt idx="47">
                        <c:v>EQ48</c:v>
                      </c:pt>
                      <c:pt idx="48">
                        <c:v>EQ49</c:v>
                      </c:pt>
                      <c:pt idx="49">
                        <c:v>EQ50</c:v>
                      </c:pt>
                      <c:pt idx="50">
                        <c:v>EQ51</c:v>
                      </c:pt>
                      <c:pt idx="51">
                        <c:v>EQ52</c:v>
                      </c:pt>
                      <c:pt idx="52">
                        <c:v>EQ53</c:v>
                      </c:pt>
                      <c:pt idx="53">
                        <c:v>EQ54</c:v>
                      </c:pt>
                      <c:pt idx="54">
                        <c:v>EQ55</c:v>
                      </c:pt>
                      <c:pt idx="55">
                        <c:v>EQ56</c:v>
                      </c:pt>
                      <c:pt idx="56">
                        <c:v>EQ57</c:v>
                      </c:pt>
                      <c:pt idx="57">
                        <c:v>EQ58</c:v>
                      </c:pt>
                      <c:pt idx="58">
                        <c:v>EQ59</c:v>
                      </c:pt>
                      <c:pt idx="59">
                        <c:v>EQ60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'GMSel_ΔM (±)'!$X$39:$X$98</c15:sqref>
                        </c15:formulaRef>
                      </c:ext>
                    </c:extLst>
                    <c:numCache>
                      <c:formatCode>0%</c:formatCode>
                      <c:ptCount val="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0.28409090909090912</c:v>
                      </c:pt>
                      <c:pt idx="3">
                        <c:v>0.28409090909090912</c:v>
                      </c:pt>
                      <c:pt idx="4">
                        <c:v>9.3333333333333338E-2</c:v>
                      </c:pt>
                      <c:pt idx="5">
                        <c:v>0.08</c:v>
                      </c:pt>
                      <c:pt idx="6">
                        <c:v>0.21590909090909091</c:v>
                      </c:pt>
                      <c:pt idx="7">
                        <c:v>0.375</c:v>
                      </c:pt>
                      <c:pt idx="8">
                        <c:v>0.26923076923076922</c:v>
                      </c:pt>
                      <c:pt idx="9">
                        <c:v>0.32051282051282054</c:v>
                      </c:pt>
                      <c:pt idx="10">
                        <c:v>0.27966101694915252</c:v>
                      </c:pt>
                      <c:pt idx="11">
                        <c:v>0.3559322033898305</c:v>
                      </c:pt>
                      <c:pt idx="12">
                        <c:v>0.42222222222222222</c:v>
                      </c:pt>
                      <c:pt idx="13">
                        <c:v>0.42222222222222222</c:v>
                      </c:pt>
                      <c:pt idx="14">
                        <c:v>0.22222222222222221</c:v>
                      </c:pt>
                      <c:pt idx="15">
                        <c:v>0.31111111111111112</c:v>
                      </c:pt>
                      <c:pt idx="16">
                        <c:v>0</c:v>
                      </c:pt>
                      <c:pt idx="17">
                        <c:v>3.3333333333333333E-2</c:v>
                      </c:pt>
                      <c:pt idx="18">
                        <c:v>0.24444444444444444</c:v>
                      </c:pt>
                      <c:pt idx="19">
                        <c:v>0.28888888888888886</c:v>
                      </c:pt>
                      <c:pt idx="20">
                        <c:v>0.33333333333333331</c:v>
                      </c:pt>
                      <c:pt idx="21">
                        <c:v>0.37777777777777777</c:v>
                      </c:pt>
                      <c:pt idx="22">
                        <c:v>0.26666666666666666</c:v>
                      </c:pt>
                      <c:pt idx="23">
                        <c:v>0.32222222222222224</c:v>
                      </c:pt>
                      <c:pt idx="24">
                        <c:v>0.27777777777777779</c:v>
                      </c:pt>
                      <c:pt idx="25">
                        <c:v>0.3</c:v>
                      </c:pt>
                      <c:pt idx="26">
                        <c:v>0.32222222222222224</c:v>
                      </c:pt>
                      <c:pt idx="27">
                        <c:v>0.32222222222222224</c:v>
                      </c:pt>
                      <c:pt idx="28">
                        <c:v>0.4777777777777778</c:v>
                      </c:pt>
                      <c:pt idx="29">
                        <c:v>0.66666666666666663</c:v>
                      </c:pt>
                      <c:pt idx="30">
                        <c:v>0.24444444444444444</c:v>
                      </c:pt>
                      <c:pt idx="31">
                        <c:v>0.35555555555555557</c:v>
                      </c:pt>
                      <c:pt idx="32">
                        <c:v>0.33333333333333331</c:v>
                      </c:pt>
                      <c:pt idx="33">
                        <c:v>0.35555555555555557</c:v>
                      </c:pt>
                      <c:pt idx="34">
                        <c:v>0.2890625</c:v>
                      </c:pt>
                      <c:pt idx="35">
                        <c:v>0.3203125</c:v>
                      </c:pt>
                      <c:pt idx="36">
                        <c:v>0.18888888888888888</c:v>
                      </c:pt>
                      <c:pt idx="37">
                        <c:v>0.18888888888888888</c:v>
                      </c:pt>
                      <c:pt idx="38">
                        <c:v>0.31111111111111112</c:v>
                      </c:pt>
                      <c:pt idx="39">
                        <c:v>0.32222222222222224</c:v>
                      </c:pt>
                      <c:pt idx="40">
                        <c:v>0.5679012345679012</c:v>
                      </c:pt>
                      <c:pt idx="41">
                        <c:v>0.65432098765432101</c:v>
                      </c:pt>
                      <c:pt idx="42">
                        <c:v>0.74683544303797467</c:v>
                      </c:pt>
                      <c:pt idx="43">
                        <c:v>0.46835443037974683</c:v>
                      </c:pt>
                      <c:pt idx="44">
                        <c:v>0.54651162790697672</c:v>
                      </c:pt>
                      <c:pt idx="45">
                        <c:v>0.37209302325581395</c:v>
                      </c:pt>
                      <c:pt idx="46">
                        <c:v>0.5</c:v>
                      </c:pt>
                      <c:pt idx="47">
                        <c:v>0.4</c:v>
                      </c:pt>
                      <c:pt idx="48">
                        <c:v>0</c:v>
                      </c:pt>
                      <c:pt idx="49">
                        <c:v>6.8965517241379309E-2</c:v>
                      </c:pt>
                      <c:pt idx="50">
                        <c:v>0.27272727272727271</c:v>
                      </c:pt>
                      <c:pt idx="51">
                        <c:v>0.21212121212121213</c:v>
                      </c:pt>
                      <c:pt idx="52">
                        <c:v>0.32500000000000001</c:v>
                      </c:pt>
                      <c:pt idx="53">
                        <c:v>0.22500000000000001</c:v>
                      </c:pt>
                      <c:pt idx="54">
                        <c:v>0.41666666666666669</c:v>
                      </c:pt>
                      <c:pt idx="55">
                        <c:v>0.36666666666666664</c:v>
                      </c:pt>
                      <c:pt idx="56">
                        <c:v>7.6923076923076927E-2</c:v>
                      </c:pt>
                      <c:pt idx="57">
                        <c:v>5.128205128205128E-2</c:v>
                      </c:pt>
                      <c:pt idx="58">
                        <c:v>0.1206896551724138</c:v>
                      </c:pt>
                      <c:pt idx="59">
                        <c:v>0.27586206896551724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4D-41FF-B14B-99C1DEC83C8A}"/>
                  </c:ext>
                </c:extLst>
              </c15:ser>
            </c15:filteredScatterSeries>
          </c:ext>
        </c:extLst>
      </c:scatterChart>
      <c:valAx>
        <c:axId val="8902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EQID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13072"/>
        <c:crosses val="autoZero"/>
        <c:crossBetween val="midCat"/>
      </c:valAx>
      <c:valAx>
        <c:axId val="6857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22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BCH16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BeforeTrim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'GMSel_ΔM (±)'!$I$39:$I$98</c:f>
              <c:strCache>
                <c:ptCount val="60"/>
                <c:pt idx="0">
                  <c:v>EQ1</c:v>
                </c:pt>
                <c:pt idx="1">
                  <c:v>EQ2</c:v>
                </c:pt>
                <c:pt idx="2">
                  <c:v>EQ3</c:v>
                </c:pt>
                <c:pt idx="3">
                  <c:v>EQ4</c:v>
                </c:pt>
                <c:pt idx="4">
                  <c:v>EQ5</c:v>
                </c:pt>
                <c:pt idx="5">
                  <c:v>EQ6</c:v>
                </c:pt>
                <c:pt idx="6">
                  <c:v>EQ7</c:v>
                </c:pt>
                <c:pt idx="7">
                  <c:v>EQ8</c:v>
                </c:pt>
                <c:pt idx="8">
                  <c:v>EQ9</c:v>
                </c:pt>
                <c:pt idx="9">
                  <c:v>EQ10</c:v>
                </c:pt>
                <c:pt idx="10">
                  <c:v>EQ11</c:v>
                </c:pt>
                <c:pt idx="11">
                  <c:v>EQ12</c:v>
                </c:pt>
                <c:pt idx="12">
                  <c:v>EQ13</c:v>
                </c:pt>
                <c:pt idx="13">
                  <c:v>EQ14</c:v>
                </c:pt>
                <c:pt idx="14">
                  <c:v>EQ15</c:v>
                </c:pt>
                <c:pt idx="15">
                  <c:v>EQ16</c:v>
                </c:pt>
                <c:pt idx="16">
                  <c:v>EQ17</c:v>
                </c:pt>
                <c:pt idx="17">
                  <c:v>EQ18</c:v>
                </c:pt>
                <c:pt idx="18">
                  <c:v>EQ19</c:v>
                </c:pt>
                <c:pt idx="19">
                  <c:v>EQ20</c:v>
                </c:pt>
                <c:pt idx="20">
                  <c:v>EQ21</c:v>
                </c:pt>
                <c:pt idx="21">
                  <c:v>EQ22</c:v>
                </c:pt>
                <c:pt idx="22">
                  <c:v>EQ23</c:v>
                </c:pt>
                <c:pt idx="23">
                  <c:v>EQ24</c:v>
                </c:pt>
                <c:pt idx="24">
                  <c:v>EQ25</c:v>
                </c:pt>
                <c:pt idx="25">
                  <c:v>EQ26</c:v>
                </c:pt>
                <c:pt idx="26">
                  <c:v>EQ27</c:v>
                </c:pt>
                <c:pt idx="27">
                  <c:v>EQ28</c:v>
                </c:pt>
                <c:pt idx="28">
                  <c:v>EQ29</c:v>
                </c:pt>
                <c:pt idx="29">
                  <c:v>EQ30</c:v>
                </c:pt>
                <c:pt idx="30">
                  <c:v>EQ31</c:v>
                </c:pt>
                <c:pt idx="31">
                  <c:v>EQ32</c:v>
                </c:pt>
                <c:pt idx="32">
                  <c:v>EQ33</c:v>
                </c:pt>
                <c:pt idx="33">
                  <c:v>EQ34</c:v>
                </c:pt>
                <c:pt idx="34">
                  <c:v>EQ35</c:v>
                </c:pt>
                <c:pt idx="35">
                  <c:v>EQ36</c:v>
                </c:pt>
                <c:pt idx="36">
                  <c:v>EQ37</c:v>
                </c:pt>
                <c:pt idx="37">
                  <c:v>EQ38</c:v>
                </c:pt>
                <c:pt idx="38">
                  <c:v>EQ39</c:v>
                </c:pt>
                <c:pt idx="39">
                  <c:v>EQ40</c:v>
                </c:pt>
                <c:pt idx="40">
                  <c:v>EQ41</c:v>
                </c:pt>
                <c:pt idx="41">
                  <c:v>EQ42</c:v>
                </c:pt>
                <c:pt idx="42">
                  <c:v>EQ43</c:v>
                </c:pt>
                <c:pt idx="43">
                  <c:v>EQ44</c:v>
                </c:pt>
                <c:pt idx="44">
                  <c:v>EQ45</c:v>
                </c:pt>
                <c:pt idx="45">
                  <c:v>EQ46</c:v>
                </c:pt>
                <c:pt idx="46">
                  <c:v>EQ47</c:v>
                </c:pt>
                <c:pt idx="47">
                  <c:v>EQ48</c:v>
                </c:pt>
                <c:pt idx="48">
                  <c:v>EQ49</c:v>
                </c:pt>
                <c:pt idx="49">
                  <c:v>EQ50</c:v>
                </c:pt>
                <c:pt idx="50">
                  <c:v>EQ51</c:v>
                </c:pt>
                <c:pt idx="51">
                  <c:v>EQ52</c:v>
                </c:pt>
                <c:pt idx="52">
                  <c:v>EQ53</c:v>
                </c:pt>
                <c:pt idx="53">
                  <c:v>EQ54</c:v>
                </c:pt>
                <c:pt idx="54">
                  <c:v>EQ55</c:v>
                </c:pt>
                <c:pt idx="55">
                  <c:v>EQ56</c:v>
                </c:pt>
                <c:pt idx="56">
                  <c:v>EQ57</c:v>
                </c:pt>
                <c:pt idx="57">
                  <c:v>EQ58</c:v>
                </c:pt>
                <c:pt idx="58">
                  <c:v>EQ59</c:v>
                </c:pt>
                <c:pt idx="59">
                  <c:v>EQ60</c:v>
                </c:pt>
              </c:strCache>
            </c:strRef>
          </c:xVal>
          <c:yVal>
            <c:numRef>
              <c:f>'GMSel_ΔM (±)'!$J$39:$J$98</c:f>
              <c:numCache>
                <c:formatCode>General</c:formatCode>
                <c:ptCount val="60"/>
                <c:pt idx="0">
                  <c:v>30</c:v>
                </c:pt>
                <c:pt idx="1">
                  <c:v>30</c:v>
                </c:pt>
                <c:pt idx="2">
                  <c:v>90</c:v>
                </c:pt>
                <c:pt idx="3">
                  <c:v>90</c:v>
                </c:pt>
                <c:pt idx="4">
                  <c:v>126</c:v>
                </c:pt>
                <c:pt idx="5">
                  <c:v>126</c:v>
                </c:pt>
                <c:pt idx="6">
                  <c:v>90</c:v>
                </c:pt>
                <c:pt idx="7">
                  <c:v>90</c:v>
                </c:pt>
                <c:pt idx="8">
                  <c:v>75</c:v>
                </c:pt>
                <c:pt idx="9">
                  <c:v>75</c:v>
                </c:pt>
                <c:pt idx="10">
                  <c:v>88</c:v>
                </c:pt>
                <c:pt idx="11">
                  <c:v>88</c:v>
                </c:pt>
                <c:pt idx="12">
                  <c:v>78</c:v>
                </c:pt>
                <c:pt idx="13">
                  <c:v>78</c:v>
                </c:pt>
                <c:pt idx="14">
                  <c:v>30</c:v>
                </c:pt>
                <c:pt idx="15">
                  <c:v>30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128</c:v>
                </c:pt>
                <c:pt idx="29">
                  <c:v>128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109</c:v>
                </c:pt>
                <c:pt idx="35">
                  <c:v>109</c:v>
                </c:pt>
                <c:pt idx="36">
                  <c:v>60</c:v>
                </c:pt>
                <c:pt idx="37">
                  <c:v>60</c:v>
                </c:pt>
                <c:pt idx="38">
                  <c:v>81</c:v>
                </c:pt>
                <c:pt idx="39">
                  <c:v>81</c:v>
                </c:pt>
                <c:pt idx="40">
                  <c:v>80</c:v>
                </c:pt>
                <c:pt idx="41">
                  <c:v>80</c:v>
                </c:pt>
                <c:pt idx="42">
                  <c:v>86</c:v>
                </c:pt>
                <c:pt idx="43">
                  <c:v>86</c:v>
                </c:pt>
                <c:pt idx="44">
                  <c:v>70</c:v>
                </c:pt>
                <c:pt idx="45">
                  <c:v>70</c:v>
                </c:pt>
                <c:pt idx="46">
                  <c:v>29</c:v>
                </c:pt>
                <c:pt idx="47">
                  <c:v>29</c:v>
                </c:pt>
                <c:pt idx="48">
                  <c:v>28</c:v>
                </c:pt>
                <c:pt idx="49">
                  <c:v>28</c:v>
                </c:pt>
                <c:pt idx="50">
                  <c:v>98</c:v>
                </c:pt>
                <c:pt idx="51">
                  <c:v>98</c:v>
                </c:pt>
                <c:pt idx="52">
                  <c:v>66</c:v>
                </c:pt>
                <c:pt idx="53">
                  <c:v>66</c:v>
                </c:pt>
                <c:pt idx="54">
                  <c:v>120</c:v>
                </c:pt>
                <c:pt idx="55">
                  <c:v>120</c:v>
                </c:pt>
                <c:pt idx="56">
                  <c:v>60</c:v>
                </c:pt>
                <c:pt idx="57">
                  <c:v>60</c:v>
                </c:pt>
                <c:pt idx="58">
                  <c:v>58</c:v>
                </c:pt>
                <c:pt idx="59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F-4B1B-A4BE-826E7215310A}"/>
            </c:ext>
          </c:extLst>
        </c:ser>
        <c:ser>
          <c:idx val="1"/>
          <c:order val="1"/>
          <c:tx>
            <c:v>AfterTrim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'GMSel_ΔM (±)'!$I$39:$I$98</c:f>
              <c:strCache>
                <c:ptCount val="60"/>
                <c:pt idx="0">
                  <c:v>EQ1</c:v>
                </c:pt>
                <c:pt idx="1">
                  <c:v>EQ2</c:v>
                </c:pt>
                <c:pt idx="2">
                  <c:v>EQ3</c:v>
                </c:pt>
                <c:pt idx="3">
                  <c:v>EQ4</c:v>
                </c:pt>
                <c:pt idx="4">
                  <c:v>EQ5</c:v>
                </c:pt>
                <c:pt idx="5">
                  <c:v>EQ6</c:v>
                </c:pt>
                <c:pt idx="6">
                  <c:v>EQ7</c:v>
                </c:pt>
                <c:pt idx="7">
                  <c:v>EQ8</c:v>
                </c:pt>
                <c:pt idx="8">
                  <c:v>EQ9</c:v>
                </c:pt>
                <c:pt idx="9">
                  <c:v>EQ10</c:v>
                </c:pt>
                <c:pt idx="10">
                  <c:v>EQ11</c:v>
                </c:pt>
                <c:pt idx="11">
                  <c:v>EQ12</c:v>
                </c:pt>
                <c:pt idx="12">
                  <c:v>EQ13</c:v>
                </c:pt>
                <c:pt idx="13">
                  <c:v>EQ14</c:v>
                </c:pt>
                <c:pt idx="14">
                  <c:v>EQ15</c:v>
                </c:pt>
                <c:pt idx="15">
                  <c:v>EQ16</c:v>
                </c:pt>
                <c:pt idx="16">
                  <c:v>EQ17</c:v>
                </c:pt>
                <c:pt idx="17">
                  <c:v>EQ18</c:v>
                </c:pt>
                <c:pt idx="18">
                  <c:v>EQ19</c:v>
                </c:pt>
                <c:pt idx="19">
                  <c:v>EQ20</c:v>
                </c:pt>
                <c:pt idx="20">
                  <c:v>EQ21</c:v>
                </c:pt>
                <c:pt idx="21">
                  <c:v>EQ22</c:v>
                </c:pt>
                <c:pt idx="22">
                  <c:v>EQ23</c:v>
                </c:pt>
                <c:pt idx="23">
                  <c:v>EQ24</c:v>
                </c:pt>
                <c:pt idx="24">
                  <c:v>EQ25</c:v>
                </c:pt>
                <c:pt idx="25">
                  <c:v>EQ26</c:v>
                </c:pt>
                <c:pt idx="26">
                  <c:v>EQ27</c:v>
                </c:pt>
                <c:pt idx="27">
                  <c:v>EQ28</c:v>
                </c:pt>
                <c:pt idx="28">
                  <c:v>EQ29</c:v>
                </c:pt>
                <c:pt idx="29">
                  <c:v>EQ30</c:v>
                </c:pt>
                <c:pt idx="30">
                  <c:v>EQ31</c:v>
                </c:pt>
                <c:pt idx="31">
                  <c:v>EQ32</c:v>
                </c:pt>
                <c:pt idx="32">
                  <c:v>EQ33</c:v>
                </c:pt>
                <c:pt idx="33">
                  <c:v>EQ34</c:v>
                </c:pt>
                <c:pt idx="34">
                  <c:v>EQ35</c:v>
                </c:pt>
                <c:pt idx="35">
                  <c:v>EQ36</c:v>
                </c:pt>
                <c:pt idx="36">
                  <c:v>EQ37</c:v>
                </c:pt>
                <c:pt idx="37">
                  <c:v>EQ38</c:v>
                </c:pt>
                <c:pt idx="38">
                  <c:v>EQ39</c:v>
                </c:pt>
                <c:pt idx="39">
                  <c:v>EQ40</c:v>
                </c:pt>
                <c:pt idx="40">
                  <c:v>EQ41</c:v>
                </c:pt>
                <c:pt idx="41">
                  <c:v>EQ42</c:v>
                </c:pt>
                <c:pt idx="42">
                  <c:v>EQ43</c:v>
                </c:pt>
                <c:pt idx="43">
                  <c:v>EQ44</c:v>
                </c:pt>
                <c:pt idx="44">
                  <c:v>EQ45</c:v>
                </c:pt>
                <c:pt idx="45">
                  <c:v>EQ46</c:v>
                </c:pt>
                <c:pt idx="46">
                  <c:v>EQ47</c:v>
                </c:pt>
                <c:pt idx="47">
                  <c:v>EQ48</c:v>
                </c:pt>
                <c:pt idx="48">
                  <c:v>EQ49</c:v>
                </c:pt>
                <c:pt idx="49">
                  <c:v>EQ50</c:v>
                </c:pt>
                <c:pt idx="50">
                  <c:v>EQ51</c:v>
                </c:pt>
                <c:pt idx="51">
                  <c:v>EQ52</c:v>
                </c:pt>
                <c:pt idx="52">
                  <c:v>EQ53</c:v>
                </c:pt>
                <c:pt idx="53">
                  <c:v>EQ54</c:v>
                </c:pt>
                <c:pt idx="54">
                  <c:v>EQ55</c:v>
                </c:pt>
                <c:pt idx="55">
                  <c:v>EQ56</c:v>
                </c:pt>
                <c:pt idx="56">
                  <c:v>EQ57</c:v>
                </c:pt>
                <c:pt idx="57">
                  <c:v>EQ58</c:v>
                </c:pt>
                <c:pt idx="58">
                  <c:v>EQ59</c:v>
                </c:pt>
                <c:pt idx="59">
                  <c:v>EQ60</c:v>
                </c:pt>
              </c:strCache>
            </c:strRef>
          </c:xVal>
          <c:yVal>
            <c:numRef>
              <c:f>'GMSel_ΔM (±)'!$K$39:$K$98</c:f>
              <c:numCache>
                <c:formatCode>General</c:formatCode>
                <c:ptCount val="60"/>
                <c:pt idx="0">
                  <c:v>30</c:v>
                </c:pt>
                <c:pt idx="1">
                  <c:v>30</c:v>
                </c:pt>
                <c:pt idx="2">
                  <c:v>63</c:v>
                </c:pt>
                <c:pt idx="3">
                  <c:v>62</c:v>
                </c:pt>
                <c:pt idx="4">
                  <c:v>46</c:v>
                </c:pt>
                <c:pt idx="5">
                  <c:v>48</c:v>
                </c:pt>
                <c:pt idx="6">
                  <c:v>65</c:v>
                </c:pt>
                <c:pt idx="7">
                  <c:v>65</c:v>
                </c:pt>
                <c:pt idx="8">
                  <c:v>68</c:v>
                </c:pt>
                <c:pt idx="9">
                  <c:v>69</c:v>
                </c:pt>
                <c:pt idx="10">
                  <c:v>69</c:v>
                </c:pt>
                <c:pt idx="11">
                  <c:v>55</c:v>
                </c:pt>
                <c:pt idx="12">
                  <c:v>57</c:v>
                </c:pt>
                <c:pt idx="13">
                  <c:v>53</c:v>
                </c:pt>
                <c:pt idx="14">
                  <c:v>30</c:v>
                </c:pt>
                <c:pt idx="15">
                  <c:v>29</c:v>
                </c:pt>
                <c:pt idx="16">
                  <c:v>56</c:v>
                </c:pt>
                <c:pt idx="17">
                  <c:v>55</c:v>
                </c:pt>
                <c:pt idx="18">
                  <c:v>51</c:v>
                </c:pt>
                <c:pt idx="19">
                  <c:v>53</c:v>
                </c:pt>
                <c:pt idx="20">
                  <c:v>30</c:v>
                </c:pt>
                <c:pt idx="21">
                  <c:v>25</c:v>
                </c:pt>
                <c:pt idx="22">
                  <c:v>65</c:v>
                </c:pt>
                <c:pt idx="23">
                  <c:v>63</c:v>
                </c:pt>
                <c:pt idx="24">
                  <c:v>47</c:v>
                </c:pt>
                <c:pt idx="25">
                  <c:v>30</c:v>
                </c:pt>
                <c:pt idx="26">
                  <c:v>60</c:v>
                </c:pt>
                <c:pt idx="27">
                  <c:v>58</c:v>
                </c:pt>
                <c:pt idx="28">
                  <c:v>91</c:v>
                </c:pt>
                <c:pt idx="29">
                  <c:v>87</c:v>
                </c:pt>
                <c:pt idx="30">
                  <c:v>73</c:v>
                </c:pt>
                <c:pt idx="31">
                  <c:v>73</c:v>
                </c:pt>
                <c:pt idx="32">
                  <c:v>62</c:v>
                </c:pt>
                <c:pt idx="33">
                  <c:v>61</c:v>
                </c:pt>
                <c:pt idx="34">
                  <c:v>29</c:v>
                </c:pt>
                <c:pt idx="35">
                  <c:v>76</c:v>
                </c:pt>
                <c:pt idx="36">
                  <c:v>33</c:v>
                </c:pt>
                <c:pt idx="37">
                  <c:v>26</c:v>
                </c:pt>
                <c:pt idx="38">
                  <c:v>38</c:v>
                </c:pt>
                <c:pt idx="39">
                  <c:v>45</c:v>
                </c:pt>
                <c:pt idx="40">
                  <c:v>31</c:v>
                </c:pt>
                <c:pt idx="41">
                  <c:v>38</c:v>
                </c:pt>
                <c:pt idx="42">
                  <c:v>39</c:v>
                </c:pt>
                <c:pt idx="43">
                  <c:v>54</c:v>
                </c:pt>
                <c:pt idx="44">
                  <c:v>35</c:v>
                </c:pt>
                <c:pt idx="45">
                  <c:v>42</c:v>
                </c:pt>
                <c:pt idx="46">
                  <c:v>29</c:v>
                </c:pt>
                <c:pt idx="47">
                  <c:v>27</c:v>
                </c:pt>
                <c:pt idx="48">
                  <c:v>25</c:v>
                </c:pt>
                <c:pt idx="49">
                  <c:v>27</c:v>
                </c:pt>
                <c:pt idx="50">
                  <c:v>54</c:v>
                </c:pt>
                <c:pt idx="51">
                  <c:v>40</c:v>
                </c:pt>
                <c:pt idx="52">
                  <c:v>48</c:v>
                </c:pt>
                <c:pt idx="53">
                  <c:v>52</c:v>
                </c:pt>
                <c:pt idx="54">
                  <c:v>81</c:v>
                </c:pt>
                <c:pt idx="55">
                  <c:v>93</c:v>
                </c:pt>
                <c:pt idx="56">
                  <c:v>40</c:v>
                </c:pt>
                <c:pt idx="57">
                  <c:v>30</c:v>
                </c:pt>
                <c:pt idx="58">
                  <c:v>51</c:v>
                </c:pt>
                <c:pt idx="5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DF-4B1B-A4BE-826E72153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572335"/>
        <c:axId val="1264464591"/>
      </c:scatterChart>
      <c:valAx>
        <c:axId val="134557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</a:rPr>
                  <a:t>EQID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64591"/>
        <c:crosses val="autoZero"/>
        <c:crossBetween val="midCat"/>
      </c:valAx>
      <c:valAx>
        <c:axId val="12644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</a:rPr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72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CY14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BeforeTrim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'GMSel_ΔM (±)'!$O$39:$O$98</c:f>
              <c:strCache>
                <c:ptCount val="60"/>
                <c:pt idx="0">
                  <c:v>EQ1</c:v>
                </c:pt>
                <c:pt idx="1">
                  <c:v>EQ2</c:v>
                </c:pt>
                <c:pt idx="2">
                  <c:v>EQ3</c:v>
                </c:pt>
                <c:pt idx="3">
                  <c:v>EQ4</c:v>
                </c:pt>
                <c:pt idx="4">
                  <c:v>EQ5</c:v>
                </c:pt>
                <c:pt idx="5">
                  <c:v>EQ6</c:v>
                </c:pt>
                <c:pt idx="6">
                  <c:v>EQ7</c:v>
                </c:pt>
                <c:pt idx="7">
                  <c:v>EQ8</c:v>
                </c:pt>
                <c:pt idx="8">
                  <c:v>EQ9</c:v>
                </c:pt>
                <c:pt idx="9">
                  <c:v>EQ10</c:v>
                </c:pt>
                <c:pt idx="10">
                  <c:v>EQ11</c:v>
                </c:pt>
                <c:pt idx="11">
                  <c:v>EQ12</c:v>
                </c:pt>
                <c:pt idx="12">
                  <c:v>EQ13</c:v>
                </c:pt>
                <c:pt idx="13">
                  <c:v>EQ14</c:v>
                </c:pt>
                <c:pt idx="14">
                  <c:v>EQ15</c:v>
                </c:pt>
                <c:pt idx="15">
                  <c:v>EQ16</c:v>
                </c:pt>
                <c:pt idx="16">
                  <c:v>EQ17</c:v>
                </c:pt>
                <c:pt idx="17">
                  <c:v>EQ18</c:v>
                </c:pt>
                <c:pt idx="18">
                  <c:v>EQ19</c:v>
                </c:pt>
                <c:pt idx="19">
                  <c:v>EQ20</c:v>
                </c:pt>
                <c:pt idx="20">
                  <c:v>EQ21</c:v>
                </c:pt>
                <c:pt idx="21">
                  <c:v>EQ22</c:v>
                </c:pt>
                <c:pt idx="22">
                  <c:v>EQ23</c:v>
                </c:pt>
                <c:pt idx="23">
                  <c:v>EQ24</c:v>
                </c:pt>
                <c:pt idx="24">
                  <c:v>EQ25</c:v>
                </c:pt>
                <c:pt idx="25">
                  <c:v>EQ26</c:v>
                </c:pt>
                <c:pt idx="26">
                  <c:v>EQ27</c:v>
                </c:pt>
                <c:pt idx="27">
                  <c:v>EQ28</c:v>
                </c:pt>
                <c:pt idx="28">
                  <c:v>EQ29</c:v>
                </c:pt>
                <c:pt idx="29">
                  <c:v>EQ30</c:v>
                </c:pt>
                <c:pt idx="30">
                  <c:v>EQ31</c:v>
                </c:pt>
                <c:pt idx="31">
                  <c:v>EQ32</c:v>
                </c:pt>
                <c:pt idx="32">
                  <c:v>EQ33</c:v>
                </c:pt>
                <c:pt idx="33">
                  <c:v>EQ34</c:v>
                </c:pt>
                <c:pt idx="34">
                  <c:v>EQ35</c:v>
                </c:pt>
                <c:pt idx="35">
                  <c:v>EQ36</c:v>
                </c:pt>
                <c:pt idx="36">
                  <c:v>EQ37</c:v>
                </c:pt>
                <c:pt idx="37">
                  <c:v>EQ38</c:v>
                </c:pt>
                <c:pt idx="38">
                  <c:v>EQ39</c:v>
                </c:pt>
                <c:pt idx="39">
                  <c:v>EQ40</c:v>
                </c:pt>
                <c:pt idx="40">
                  <c:v>EQ41</c:v>
                </c:pt>
                <c:pt idx="41">
                  <c:v>EQ42</c:v>
                </c:pt>
                <c:pt idx="42">
                  <c:v>EQ43</c:v>
                </c:pt>
                <c:pt idx="43">
                  <c:v>EQ44</c:v>
                </c:pt>
                <c:pt idx="44">
                  <c:v>EQ45</c:v>
                </c:pt>
                <c:pt idx="45">
                  <c:v>EQ46</c:v>
                </c:pt>
                <c:pt idx="46">
                  <c:v>EQ47</c:v>
                </c:pt>
                <c:pt idx="47">
                  <c:v>EQ48</c:v>
                </c:pt>
                <c:pt idx="48">
                  <c:v>EQ49</c:v>
                </c:pt>
                <c:pt idx="49">
                  <c:v>EQ50</c:v>
                </c:pt>
                <c:pt idx="50">
                  <c:v>EQ51</c:v>
                </c:pt>
                <c:pt idx="51">
                  <c:v>EQ52</c:v>
                </c:pt>
                <c:pt idx="52">
                  <c:v>EQ53</c:v>
                </c:pt>
                <c:pt idx="53">
                  <c:v>EQ54</c:v>
                </c:pt>
                <c:pt idx="54">
                  <c:v>EQ55</c:v>
                </c:pt>
                <c:pt idx="55">
                  <c:v>EQ56</c:v>
                </c:pt>
                <c:pt idx="56">
                  <c:v>EQ57</c:v>
                </c:pt>
                <c:pt idx="57">
                  <c:v>EQ58</c:v>
                </c:pt>
                <c:pt idx="58">
                  <c:v>EQ59</c:v>
                </c:pt>
                <c:pt idx="59">
                  <c:v>EQ60</c:v>
                </c:pt>
              </c:strCache>
            </c:strRef>
          </c:xVal>
          <c:yVal>
            <c:numRef>
              <c:f>'GMSel_ΔM (±)'!$P$39:$P$98</c:f>
              <c:numCache>
                <c:formatCode>General</c:formatCode>
                <c:ptCount val="60"/>
                <c:pt idx="0">
                  <c:v>30</c:v>
                </c:pt>
                <c:pt idx="1">
                  <c:v>30</c:v>
                </c:pt>
                <c:pt idx="2">
                  <c:v>88</c:v>
                </c:pt>
                <c:pt idx="3">
                  <c:v>88</c:v>
                </c:pt>
                <c:pt idx="4">
                  <c:v>90</c:v>
                </c:pt>
                <c:pt idx="5">
                  <c:v>90</c:v>
                </c:pt>
                <c:pt idx="6">
                  <c:v>126</c:v>
                </c:pt>
                <c:pt idx="7">
                  <c:v>126</c:v>
                </c:pt>
                <c:pt idx="8">
                  <c:v>75</c:v>
                </c:pt>
                <c:pt idx="9">
                  <c:v>75</c:v>
                </c:pt>
                <c:pt idx="10">
                  <c:v>88</c:v>
                </c:pt>
                <c:pt idx="11">
                  <c:v>88</c:v>
                </c:pt>
                <c:pt idx="12">
                  <c:v>78</c:v>
                </c:pt>
                <c:pt idx="13">
                  <c:v>78</c:v>
                </c:pt>
                <c:pt idx="14">
                  <c:v>118</c:v>
                </c:pt>
                <c:pt idx="15">
                  <c:v>118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30</c:v>
                </c:pt>
                <c:pt idx="21">
                  <c:v>30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128</c:v>
                </c:pt>
                <c:pt idx="37">
                  <c:v>128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60</c:v>
                </c:pt>
                <c:pt idx="43">
                  <c:v>60</c:v>
                </c:pt>
                <c:pt idx="44">
                  <c:v>86</c:v>
                </c:pt>
                <c:pt idx="45">
                  <c:v>86</c:v>
                </c:pt>
                <c:pt idx="46">
                  <c:v>70</c:v>
                </c:pt>
                <c:pt idx="47">
                  <c:v>70</c:v>
                </c:pt>
                <c:pt idx="48">
                  <c:v>29</c:v>
                </c:pt>
                <c:pt idx="49">
                  <c:v>29</c:v>
                </c:pt>
                <c:pt idx="50">
                  <c:v>66</c:v>
                </c:pt>
                <c:pt idx="51">
                  <c:v>66</c:v>
                </c:pt>
                <c:pt idx="52">
                  <c:v>120</c:v>
                </c:pt>
                <c:pt idx="53">
                  <c:v>120</c:v>
                </c:pt>
                <c:pt idx="54">
                  <c:v>60</c:v>
                </c:pt>
                <c:pt idx="55">
                  <c:v>60</c:v>
                </c:pt>
                <c:pt idx="56">
                  <c:v>39</c:v>
                </c:pt>
                <c:pt idx="57">
                  <c:v>39</c:v>
                </c:pt>
                <c:pt idx="58">
                  <c:v>58</c:v>
                </c:pt>
                <c:pt idx="59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3-4BBC-9F70-33F2401C9274}"/>
            </c:ext>
          </c:extLst>
        </c:ser>
        <c:ser>
          <c:idx val="1"/>
          <c:order val="1"/>
          <c:tx>
            <c:v>AfterTrim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'GMSel_ΔM (±)'!$O$39:$O$98</c:f>
              <c:strCache>
                <c:ptCount val="60"/>
                <c:pt idx="0">
                  <c:v>EQ1</c:v>
                </c:pt>
                <c:pt idx="1">
                  <c:v>EQ2</c:v>
                </c:pt>
                <c:pt idx="2">
                  <c:v>EQ3</c:v>
                </c:pt>
                <c:pt idx="3">
                  <c:v>EQ4</c:v>
                </c:pt>
                <c:pt idx="4">
                  <c:v>EQ5</c:v>
                </c:pt>
                <c:pt idx="5">
                  <c:v>EQ6</c:v>
                </c:pt>
                <c:pt idx="6">
                  <c:v>EQ7</c:v>
                </c:pt>
                <c:pt idx="7">
                  <c:v>EQ8</c:v>
                </c:pt>
                <c:pt idx="8">
                  <c:v>EQ9</c:v>
                </c:pt>
                <c:pt idx="9">
                  <c:v>EQ10</c:v>
                </c:pt>
                <c:pt idx="10">
                  <c:v>EQ11</c:v>
                </c:pt>
                <c:pt idx="11">
                  <c:v>EQ12</c:v>
                </c:pt>
                <c:pt idx="12">
                  <c:v>EQ13</c:v>
                </c:pt>
                <c:pt idx="13">
                  <c:v>EQ14</c:v>
                </c:pt>
                <c:pt idx="14">
                  <c:v>EQ15</c:v>
                </c:pt>
                <c:pt idx="15">
                  <c:v>EQ16</c:v>
                </c:pt>
                <c:pt idx="16">
                  <c:v>EQ17</c:v>
                </c:pt>
                <c:pt idx="17">
                  <c:v>EQ18</c:v>
                </c:pt>
                <c:pt idx="18">
                  <c:v>EQ19</c:v>
                </c:pt>
                <c:pt idx="19">
                  <c:v>EQ20</c:v>
                </c:pt>
                <c:pt idx="20">
                  <c:v>EQ21</c:v>
                </c:pt>
                <c:pt idx="21">
                  <c:v>EQ22</c:v>
                </c:pt>
                <c:pt idx="22">
                  <c:v>EQ23</c:v>
                </c:pt>
                <c:pt idx="23">
                  <c:v>EQ24</c:v>
                </c:pt>
                <c:pt idx="24">
                  <c:v>EQ25</c:v>
                </c:pt>
                <c:pt idx="25">
                  <c:v>EQ26</c:v>
                </c:pt>
                <c:pt idx="26">
                  <c:v>EQ27</c:v>
                </c:pt>
                <c:pt idx="27">
                  <c:v>EQ28</c:v>
                </c:pt>
                <c:pt idx="28">
                  <c:v>EQ29</c:v>
                </c:pt>
                <c:pt idx="29">
                  <c:v>EQ30</c:v>
                </c:pt>
                <c:pt idx="30">
                  <c:v>EQ31</c:v>
                </c:pt>
                <c:pt idx="31">
                  <c:v>EQ32</c:v>
                </c:pt>
                <c:pt idx="32">
                  <c:v>EQ33</c:v>
                </c:pt>
                <c:pt idx="33">
                  <c:v>EQ34</c:v>
                </c:pt>
                <c:pt idx="34">
                  <c:v>EQ35</c:v>
                </c:pt>
                <c:pt idx="35">
                  <c:v>EQ36</c:v>
                </c:pt>
                <c:pt idx="36">
                  <c:v>EQ37</c:v>
                </c:pt>
                <c:pt idx="37">
                  <c:v>EQ38</c:v>
                </c:pt>
                <c:pt idx="38">
                  <c:v>EQ39</c:v>
                </c:pt>
                <c:pt idx="39">
                  <c:v>EQ40</c:v>
                </c:pt>
                <c:pt idx="40">
                  <c:v>EQ41</c:v>
                </c:pt>
                <c:pt idx="41">
                  <c:v>EQ42</c:v>
                </c:pt>
                <c:pt idx="42">
                  <c:v>EQ43</c:v>
                </c:pt>
                <c:pt idx="43">
                  <c:v>EQ44</c:v>
                </c:pt>
                <c:pt idx="44">
                  <c:v>EQ45</c:v>
                </c:pt>
                <c:pt idx="45">
                  <c:v>EQ46</c:v>
                </c:pt>
                <c:pt idx="46">
                  <c:v>EQ47</c:v>
                </c:pt>
                <c:pt idx="47">
                  <c:v>EQ48</c:v>
                </c:pt>
                <c:pt idx="48">
                  <c:v>EQ49</c:v>
                </c:pt>
                <c:pt idx="49">
                  <c:v>EQ50</c:v>
                </c:pt>
                <c:pt idx="50">
                  <c:v>EQ51</c:v>
                </c:pt>
                <c:pt idx="51">
                  <c:v>EQ52</c:v>
                </c:pt>
                <c:pt idx="52">
                  <c:v>EQ53</c:v>
                </c:pt>
                <c:pt idx="53">
                  <c:v>EQ54</c:v>
                </c:pt>
                <c:pt idx="54">
                  <c:v>EQ55</c:v>
                </c:pt>
                <c:pt idx="55">
                  <c:v>EQ56</c:v>
                </c:pt>
                <c:pt idx="56">
                  <c:v>EQ57</c:v>
                </c:pt>
                <c:pt idx="57">
                  <c:v>EQ58</c:v>
                </c:pt>
                <c:pt idx="58">
                  <c:v>EQ59</c:v>
                </c:pt>
                <c:pt idx="59">
                  <c:v>EQ60</c:v>
                </c:pt>
              </c:strCache>
            </c:strRef>
          </c:xVal>
          <c:yVal>
            <c:numRef>
              <c:f>'GMSel_ΔM (±)'!$Q$39:$Q$98</c:f>
              <c:numCache>
                <c:formatCode>General</c:formatCode>
                <c:ptCount val="60"/>
                <c:pt idx="0">
                  <c:v>30</c:v>
                </c:pt>
                <c:pt idx="1">
                  <c:v>30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62</c:v>
                </c:pt>
                <c:pt idx="6">
                  <c:v>46</c:v>
                </c:pt>
                <c:pt idx="7">
                  <c:v>48</c:v>
                </c:pt>
                <c:pt idx="8">
                  <c:v>68</c:v>
                </c:pt>
                <c:pt idx="9">
                  <c:v>69</c:v>
                </c:pt>
                <c:pt idx="10">
                  <c:v>69</c:v>
                </c:pt>
                <c:pt idx="11">
                  <c:v>55</c:v>
                </c:pt>
                <c:pt idx="12">
                  <c:v>57</c:v>
                </c:pt>
                <c:pt idx="13">
                  <c:v>53</c:v>
                </c:pt>
                <c:pt idx="14">
                  <c:v>85</c:v>
                </c:pt>
                <c:pt idx="15">
                  <c:v>76</c:v>
                </c:pt>
                <c:pt idx="16">
                  <c:v>52</c:v>
                </c:pt>
                <c:pt idx="17">
                  <c:v>52</c:v>
                </c:pt>
                <c:pt idx="18">
                  <c:v>70</c:v>
                </c:pt>
                <c:pt idx="19">
                  <c:v>62</c:v>
                </c:pt>
                <c:pt idx="20">
                  <c:v>30</c:v>
                </c:pt>
                <c:pt idx="21">
                  <c:v>29</c:v>
                </c:pt>
                <c:pt idx="22">
                  <c:v>68</c:v>
                </c:pt>
                <c:pt idx="23">
                  <c:v>64</c:v>
                </c:pt>
                <c:pt idx="24">
                  <c:v>60</c:v>
                </c:pt>
                <c:pt idx="25">
                  <c:v>56</c:v>
                </c:pt>
                <c:pt idx="26">
                  <c:v>65</c:v>
                </c:pt>
                <c:pt idx="27">
                  <c:v>63</c:v>
                </c:pt>
                <c:pt idx="28">
                  <c:v>61</c:v>
                </c:pt>
                <c:pt idx="29">
                  <c:v>61</c:v>
                </c:pt>
                <c:pt idx="30">
                  <c:v>47</c:v>
                </c:pt>
                <c:pt idx="31">
                  <c:v>30</c:v>
                </c:pt>
                <c:pt idx="32">
                  <c:v>68</c:v>
                </c:pt>
                <c:pt idx="33">
                  <c:v>58</c:v>
                </c:pt>
                <c:pt idx="34">
                  <c:v>60</c:v>
                </c:pt>
                <c:pt idx="35">
                  <c:v>58</c:v>
                </c:pt>
                <c:pt idx="36">
                  <c:v>91</c:v>
                </c:pt>
                <c:pt idx="37">
                  <c:v>87</c:v>
                </c:pt>
                <c:pt idx="38">
                  <c:v>73</c:v>
                </c:pt>
                <c:pt idx="39">
                  <c:v>73</c:v>
                </c:pt>
                <c:pt idx="40">
                  <c:v>62</c:v>
                </c:pt>
                <c:pt idx="41">
                  <c:v>61</c:v>
                </c:pt>
                <c:pt idx="42">
                  <c:v>33</c:v>
                </c:pt>
                <c:pt idx="43">
                  <c:v>26</c:v>
                </c:pt>
                <c:pt idx="44">
                  <c:v>39</c:v>
                </c:pt>
                <c:pt idx="45">
                  <c:v>54</c:v>
                </c:pt>
                <c:pt idx="46">
                  <c:v>35</c:v>
                </c:pt>
                <c:pt idx="47">
                  <c:v>42</c:v>
                </c:pt>
                <c:pt idx="48">
                  <c:v>29</c:v>
                </c:pt>
                <c:pt idx="49">
                  <c:v>27</c:v>
                </c:pt>
                <c:pt idx="50">
                  <c:v>48</c:v>
                </c:pt>
                <c:pt idx="51">
                  <c:v>52</c:v>
                </c:pt>
                <c:pt idx="52">
                  <c:v>81</c:v>
                </c:pt>
                <c:pt idx="53">
                  <c:v>93</c:v>
                </c:pt>
                <c:pt idx="54">
                  <c:v>35</c:v>
                </c:pt>
                <c:pt idx="55">
                  <c:v>38</c:v>
                </c:pt>
                <c:pt idx="56">
                  <c:v>36</c:v>
                </c:pt>
                <c:pt idx="57">
                  <c:v>37</c:v>
                </c:pt>
                <c:pt idx="58">
                  <c:v>51</c:v>
                </c:pt>
                <c:pt idx="5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3-4BBC-9F70-33F2401C9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572335"/>
        <c:axId val="1264464591"/>
      </c:scatterChart>
      <c:valAx>
        <c:axId val="134557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</a:rPr>
                  <a:t>EQID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64591"/>
        <c:crosses val="autoZero"/>
        <c:crossBetween val="midCat"/>
      </c:valAx>
      <c:valAx>
        <c:axId val="12644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</a:rPr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72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rgbClr val="FF0000"/>
                </a:solidFill>
              </a:rPr>
              <a:t>MIDR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changeInPct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'CY14-effectOnMIDR_RDR_PFA'!$B$4:$B$63</c:f>
              <c:numCache>
                <c:formatCode>General</c:formatCode>
                <c:ptCount val="60"/>
                <c:pt idx="0">
                  <c:v>80011</c:v>
                </c:pt>
                <c:pt idx="1">
                  <c:v>80012</c:v>
                </c:pt>
                <c:pt idx="2">
                  <c:v>80021</c:v>
                </c:pt>
                <c:pt idx="3">
                  <c:v>80022</c:v>
                </c:pt>
                <c:pt idx="4">
                  <c:v>80031</c:v>
                </c:pt>
                <c:pt idx="5">
                  <c:v>80032</c:v>
                </c:pt>
                <c:pt idx="6">
                  <c:v>80041</c:v>
                </c:pt>
                <c:pt idx="7">
                  <c:v>80042</c:v>
                </c:pt>
                <c:pt idx="8">
                  <c:v>80051</c:v>
                </c:pt>
                <c:pt idx="9">
                  <c:v>80052</c:v>
                </c:pt>
                <c:pt idx="10">
                  <c:v>80061</c:v>
                </c:pt>
                <c:pt idx="11">
                  <c:v>80062</c:v>
                </c:pt>
                <c:pt idx="12">
                  <c:v>80071</c:v>
                </c:pt>
                <c:pt idx="13">
                  <c:v>80072</c:v>
                </c:pt>
                <c:pt idx="14">
                  <c:v>80081</c:v>
                </c:pt>
                <c:pt idx="15">
                  <c:v>80082</c:v>
                </c:pt>
                <c:pt idx="16">
                  <c:v>80091</c:v>
                </c:pt>
                <c:pt idx="17">
                  <c:v>80092</c:v>
                </c:pt>
                <c:pt idx="18">
                  <c:v>80101</c:v>
                </c:pt>
                <c:pt idx="19">
                  <c:v>80102</c:v>
                </c:pt>
                <c:pt idx="20">
                  <c:v>80111</c:v>
                </c:pt>
                <c:pt idx="21">
                  <c:v>80112</c:v>
                </c:pt>
                <c:pt idx="22">
                  <c:v>80121</c:v>
                </c:pt>
                <c:pt idx="23">
                  <c:v>80122</c:v>
                </c:pt>
                <c:pt idx="24">
                  <c:v>80131</c:v>
                </c:pt>
                <c:pt idx="25">
                  <c:v>80132</c:v>
                </c:pt>
                <c:pt idx="26">
                  <c:v>80141</c:v>
                </c:pt>
                <c:pt idx="27">
                  <c:v>80142</c:v>
                </c:pt>
                <c:pt idx="28">
                  <c:v>80151</c:v>
                </c:pt>
                <c:pt idx="29">
                  <c:v>80152</c:v>
                </c:pt>
                <c:pt idx="30">
                  <c:v>80161</c:v>
                </c:pt>
                <c:pt idx="31">
                  <c:v>80162</c:v>
                </c:pt>
                <c:pt idx="32">
                  <c:v>80171</c:v>
                </c:pt>
                <c:pt idx="33">
                  <c:v>80172</c:v>
                </c:pt>
                <c:pt idx="34">
                  <c:v>80181</c:v>
                </c:pt>
                <c:pt idx="35">
                  <c:v>80182</c:v>
                </c:pt>
                <c:pt idx="36">
                  <c:v>80191</c:v>
                </c:pt>
                <c:pt idx="37">
                  <c:v>80192</c:v>
                </c:pt>
                <c:pt idx="38">
                  <c:v>80201</c:v>
                </c:pt>
                <c:pt idx="39">
                  <c:v>80202</c:v>
                </c:pt>
                <c:pt idx="40">
                  <c:v>80211</c:v>
                </c:pt>
                <c:pt idx="41">
                  <c:v>80212</c:v>
                </c:pt>
                <c:pt idx="42">
                  <c:v>80221</c:v>
                </c:pt>
                <c:pt idx="43">
                  <c:v>80222</c:v>
                </c:pt>
                <c:pt idx="44">
                  <c:v>80231</c:v>
                </c:pt>
                <c:pt idx="45">
                  <c:v>80232</c:v>
                </c:pt>
                <c:pt idx="46">
                  <c:v>80241</c:v>
                </c:pt>
                <c:pt idx="47">
                  <c:v>80242</c:v>
                </c:pt>
                <c:pt idx="48">
                  <c:v>80251</c:v>
                </c:pt>
                <c:pt idx="49">
                  <c:v>80252</c:v>
                </c:pt>
                <c:pt idx="50">
                  <c:v>80261</c:v>
                </c:pt>
                <c:pt idx="51">
                  <c:v>80262</c:v>
                </c:pt>
                <c:pt idx="52">
                  <c:v>80271</c:v>
                </c:pt>
                <c:pt idx="53">
                  <c:v>80272</c:v>
                </c:pt>
                <c:pt idx="54">
                  <c:v>80281</c:v>
                </c:pt>
                <c:pt idx="55">
                  <c:v>80282</c:v>
                </c:pt>
                <c:pt idx="56">
                  <c:v>80291</c:v>
                </c:pt>
                <c:pt idx="57">
                  <c:v>80292</c:v>
                </c:pt>
                <c:pt idx="58">
                  <c:v>80301</c:v>
                </c:pt>
                <c:pt idx="59">
                  <c:v>80302</c:v>
                </c:pt>
              </c:numCache>
            </c:numRef>
          </c:xVal>
          <c:yVal>
            <c:numRef>
              <c:f>'CY14-effectOnMIDR_RDR_PFA'!$E$4:$E$63</c:f>
              <c:numCache>
                <c:formatCode>0.00%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-8.0305502635988411E-4</c:v>
                </c:pt>
                <c:pt idx="3">
                  <c:v>2.9681067322743468E-4</c:v>
                </c:pt>
                <c:pt idx="4">
                  <c:v>-1.3093875716999846E-3</c:v>
                </c:pt>
                <c:pt idx="5">
                  <c:v>-5.0617999769361577E-5</c:v>
                </c:pt>
                <c:pt idx="6">
                  <c:v>-1.8623621267572009E-5</c:v>
                </c:pt>
                <c:pt idx="7">
                  <c:v>-7.4516670944866029E-3</c:v>
                </c:pt>
                <c:pt idx="8">
                  <c:v>0</c:v>
                </c:pt>
                <c:pt idx="9">
                  <c:v>0</c:v>
                </c:pt>
                <c:pt idx="10">
                  <c:v>3.6318034887802466E-5</c:v>
                </c:pt>
                <c:pt idx="11">
                  <c:v>-6.1934050914600478E-4</c:v>
                </c:pt>
                <c:pt idx="12">
                  <c:v>-5.6388929828140439E-4</c:v>
                </c:pt>
                <c:pt idx="13">
                  <c:v>-3.8415735085129272E-5</c:v>
                </c:pt>
                <c:pt idx="14">
                  <c:v>-1.186373651201925E-3</c:v>
                </c:pt>
                <c:pt idx="15">
                  <c:v>-1.9640116218789608E-4</c:v>
                </c:pt>
                <c:pt idx="16">
                  <c:v>-1.2406312058240996E-3</c:v>
                </c:pt>
                <c:pt idx="17">
                  <c:v>-1.0589062486781645E-3</c:v>
                </c:pt>
                <c:pt idx="18">
                  <c:v>1.1524991089472631E-4</c:v>
                </c:pt>
                <c:pt idx="19">
                  <c:v>-4.9953763034364673E-4</c:v>
                </c:pt>
                <c:pt idx="20">
                  <c:v>0</c:v>
                </c:pt>
                <c:pt idx="21">
                  <c:v>0</c:v>
                </c:pt>
                <c:pt idx="22">
                  <c:v>-9.9993500435928668E-6</c:v>
                </c:pt>
                <c:pt idx="23">
                  <c:v>-3.992663480912827E-4</c:v>
                </c:pt>
                <c:pt idx="24">
                  <c:v>-1.8652124917427988E-4</c:v>
                </c:pt>
                <c:pt idx="25">
                  <c:v>-6.0217070961623726E-4</c:v>
                </c:pt>
                <c:pt idx="26">
                  <c:v>-7.8616688101321337E-4</c:v>
                </c:pt>
                <c:pt idx="27">
                  <c:v>-7.1715043164232546E-4</c:v>
                </c:pt>
                <c:pt idx="28">
                  <c:v>-1.0251722502310254E-4</c:v>
                </c:pt>
                <c:pt idx="29">
                  <c:v>1.0879605432943707E-3</c:v>
                </c:pt>
                <c:pt idx="30">
                  <c:v>4.3735106062439737E-4</c:v>
                </c:pt>
                <c:pt idx="31">
                  <c:v>-1.186298855539469E-2</c:v>
                </c:pt>
                <c:pt idx="32">
                  <c:v>9.1780912562790191E-5</c:v>
                </c:pt>
                <c:pt idx="33">
                  <c:v>1.8520373476523788E-3</c:v>
                </c:pt>
                <c:pt idx="34">
                  <c:v>-5.1187114493809646E-5</c:v>
                </c:pt>
                <c:pt idx="35">
                  <c:v>2.7561471710436138E-3</c:v>
                </c:pt>
                <c:pt idx="36">
                  <c:v>3.4161755914549711E-4</c:v>
                </c:pt>
                <c:pt idx="37">
                  <c:v>7.7000520446513475E-4</c:v>
                </c:pt>
                <c:pt idx="38">
                  <c:v>-3.5238565084993534E-4</c:v>
                </c:pt>
                <c:pt idx="39">
                  <c:v>-3.6433032616303733E-3</c:v>
                </c:pt>
                <c:pt idx="40">
                  <c:v>3.6081197639029587E-4</c:v>
                </c:pt>
                <c:pt idx="41">
                  <c:v>-2.2892724693686019E-5</c:v>
                </c:pt>
                <c:pt idx="42">
                  <c:v>-6.9802705337868151E-4</c:v>
                </c:pt>
                <c:pt idx="43">
                  <c:v>1.1524868104285412E-4</c:v>
                </c:pt>
                <c:pt idx="44">
                  <c:v>8.9641115388394726E-5</c:v>
                </c:pt>
                <c:pt idx="45">
                  <c:v>1.4727194726175523E-4</c:v>
                </c:pt>
                <c:pt idx="46">
                  <c:v>-2.3606268199200813E-3</c:v>
                </c:pt>
                <c:pt idx="47">
                  <c:v>-5.6134430334755776E-4</c:v>
                </c:pt>
                <c:pt idx="48">
                  <c:v>0</c:v>
                </c:pt>
                <c:pt idx="49">
                  <c:v>0</c:v>
                </c:pt>
                <c:pt idx="50">
                  <c:v>5.5715895894530476E-4</c:v>
                </c:pt>
                <c:pt idx="51">
                  <c:v>-1.033439519366871E-5</c:v>
                </c:pt>
                <c:pt idx="52">
                  <c:v>-7.5782382934092745E-4</c:v>
                </c:pt>
                <c:pt idx="53">
                  <c:v>1.3826192194853015E-3</c:v>
                </c:pt>
                <c:pt idx="54">
                  <c:v>5.7469282666014864E-5</c:v>
                </c:pt>
                <c:pt idx="55">
                  <c:v>2.0084562935677517E-3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B-4F5A-A1F3-88BF9E918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599343"/>
        <c:axId val="7902347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originalGMs_MIDR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'CY14-effectOnMIDR_RDR_PFA'!$B$4:$B$63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80011</c:v>
                      </c:pt>
                      <c:pt idx="1">
                        <c:v>80012</c:v>
                      </c:pt>
                      <c:pt idx="2">
                        <c:v>80021</c:v>
                      </c:pt>
                      <c:pt idx="3">
                        <c:v>80022</c:v>
                      </c:pt>
                      <c:pt idx="4">
                        <c:v>80031</c:v>
                      </c:pt>
                      <c:pt idx="5">
                        <c:v>80032</c:v>
                      </c:pt>
                      <c:pt idx="6">
                        <c:v>80041</c:v>
                      </c:pt>
                      <c:pt idx="7">
                        <c:v>80042</c:v>
                      </c:pt>
                      <c:pt idx="8">
                        <c:v>80051</c:v>
                      </c:pt>
                      <c:pt idx="9">
                        <c:v>80052</c:v>
                      </c:pt>
                      <c:pt idx="10">
                        <c:v>80061</c:v>
                      </c:pt>
                      <c:pt idx="11">
                        <c:v>80062</c:v>
                      </c:pt>
                      <c:pt idx="12">
                        <c:v>80071</c:v>
                      </c:pt>
                      <c:pt idx="13">
                        <c:v>80072</c:v>
                      </c:pt>
                      <c:pt idx="14">
                        <c:v>80081</c:v>
                      </c:pt>
                      <c:pt idx="15">
                        <c:v>80082</c:v>
                      </c:pt>
                      <c:pt idx="16">
                        <c:v>80091</c:v>
                      </c:pt>
                      <c:pt idx="17">
                        <c:v>80092</c:v>
                      </c:pt>
                      <c:pt idx="18">
                        <c:v>80101</c:v>
                      </c:pt>
                      <c:pt idx="19">
                        <c:v>80102</c:v>
                      </c:pt>
                      <c:pt idx="20">
                        <c:v>80111</c:v>
                      </c:pt>
                      <c:pt idx="21">
                        <c:v>80112</c:v>
                      </c:pt>
                      <c:pt idx="22">
                        <c:v>80121</c:v>
                      </c:pt>
                      <c:pt idx="23">
                        <c:v>80122</c:v>
                      </c:pt>
                      <c:pt idx="24">
                        <c:v>80131</c:v>
                      </c:pt>
                      <c:pt idx="25">
                        <c:v>80132</c:v>
                      </c:pt>
                      <c:pt idx="26">
                        <c:v>80141</c:v>
                      </c:pt>
                      <c:pt idx="27">
                        <c:v>80142</c:v>
                      </c:pt>
                      <c:pt idx="28">
                        <c:v>80151</c:v>
                      </c:pt>
                      <c:pt idx="29">
                        <c:v>80152</c:v>
                      </c:pt>
                      <c:pt idx="30">
                        <c:v>80161</c:v>
                      </c:pt>
                      <c:pt idx="31">
                        <c:v>80162</c:v>
                      </c:pt>
                      <c:pt idx="32">
                        <c:v>80171</c:v>
                      </c:pt>
                      <c:pt idx="33">
                        <c:v>80172</c:v>
                      </c:pt>
                      <c:pt idx="34">
                        <c:v>80181</c:v>
                      </c:pt>
                      <c:pt idx="35">
                        <c:v>80182</c:v>
                      </c:pt>
                      <c:pt idx="36">
                        <c:v>80191</c:v>
                      </c:pt>
                      <c:pt idx="37">
                        <c:v>80192</c:v>
                      </c:pt>
                      <c:pt idx="38">
                        <c:v>80201</c:v>
                      </c:pt>
                      <c:pt idx="39">
                        <c:v>80202</c:v>
                      </c:pt>
                      <c:pt idx="40">
                        <c:v>80211</c:v>
                      </c:pt>
                      <c:pt idx="41">
                        <c:v>80212</c:v>
                      </c:pt>
                      <c:pt idx="42">
                        <c:v>80221</c:v>
                      </c:pt>
                      <c:pt idx="43">
                        <c:v>80222</c:v>
                      </c:pt>
                      <c:pt idx="44">
                        <c:v>80231</c:v>
                      </c:pt>
                      <c:pt idx="45">
                        <c:v>80232</c:v>
                      </c:pt>
                      <c:pt idx="46">
                        <c:v>80241</c:v>
                      </c:pt>
                      <c:pt idx="47">
                        <c:v>80242</c:v>
                      </c:pt>
                      <c:pt idx="48">
                        <c:v>80251</c:v>
                      </c:pt>
                      <c:pt idx="49">
                        <c:v>80252</c:v>
                      </c:pt>
                      <c:pt idx="50">
                        <c:v>80261</c:v>
                      </c:pt>
                      <c:pt idx="51">
                        <c:v>80262</c:v>
                      </c:pt>
                      <c:pt idx="52">
                        <c:v>80271</c:v>
                      </c:pt>
                      <c:pt idx="53">
                        <c:v>80272</c:v>
                      </c:pt>
                      <c:pt idx="54">
                        <c:v>80281</c:v>
                      </c:pt>
                      <c:pt idx="55">
                        <c:v>80282</c:v>
                      </c:pt>
                      <c:pt idx="56">
                        <c:v>80291</c:v>
                      </c:pt>
                      <c:pt idx="57">
                        <c:v>80292</c:v>
                      </c:pt>
                      <c:pt idx="58">
                        <c:v>80301</c:v>
                      </c:pt>
                      <c:pt idx="59">
                        <c:v>80302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'CY14-effectOnMIDR_RDR_PFA'!$C$4:$C$63</c15:sqref>
                        </c15:formulaRef>
                      </c:ext>
                    </c:extLst>
                    <c:numCache>
                      <c:formatCode>0.0000</c:formatCode>
                      <c:ptCount val="60"/>
                      <c:pt idx="0">
                        <c:v>0.104022</c:v>
                      </c:pt>
                      <c:pt idx="1">
                        <c:v>0.10411244444444399</c:v>
                      </c:pt>
                      <c:pt idx="2">
                        <c:v>0.10404711111111099</c:v>
                      </c:pt>
                      <c:pt idx="3">
                        <c:v>0.104069333333333</c:v>
                      </c:pt>
                      <c:pt idx="4">
                        <c:v>7.3042564102564003E-2</c:v>
                      </c:pt>
                      <c:pt idx="5">
                        <c:v>5.5721538461538003E-2</c:v>
                      </c:pt>
                      <c:pt idx="6">
                        <c:v>0.11014410256410299</c:v>
                      </c:pt>
                      <c:pt idx="7">
                        <c:v>0.10088948717948699</c:v>
                      </c:pt>
                      <c:pt idx="8">
                        <c:v>6.2722820512821006E-2</c:v>
                      </c:pt>
                      <c:pt idx="9">
                        <c:v>0.116864102564103</c:v>
                      </c:pt>
                      <c:pt idx="10">
                        <c:v>0.10401933333333301</c:v>
                      </c:pt>
                      <c:pt idx="11">
                        <c:v>0.104053333333333</c:v>
                      </c:pt>
                      <c:pt idx="12">
                        <c:v>0.104039333333333</c:v>
                      </c:pt>
                      <c:pt idx="13">
                        <c:v>0.10412399999999999</c:v>
                      </c:pt>
                      <c:pt idx="14">
                        <c:v>7.8671111111110997E-2</c:v>
                      </c:pt>
                      <c:pt idx="15">
                        <c:v>0.104095333333333</c:v>
                      </c:pt>
                      <c:pt idx="16">
                        <c:v>0.104068888888889</c:v>
                      </c:pt>
                      <c:pt idx="17">
                        <c:v>9.0804871794871997E-2</c:v>
                      </c:pt>
                      <c:pt idx="18">
                        <c:v>0.10412155555555599</c:v>
                      </c:pt>
                      <c:pt idx="19">
                        <c:v>7.4735777777777998E-2</c:v>
                      </c:pt>
                      <c:pt idx="20">
                        <c:v>0.10405</c:v>
                      </c:pt>
                      <c:pt idx="21">
                        <c:v>0.10400022222222199</c:v>
                      </c:pt>
                      <c:pt idx="22">
                        <c:v>8.8894666666666997E-2</c:v>
                      </c:pt>
                      <c:pt idx="23">
                        <c:v>8.2202051282051006E-2</c:v>
                      </c:pt>
                      <c:pt idx="24">
                        <c:v>8.5781111111111003E-2</c:v>
                      </c:pt>
                      <c:pt idx="25">
                        <c:v>7.6759333333332999E-2</c:v>
                      </c:pt>
                      <c:pt idx="26">
                        <c:v>0.104020888888889</c:v>
                      </c:pt>
                      <c:pt idx="27">
                        <c:v>7.5441025641026005E-2</c:v>
                      </c:pt>
                      <c:pt idx="28">
                        <c:v>0.104047555555556</c:v>
                      </c:pt>
                      <c:pt idx="29">
                        <c:v>0.104170444444444</c:v>
                      </c:pt>
                      <c:pt idx="30">
                        <c:v>0.104162444444444</c:v>
                      </c:pt>
                      <c:pt idx="31">
                        <c:v>7.5995897435897006E-2</c:v>
                      </c:pt>
                      <c:pt idx="32">
                        <c:v>0.10411266666666701</c:v>
                      </c:pt>
                      <c:pt idx="33">
                        <c:v>0.104269555555556</c:v>
                      </c:pt>
                      <c:pt idx="34">
                        <c:v>0.104192888888889</c:v>
                      </c:pt>
                      <c:pt idx="35">
                        <c:v>9.2318888888889006E-2</c:v>
                      </c:pt>
                      <c:pt idx="36">
                        <c:v>6.0046153846153999E-2</c:v>
                      </c:pt>
                      <c:pt idx="37">
                        <c:v>0.104184</c:v>
                      </c:pt>
                      <c:pt idx="38">
                        <c:v>0.104052666666667</c:v>
                      </c:pt>
                      <c:pt idx="39">
                        <c:v>0.11823589743589701</c:v>
                      </c:pt>
                      <c:pt idx="40">
                        <c:v>0.104086222222222</c:v>
                      </c:pt>
                      <c:pt idx="41">
                        <c:v>7.8403589743590005E-2</c:v>
                      </c:pt>
                      <c:pt idx="42">
                        <c:v>0.103466222222222</c:v>
                      </c:pt>
                      <c:pt idx="43">
                        <c:v>0.104122666666667</c:v>
                      </c:pt>
                      <c:pt idx="44">
                        <c:v>0.104118888888889</c:v>
                      </c:pt>
                      <c:pt idx="45">
                        <c:v>0.104115777777778</c:v>
                      </c:pt>
                      <c:pt idx="46">
                        <c:v>0.118612564102564</c:v>
                      </c:pt>
                      <c:pt idx="47">
                        <c:v>7.7195641025640999E-2</c:v>
                      </c:pt>
                      <c:pt idx="48">
                        <c:v>0.10406111111111099</c:v>
                      </c:pt>
                      <c:pt idx="49">
                        <c:v>0.104035777777778</c:v>
                      </c:pt>
                      <c:pt idx="50">
                        <c:v>0.104099555555556</c:v>
                      </c:pt>
                      <c:pt idx="51">
                        <c:v>8.6012666666667001E-2</c:v>
                      </c:pt>
                      <c:pt idx="52">
                        <c:v>5.4812820512820999E-2</c:v>
                      </c:pt>
                      <c:pt idx="53">
                        <c:v>7.1399230769231006E-2</c:v>
                      </c:pt>
                      <c:pt idx="54">
                        <c:v>8.9233846153845997E-2</c:v>
                      </c:pt>
                      <c:pt idx="55">
                        <c:v>7.4045897435896998E-2</c:v>
                      </c:pt>
                      <c:pt idx="56">
                        <c:v>7.9713111111110999E-2</c:v>
                      </c:pt>
                      <c:pt idx="57">
                        <c:v>9.1495111111110999E-2</c:v>
                      </c:pt>
                      <c:pt idx="58">
                        <c:v>9.4591794871795004E-2</c:v>
                      </c:pt>
                      <c:pt idx="59">
                        <c:v>7.3248461538461998E-2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52B-4F5A-A1F3-88BF9E918A8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curtailedGMs_MIDR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'CY14-effectOnMIDR_RDR_PFA'!$B$4:$B$63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80011</c:v>
                      </c:pt>
                      <c:pt idx="1">
                        <c:v>80012</c:v>
                      </c:pt>
                      <c:pt idx="2">
                        <c:v>80021</c:v>
                      </c:pt>
                      <c:pt idx="3">
                        <c:v>80022</c:v>
                      </c:pt>
                      <c:pt idx="4">
                        <c:v>80031</c:v>
                      </c:pt>
                      <c:pt idx="5">
                        <c:v>80032</c:v>
                      </c:pt>
                      <c:pt idx="6">
                        <c:v>80041</c:v>
                      </c:pt>
                      <c:pt idx="7">
                        <c:v>80042</c:v>
                      </c:pt>
                      <c:pt idx="8">
                        <c:v>80051</c:v>
                      </c:pt>
                      <c:pt idx="9">
                        <c:v>80052</c:v>
                      </c:pt>
                      <c:pt idx="10">
                        <c:v>80061</c:v>
                      </c:pt>
                      <c:pt idx="11">
                        <c:v>80062</c:v>
                      </c:pt>
                      <c:pt idx="12">
                        <c:v>80071</c:v>
                      </c:pt>
                      <c:pt idx="13">
                        <c:v>80072</c:v>
                      </c:pt>
                      <c:pt idx="14">
                        <c:v>80081</c:v>
                      </c:pt>
                      <c:pt idx="15">
                        <c:v>80082</c:v>
                      </c:pt>
                      <c:pt idx="16">
                        <c:v>80091</c:v>
                      </c:pt>
                      <c:pt idx="17">
                        <c:v>80092</c:v>
                      </c:pt>
                      <c:pt idx="18">
                        <c:v>80101</c:v>
                      </c:pt>
                      <c:pt idx="19">
                        <c:v>80102</c:v>
                      </c:pt>
                      <c:pt idx="20">
                        <c:v>80111</c:v>
                      </c:pt>
                      <c:pt idx="21">
                        <c:v>80112</c:v>
                      </c:pt>
                      <c:pt idx="22">
                        <c:v>80121</c:v>
                      </c:pt>
                      <c:pt idx="23">
                        <c:v>80122</c:v>
                      </c:pt>
                      <c:pt idx="24">
                        <c:v>80131</c:v>
                      </c:pt>
                      <c:pt idx="25">
                        <c:v>80132</c:v>
                      </c:pt>
                      <c:pt idx="26">
                        <c:v>80141</c:v>
                      </c:pt>
                      <c:pt idx="27">
                        <c:v>80142</c:v>
                      </c:pt>
                      <c:pt idx="28">
                        <c:v>80151</c:v>
                      </c:pt>
                      <c:pt idx="29">
                        <c:v>80152</c:v>
                      </c:pt>
                      <c:pt idx="30">
                        <c:v>80161</c:v>
                      </c:pt>
                      <c:pt idx="31">
                        <c:v>80162</c:v>
                      </c:pt>
                      <c:pt idx="32">
                        <c:v>80171</c:v>
                      </c:pt>
                      <c:pt idx="33">
                        <c:v>80172</c:v>
                      </c:pt>
                      <c:pt idx="34">
                        <c:v>80181</c:v>
                      </c:pt>
                      <c:pt idx="35">
                        <c:v>80182</c:v>
                      </c:pt>
                      <c:pt idx="36">
                        <c:v>80191</c:v>
                      </c:pt>
                      <c:pt idx="37">
                        <c:v>80192</c:v>
                      </c:pt>
                      <c:pt idx="38">
                        <c:v>80201</c:v>
                      </c:pt>
                      <c:pt idx="39">
                        <c:v>80202</c:v>
                      </c:pt>
                      <c:pt idx="40">
                        <c:v>80211</c:v>
                      </c:pt>
                      <c:pt idx="41">
                        <c:v>80212</c:v>
                      </c:pt>
                      <c:pt idx="42">
                        <c:v>80221</c:v>
                      </c:pt>
                      <c:pt idx="43">
                        <c:v>80222</c:v>
                      </c:pt>
                      <c:pt idx="44">
                        <c:v>80231</c:v>
                      </c:pt>
                      <c:pt idx="45">
                        <c:v>80232</c:v>
                      </c:pt>
                      <c:pt idx="46">
                        <c:v>80241</c:v>
                      </c:pt>
                      <c:pt idx="47">
                        <c:v>80242</c:v>
                      </c:pt>
                      <c:pt idx="48">
                        <c:v>80251</c:v>
                      </c:pt>
                      <c:pt idx="49">
                        <c:v>80252</c:v>
                      </c:pt>
                      <c:pt idx="50">
                        <c:v>80261</c:v>
                      </c:pt>
                      <c:pt idx="51">
                        <c:v>80262</c:v>
                      </c:pt>
                      <c:pt idx="52">
                        <c:v>80271</c:v>
                      </c:pt>
                      <c:pt idx="53">
                        <c:v>80272</c:v>
                      </c:pt>
                      <c:pt idx="54">
                        <c:v>80281</c:v>
                      </c:pt>
                      <c:pt idx="55">
                        <c:v>80282</c:v>
                      </c:pt>
                      <c:pt idx="56">
                        <c:v>80291</c:v>
                      </c:pt>
                      <c:pt idx="57">
                        <c:v>80292</c:v>
                      </c:pt>
                      <c:pt idx="58">
                        <c:v>80301</c:v>
                      </c:pt>
                      <c:pt idx="59">
                        <c:v>80302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'CY14-effectOnMIDR_RDR_PFA'!$D$4:$D$63</c15:sqref>
                        </c15:formulaRef>
                      </c:ext>
                    </c:extLst>
                    <c:numCache>
                      <c:formatCode>0.0000</c:formatCode>
                      <c:ptCount val="60"/>
                      <c:pt idx="0">
                        <c:v>0.104022</c:v>
                      </c:pt>
                      <c:pt idx="1">
                        <c:v>0.10411244444444399</c:v>
                      </c:pt>
                      <c:pt idx="2">
                        <c:v>0.104130666666667</c:v>
                      </c:pt>
                      <c:pt idx="3">
                        <c:v>0.104038444444444</c:v>
                      </c:pt>
                      <c:pt idx="4">
                        <c:v>7.3138205128205E-2</c:v>
                      </c:pt>
                      <c:pt idx="5">
                        <c:v>5.5724358974358998E-2</c:v>
                      </c:pt>
                      <c:pt idx="6">
                        <c:v>0.110146153846154</c:v>
                      </c:pt>
                      <c:pt idx="7">
                        <c:v>0.10164128205128201</c:v>
                      </c:pt>
                      <c:pt idx="8">
                        <c:v>6.2722820512821006E-2</c:v>
                      </c:pt>
                      <c:pt idx="9">
                        <c:v>0.116864102564103</c:v>
                      </c:pt>
                      <c:pt idx="10">
                        <c:v>0.104015555555556</c:v>
                      </c:pt>
                      <c:pt idx="11">
                        <c:v>0.104117777777778</c:v>
                      </c:pt>
                      <c:pt idx="12">
                        <c:v>0.104098</c:v>
                      </c:pt>
                      <c:pt idx="13">
                        <c:v>0.104128</c:v>
                      </c:pt>
                      <c:pt idx="14">
                        <c:v>7.8764444444443998E-2</c:v>
                      </c:pt>
                      <c:pt idx="15">
                        <c:v>0.104115777777778</c:v>
                      </c:pt>
                      <c:pt idx="16">
                        <c:v>0.104198</c:v>
                      </c:pt>
                      <c:pt idx="17">
                        <c:v>9.0901025641026006E-2</c:v>
                      </c:pt>
                      <c:pt idx="18">
                        <c:v>0.104109555555556</c:v>
                      </c:pt>
                      <c:pt idx="19">
                        <c:v>7.4773111111110999E-2</c:v>
                      </c:pt>
                      <c:pt idx="20">
                        <c:v>0.10405</c:v>
                      </c:pt>
                      <c:pt idx="21">
                        <c:v>0.10400022222222199</c:v>
                      </c:pt>
                      <c:pt idx="22">
                        <c:v>8.8895555555556005E-2</c:v>
                      </c:pt>
                      <c:pt idx="23">
                        <c:v>8.2234871794872003E-2</c:v>
                      </c:pt>
                      <c:pt idx="24">
                        <c:v>8.5797111111111005E-2</c:v>
                      </c:pt>
                      <c:pt idx="25">
                        <c:v>7.6805555555556002E-2</c:v>
                      </c:pt>
                      <c:pt idx="26">
                        <c:v>0.104102666666667</c:v>
                      </c:pt>
                      <c:pt idx="27">
                        <c:v>7.5495128205128006E-2</c:v>
                      </c:pt>
                      <c:pt idx="28">
                        <c:v>0.104058222222222</c:v>
                      </c:pt>
                      <c:pt idx="29">
                        <c:v>0.104057111111111</c:v>
                      </c:pt>
                      <c:pt idx="30">
                        <c:v>0.10411688888888899</c:v>
                      </c:pt>
                      <c:pt idx="31">
                        <c:v>7.6897435897436001E-2</c:v>
                      </c:pt>
                      <c:pt idx="32">
                        <c:v>0.10410311111111099</c:v>
                      </c:pt>
                      <c:pt idx="33">
                        <c:v>0.104076444444444</c:v>
                      </c:pt>
                      <c:pt idx="34">
                        <c:v>0.104198222222222</c:v>
                      </c:pt>
                      <c:pt idx="35">
                        <c:v>9.2064444444444005E-2</c:v>
                      </c:pt>
                      <c:pt idx="36">
                        <c:v>6.0025641025641001E-2</c:v>
                      </c:pt>
                      <c:pt idx="37">
                        <c:v>0.104103777777778</c:v>
                      </c:pt>
                      <c:pt idx="38">
                        <c:v>0.10408933333333301</c:v>
                      </c:pt>
                      <c:pt idx="39">
                        <c:v>0.118666666666667</c:v>
                      </c:pt>
                      <c:pt idx="40">
                        <c:v>0.104048666666667</c:v>
                      </c:pt>
                      <c:pt idx="41">
                        <c:v>7.8405384615385001E-2</c:v>
                      </c:pt>
                      <c:pt idx="42">
                        <c:v>0.103538444444444</c:v>
                      </c:pt>
                      <c:pt idx="43">
                        <c:v>0.104110666666667</c:v>
                      </c:pt>
                      <c:pt idx="44">
                        <c:v>0.104109555555556</c:v>
                      </c:pt>
                      <c:pt idx="45">
                        <c:v>0.104100444444444</c:v>
                      </c:pt>
                      <c:pt idx="46">
                        <c:v>0.11889256410256401</c:v>
                      </c:pt>
                      <c:pt idx="47">
                        <c:v>7.7238974358974005E-2</c:v>
                      </c:pt>
                      <c:pt idx="48">
                        <c:v>0.10406111111111099</c:v>
                      </c:pt>
                      <c:pt idx="49">
                        <c:v>0.104035777777778</c:v>
                      </c:pt>
                      <c:pt idx="50">
                        <c:v>0.104041555555556</c:v>
                      </c:pt>
                      <c:pt idx="51">
                        <c:v>8.6013555555555996E-2</c:v>
                      </c:pt>
                      <c:pt idx="52">
                        <c:v>5.4854358974359002E-2</c:v>
                      </c:pt>
                      <c:pt idx="53">
                        <c:v>7.1300512820513001E-2</c:v>
                      </c:pt>
                      <c:pt idx="54">
                        <c:v>8.9228717948718006E-2</c:v>
                      </c:pt>
                      <c:pt idx="55">
                        <c:v>7.3897179487178999E-2</c:v>
                      </c:pt>
                      <c:pt idx="56">
                        <c:v>7.9713111111110999E-2</c:v>
                      </c:pt>
                      <c:pt idx="57">
                        <c:v>9.1495111111110999E-2</c:v>
                      </c:pt>
                      <c:pt idx="58">
                        <c:v>9.4591794871795004E-2</c:v>
                      </c:pt>
                      <c:pt idx="59">
                        <c:v>7.3248461538461998E-2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52B-4F5A-A1F3-88BF9E918A81}"/>
                  </c:ext>
                </c:extLst>
              </c15:ser>
            </c15:filteredScatterSeries>
          </c:ext>
        </c:extLst>
      </c:scatterChart>
      <c:valAx>
        <c:axId val="1155599343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34767"/>
        <c:crossesAt val="-1.4"/>
        <c:crossBetween val="midCat"/>
      </c:valAx>
      <c:valAx>
        <c:axId val="7902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59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rgbClr val="FF0000"/>
                </a:solidFill>
              </a:rPr>
              <a:t>RDR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049985789992806E-2"/>
          <c:y val="0.1513714812855434"/>
          <c:w val="0.75599230987846266"/>
          <c:h val="0.7448712508189288"/>
        </c:manualLayout>
      </c:layout>
      <c:scatterChart>
        <c:scatterStyle val="lineMarker"/>
        <c:varyColors val="0"/>
        <c:ser>
          <c:idx val="2"/>
          <c:order val="2"/>
          <c:tx>
            <c:v>changeInPct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'CY14-effectOnMIDR_RDR_PFA'!$B$4:$B$63</c:f>
              <c:numCache>
                <c:formatCode>General</c:formatCode>
                <c:ptCount val="60"/>
                <c:pt idx="0">
                  <c:v>80011</c:v>
                </c:pt>
                <c:pt idx="1">
                  <c:v>80012</c:v>
                </c:pt>
                <c:pt idx="2">
                  <c:v>80021</c:v>
                </c:pt>
                <c:pt idx="3">
                  <c:v>80022</c:v>
                </c:pt>
                <c:pt idx="4">
                  <c:v>80031</c:v>
                </c:pt>
                <c:pt idx="5">
                  <c:v>80032</c:v>
                </c:pt>
                <c:pt idx="6">
                  <c:v>80041</c:v>
                </c:pt>
                <c:pt idx="7">
                  <c:v>80042</c:v>
                </c:pt>
                <c:pt idx="8">
                  <c:v>80051</c:v>
                </c:pt>
                <c:pt idx="9">
                  <c:v>80052</c:v>
                </c:pt>
                <c:pt idx="10">
                  <c:v>80061</c:v>
                </c:pt>
                <c:pt idx="11">
                  <c:v>80062</c:v>
                </c:pt>
                <c:pt idx="12">
                  <c:v>80071</c:v>
                </c:pt>
                <c:pt idx="13">
                  <c:v>80072</c:v>
                </c:pt>
                <c:pt idx="14">
                  <c:v>80081</c:v>
                </c:pt>
                <c:pt idx="15">
                  <c:v>80082</c:v>
                </c:pt>
                <c:pt idx="16">
                  <c:v>80091</c:v>
                </c:pt>
                <c:pt idx="17">
                  <c:v>80092</c:v>
                </c:pt>
                <c:pt idx="18">
                  <c:v>80101</c:v>
                </c:pt>
                <c:pt idx="19">
                  <c:v>80102</c:v>
                </c:pt>
                <c:pt idx="20">
                  <c:v>80111</c:v>
                </c:pt>
                <c:pt idx="21">
                  <c:v>80112</c:v>
                </c:pt>
                <c:pt idx="22">
                  <c:v>80121</c:v>
                </c:pt>
                <c:pt idx="23">
                  <c:v>80122</c:v>
                </c:pt>
                <c:pt idx="24">
                  <c:v>80131</c:v>
                </c:pt>
                <c:pt idx="25">
                  <c:v>80132</c:v>
                </c:pt>
                <c:pt idx="26">
                  <c:v>80141</c:v>
                </c:pt>
                <c:pt idx="27">
                  <c:v>80142</c:v>
                </c:pt>
                <c:pt idx="28">
                  <c:v>80151</c:v>
                </c:pt>
                <c:pt idx="29">
                  <c:v>80152</c:v>
                </c:pt>
                <c:pt idx="30">
                  <c:v>80161</c:v>
                </c:pt>
                <c:pt idx="31">
                  <c:v>80162</c:v>
                </c:pt>
                <c:pt idx="32">
                  <c:v>80171</c:v>
                </c:pt>
                <c:pt idx="33">
                  <c:v>80172</c:v>
                </c:pt>
                <c:pt idx="34">
                  <c:v>80181</c:v>
                </c:pt>
                <c:pt idx="35">
                  <c:v>80182</c:v>
                </c:pt>
                <c:pt idx="36">
                  <c:v>80191</c:v>
                </c:pt>
                <c:pt idx="37">
                  <c:v>80192</c:v>
                </c:pt>
                <c:pt idx="38">
                  <c:v>80201</c:v>
                </c:pt>
                <c:pt idx="39">
                  <c:v>80202</c:v>
                </c:pt>
                <c:pt idx="40">
                  <c:v>80211</c:v>
                </c:pt>
                <c:pt idx="41">
                  <c:v>80212</c:v>
                </c:pt>
                <c:pt idx="42">
                  <c:v>80221</c:v>
                </c:pt>
                <c:pt idx="43">
                  <c:v>80222</c:v>
                </c:pt>
                <c:pt idx="44">
                  <c:v>80231</c:v>
                </c:pt>
                <c:pt idx="45">
                  <c:v>80232</c:v>
                </c:pt>
                <c:pt idx="46">
                  <c:v>80241</c:v>
                </c:pt>
                <c:pt idx="47">
                  <c:v>80242</c:v>
                </c:pt>
                <c:pt idx="48">
                  <c:v>80251</c:v>
                </c:pt>
                <c:pt idx="49">
                  <c:v>80252</c:v>
                </c:pt>
                <c:pt idx="50">
                  <c:v>80261</c:v>
                </c:pt>
                <c:pt idx="51">
                  <c:v>80262</c:v>
                </c:pt>
                <c:pt idx="52">
                  <c:v>80271</c:v>
                </c:pt>
                <c:pt idx="53">
                  <c:v>80272</c:v>
                </c:pt>
                <c:pt idx="54">
                  <c:v>80281</c:v>
                </c:pt>
                <c:pt idx="55">
                  <c:v>80282</c:v>
                </c:pt>
                <c:pt idx="56">
                  <c:v>80291</c:v>
                </c:pt>
                <c:pt idx="57">
                  <c:v>80292</c:v>
                </c:pt>
                <c:pt idx="58">
                  <c:v>80301</c:v>
                </c:pt>
                <c:pt idx="59">
                  <c:v>80302</c:v>
                </c:pt>
              </c:numCache>
              <c:extLst xmlns:c15="http://schemas.microsoft.com/office/drawing/2012/chart"/>
            </c:numRef>
          </c:xVal>
          <c:yVal>
            <c:numRef>
              <c:f>'CY14-effectOnMIDR_RDR_PFA'!$H$4:$H$63</c:f>
              <c:numCache>
                <c:formatCode>0.00%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-1.2031778511059495E-3</c:v>
                </c:pt>
                <c:pt idx="3">
                  <c:v>-5.8831773042544904E-3</c:v>
                </c:pt>
                <c:pt idx="4">
                  <c:v>1.287705537615654E-2</c:v>
                </c:pt>
                <c:pt idx="5">
                  <c:v>-7.7272699278831944E-2</c:v>
                </c:pt>
                <c:pt idx="6">
                  <c:v>8.4856590698713721E-3</c:v>
                </c:pt>
                <c:pt idx="7">
                  <c:v>5.7427857413544286E-3</c:v>
                </c:pt>
                <c:pt idx="8">
                  <c:v>9.0144889780443202E-3</c:v>
                </c:pt>
                <c:pt idx="9">
                  <c:v>7.5660897940378293E-5</c:v>
                </c:pt>
                <c:pt idx="10">
                  <c:v>-4.1156747827331489E-3</c:v>
                </c:pt>
                <c:pt idx="11">
                  <c:v>0</c:v>
                </c:pt>
                <c:pt idx="12">
                  <c:v>0</c:v>
                </c:pt>
                <c:pt idx="13">
                  <c:v>4.6443987548151046E-3</c:v>
                </c:pt>
                <c:pt idx="14">
                  <c:v>4.1300709751019698E-4</c:v>
                </c:pt>
                <c:pt idx="15">
                  <c:v>1.595346258241839E-3</c:v>
                </c:pt>
                <c:pt idx="16">
                  <c:v>-8.1454042375903512E-4</c:v>
                </c:pt>
                <c:pt idx="17">
                  <c:v>5.1040324880282942E-2</c:v>
                </c:pt>
                <c:pt idx="18">
                  <c:v>1.8873771529867104E-4</c:v>
                </c:pt>
                <c:pt idx="19">
                  <c:v>-1.3033110182829127E-2</c:v>
                </c:pt>
                <c:pt idx="20">
                  <c:v>0</c:v>
                </c:pt>
                <c:pt idx="21">
                  <c:v>0</c:v>
                </c:pt>
                <c:pt idx="22">
                  <c:v>-2.2491353515857501E-2</c:v>
                </c:pt>
                <c:pt idx="23">
                  <c:v>-1.9405789089984929E-2</c:v>
                </c:pt>
                <c:pt idx="24">
                  <c:v>-1.4227764541089691E-3</c:v>
                </c:pt>
                <c:pt idx="25">
                  <c:v>1.4532848718348351E-2</c:v>
                </c:pt>
                <c:pt idx="26">
                  <c:v>0.18649339205145238</c:v>
                </c:pt>
                <c:pt idx="27">
                  <c:v>-2.7273114673218544E-4</c:v>
                </c:pt>
                <c:pt idx="28">
                  <c:v>1.4749262536926848E-2</c:v>
                </c:pt>
                <c:pt idx="29">
                  <c:v>1.8056266679844959E-3</c:v>
                </c:pt>
                <c:pt idx="30">
                  <c:v>2.1376414059352971E-3</c:v>
                </c:pt>
                <c:pt idx="31">
                  <c:v>0.2379134289252279</c:v>
                </c:pt>
                <c:pt idx="32">
                  <c:v>1.8827795404620192E-4</c:v>
                </c:pt>
                <c:pt idx="33">
                  <c:v>-2.0050724167690104E-2</c:v>
                </c:pt>
                <c:pt idx="34">
                  <c:v>-1.7244856500874152E-4</c:v>
                </c:pt>
                <c:pt idx="35">
                  <c:v>3.2158541523191884E-2</c:v>
                </c:pt>
                <c:pt idx="36">
                  <c:v>-9.9082801323100329E-3</c:v>
                </c:pt>
                <c:pt idx="37">
                  <c:v>-1.910835906727822E-3</c:v>
                </c:pt>
                <c:pt idx="38">
                  <c:v>3.7421878240022329E-3</c:v>
                </c:pt>
                <c:pt idx="39">
                  <c:v>6.8318836644894762E-4</c:v>
                </c:pt>
                <c:pt idx="40">
                  <c:v>2.9469333703100202E-4</c:v>
                </c:pt>
                <c:pt idx="41">
                  <c:v>6.4276454119030198E-4</c:v>
                </c:pt>
                <c:pt idx="42">
                  <c:v>-1.1587587236021951E-3</c:v>
                </c:pt>
                <c:pt idx="43">
                  <c:v>-2.1477217196277766E-3</c:v>
                </c:pt>
                <c:pt idx="44">
                  <c:v>-5.5928411622986385E-5</c:v>
                </c:pt>
                <c:pt idx="45">
                  <c:v>-9.4276636750643111E-3</c:v>
                </c:pt>
                <c:pt idx="46">
                  <c:v>6.2915888528257457E-3</c:v>
                </c:pt>
                <c:pt idx="47">
                  <c:v>5.4463786982791293E-2</c:v>
                </c:pt>
                <c:pt idx="48">
                  <c:v>0</c:v>
                </c:pt>
                <c:pt idx="49">
                  <c:v>0</c:v>
                </c:pt>
                <c:pt idx="50">
                  <c:v>4.9013528914904569E-4</c:v>
                </c:pt>
                <c:pt idx="51">
                  <c:v>1.5812853168914672E-2</c:v>
                </c:pt>
                <c:pt idx="52">
                  <c:v>0.13621770352407378</c:v>
                </c:pt>
                <c:pt idx="53">
                  <c:v>-6.3517416024236814E-3</c:v>
                </c:pt>
                <c:pt idx="54">
                  <c:v>-6.6710084182678361E-2</c:v>
                </c:pt>
                <c:pt idx="55">
                  <c:v>-0.58833872333275716</c:v>
                </c:pt>
                <c:pt idx="56">
                  <c:v>5.0560104141660914E-2</c:v>
                </c:pt>
                <c:pt idx="57">
                  <c:v>1.3809509157623853E-2</c:v>
                </c:pt>
                <c:pt idx="58">
                  <c:v>2.6439950872025188E-3</c:v>
                </c:pt>
                <c:pt idx="59">
                  <c:v>5.7838874287543744E-2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A3-4442-9EF1-C6F2AFE6D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599343"/>
        <c:axId val="7902347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originalGMs_RDR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'CY14-effectOnMIDR_RDR_PFA'!$B$4:$B$63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80011</c:v>
                      </c:pt>
                      <c:pt idx="1">
                        <c:v>80012</c:v>
                      </c:pt>
                      <c:pt idx="2">
                        <c:v>80021</c:v>
                      </c:pt>
                      <c:pt idx="3">
                        <c:v>80022</c:v>
                      </c:pt>
                      <c:pt idx="4">
                        <c:v>80031</c:v>
                      </c:pt>
                      <c:pt idx="5">
                        <c:v>80032</c:v>
                      </c:pt>
                      <c:pt idx="6">
                        <c:v>80041</c:v>
                      </c:pt>
                      <c:pt idx="7">
                        <c:v>80042</c:v>
                      </c:pt>
                      <c:pt idx="8">
                        <c:v>80051</c:v>
                      </c:pt>
                      <c:pt idx="9">
                        <c:v>80052</c:v>
                      </c:pt>
                      <c:pt idx="10">
                        <c:v>80061</c:v>
                      </c:pt>
                      <c:pt idx="11">
                        <c:v>80062</c:v>
                      </c:pt>
                      <c:pt idx="12">
                        <c:v>80071</c:v>
                      </c:pt>
                      <c:pt idx="13">
                        <c:v>80072</c:v>
                      </c:pt>
                      <c:pt idx="14">
                        <c:v>80081</c:v>
                      </c:pt>
                      <c:pt idx="15">
                        <c:v>80082</c:v>
                      </c:pt>
                      <c:pt idx="16">
                        <c:v>80091</c:v>
                      </c:pt>
                      <c:pt idx="17">
                        <c:v>80092</c:v>
                      </c:pt>
                      <c:pt idx="18">
                        <c:v>80101</c:v>
                      </c:pt>
                      <c:pt idx="19">
                        <c:v>80102</c:v>
                      </c:pt>
                      <c:pt idx="20">
                        <c:v>80111</c:v>
                      </c:pt>
                      <c:pt idx="21">
                        <c:v>80112</c:v>
                      </c:pt>
                      <c:pt idx="22">
                        <c:v>80121</c:v>
                      </c:pt>
                      <c:pt idx="23">
                        <c:v>80122</c:v>
                      </c:pt>
                      <c:pt idx="24">
                        <c:v>80131</c:v>
                      </c:pt>
                      <c:pt idx="25">
                        <c:v>80132</c:v>
                      </c:pt>
                      <c:pt idx="26">
                        <c:v>80141</c:v>
                      </c:pt>
                      <c:pt idx="27">
                        <c:v>80142</c:v>
                      </c:pt>
                      <c:pt idx="28">
                        <c:v>80151</c:v>
                      </c:pt>
                      <c:pt idx="29">
                        <c:v>80152</c:v>
                      </c:pt>
                      <c:pt idx="30">
                        <c:v>80161</c:v>
                      </c:pt>
                      <c:pt idx="31">
                        <c:v>80162</c:v>
                      </c:pt>
                      <c:pt idx="32">
                        <c:v>80171</c:v>
                      </c:pt>
                      <c:pt idx="33">
                        <c:v>80172</c:v>
                      </c:pt>
                      <c:pt idx="34">
                        <c:v>80181</c:v>
                      </c:pt>
                      <c:pt idx="35">
                        <c:v>80182</c:v>
                      </c:pt>
                      <c:pt idx="36">
                        <c:v>80191</c:v>
                      </c:pt>
                      <c:pt idx="37">
                        <c:v>80192</c:v>
                      </c:pt>
                      <c:pt idx="38">
                        <c:v>80201</c:v>
                      </c:pt>
                      <c:pt idx="39">
                        <c:v>80202</c:v>
                      </c:pt>
                      <c:pt idx="40">
                        <c:v>80211</c:v>
                      </c:pt>
                      <c:pt idx="41">
                        <c:v>80212</c:v>
                      </c:pt>
                      <c:pt idx="42">
                        <c:v>80221</c:v>
                      </c:pt>
                      <c:pt idx="43">
                        <c:v>80222</c:v>
                      </c:pt>
                      <c:pt idx="44">
                        <c:v>80231</c:v>
                      </c:pt>
                      <c:pt idx="45">
                        <c:v>80232</c:v>
                      </c:pt>
                      <c:pt idx="46">
                        <c:v>80241</c:v>
                      </c:pt>
                      <c:pt idx="47">
                        <c:v>80242</c:v>
                      </c:pt>
                      <c:pt idx="48">
                        <c:v>80251</c:v>
                      </c:pt>
                      <c:pt idx="49">
                        <c:v>80252</c:v>
                      </c:pt>
                      <c:pt idx="50">
                        <c:v>80261</c:v>
                      </c:pt>
                      <c:pt idx="51">
                        <c:v>80262</c:v>
                      </c:pt>
                      <c:pt idx="52">
                        <c:v>80271</c:v>
                      </c:pt>
                      <c:pt idx="53">
                        <c:v>80272</c:v>
                      </c:pt>
                      <c:pt idx="54">
                        <c:v>80281</c:v>
                      </c:pt>
                      <c:pt idx="55">
                        <c:v>80282</c:v>
                      </c:pt>
                      <c:pt idx="56">
                        <c:v>80291</c:v>
                      </c:pt>
                      <c:pt idx="57">
                        <c:v>80292</c:v>
                      </c:pt>
                      <c:pt idx="58">
                        <c:v>80301</c:v>
                      </c:pt>
                      <c:pt idx="59">
                        <c:v>80302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'CY14-effectOnMIDR_RDR_PFA'!$F$4:$F$63</c15:sqref>
                        </c15:formulaRef>
                      </c:ext>
                    </c:extLst>
                    <c:numCache>
                      <c:formatCode>0.0000</c:formatCode>
                      <c:ptCount val="60"/>
                      <c:pt idx="0">
                        <c:v>3.9324935897435999E-2</c:v>
                      </c:pt>
                      <c:pt idx="1">
                        <c:v>6.4746777777778E-2</c:v>
                      </c:pt>
                      <c:pt idx="2">
                        <c:v>4.2572444444444003E-2</c:v>
                      </c:pt>
                      <c:pt idx="3">
                        <c:v>8.0077666666667005E-2</c:v>
                      </c:pt>
                      <c:pt idx="4">
                        <c:v>6.6656025641026004E-2</c:v>
                      </c:pt>
                      <c:pt idx="5">
                        <c:v>1.2490230769231E-2</c:v>
                      </c:pt>
                      <c:pt idx="6">
                        <c:v>9.3543444444443999E-2</c:v>
                      </c:pt>
                      <c:pt idx="7">
                        <c:v>9.6754615384614995E-2</c:v>
                      </c:pt>
                      <c:pt idx="8">
                        <c:v>2.116108974359E-2</c:v>
                      </c:pt>
                      <c:pt idx="9">
                        <c:v>7.6251153846153996E-2</c:v>
                      </c:pt>
                      <c:pt idx="10">
                        <c:v>7.0354333333333005E-2</c:v>
                      </c:pt>
                      <c:pt idx="11">
                        <c:v>0</c:v>
                      </c:pt>
                      <c:pt idx="12">
                        <c:v>4.0636222222221997E-2</c:v>
                      </c:pt>
                      <c:pt idx="13">
                        <c:v>2.8804111111110999E-2</c:v>
                      </c:pt>
                      <c:pt idx="14">
                        <c:v>4.6542111111110999E-2</c:v>
                      </c:pt>
                      <c:pt idx="15">
                        <c:v>6.8532666666667005E-2</c:v>
                      </c:pt>
                      <c:pt idx="16">
                        <c:v>8.8666222222221994E-2</c:v>
                      </c:pt>
                      <c:pt idx="17">
                        <c:v>5.2153333333333003E-2</c:v>
                      </c:pt>
                      <c:pt idx="18">
                        <c:v>3.5675611111110998E-2</c:v>
                      </c:pt>
                      <c:pt idx="19">
                        <c:v>3.4339888888889003E-2</c:v>
                      </c:pt>
                      <c:pt idx="20">
                        <c:v>2.9021564102563999E-2</c:v>
                      </c:pt>
                      <c:pt idx="21">
                        <c:v>1.3512944444444E-2</c:v>
                      </c:pt>
                      <c:pt idx="22">
                        <c:v>4.7642999999999998E-2</c:v>
                      </c:pt>
                      <c:pt idx="23">
                        <c:v>5.5475999999999998E-2</c:v>
                      </c:pt>
                      <c:pt idx="24">
                        <c:v>4.2483444444443998E-2</c:v>
                      </c:pt>
                      <c:pt idx="25">
                        <c:v>3.9680222222221999E-2</c:v>
                      </c:pt>
                      <c:pt idx="26">
                        <c:v>5.1444777777777999E-2</c:v>
                      </c:pt>
                      <c:pt idx="27">
                        <c:v>3.9110555555556002E-2</c:v>
                      </c:pt>
                      <c:pt idx="28">
                        <c:v>9.0052307692309996E-3</c:v>
                      </c:pt>
                      <c:pt idx="29">
                        <c:v>4.9044222222222003E-2</c:v>
                      </c:pt>
                      <c:pt idx="30">
                        <c:v>2.7108717948718001E-2</c:v>
                      </c:pt>
                      <c:pt idx="31">
                        <c:v>5.7151794871795003E-2</c:v>
                      </c:pt>
                      <c:pt idx="32">
                        <c:v>3.1867777777778002E-2</c:v>
                      </c:pt>
                      <c:pt idx="33">
                        <c:v>3.2550777777777998E-2</c:v>
                      </c:pt>
                      <c:pt idx="34">
                        <c:v>1.5205822222222E-2</c:v>
                      </c:pt>
                      <c:pt idx="35">
                        <c:v>6.4213111111110999E-2</c:v>
                      </c:pt>
                      <c:pt idx="36">
                        <c:v>1.7603769230768999E-2</c:v>
                      </c:pt>
                      <c:pt idx="37">
                        <c:v>1.2571577777778E-2</c:v>
                      </c:pt>
                      <c:pt idx="38">
                        <c:v>3.4828111111110997E-2</c:v>
                      </c:pt>
                      <c:pt idx="39">
                        <c:v>7.6926888888889003E-2</c:v>
                      </c:pt>
                      <c:pt idx="40">
                        <c:v>4.2286461538462002E-2</c:v>
                      </c:pt>
                      <c:pt idx="41">
                        <c:v>5.0994999999999999E-2</c:v>
                      </c:pt>
                      <c:pt idx="42">
                        <c:v>8.8600555555556001E-2</c:v>
                      </c:pt>
                      <c:pt idx="43">
                        <c:v>1.4552888888890001E-3</c:v>
                      </c:pt>
                      <c:pt idx="44">
                        <c:v>2.5215384615385E-2</c:v>
                      </c:pt>
                      <c:pt idx="45">
                        <c:v>9.1032333333332993E-2</c:v>
                      </c:pt>
                      <c:pt idx="46">
                        <c:v>8.4850769230768994E-2</c:v>
                      </c:pt>
                      <c:pt idx="47">
                        <c:v>5.5543846153845999E-2</c:v>
                      </c:pt>
                      <c:pt idx="48">
                        <c:v>2.7184948717948999E-2</c:v>
                      </c:pt>
                      <c:pt idx="49">
                        <c:v>2.5870128205128001E-2</c:v>
                      </c:pt>
                      <c:pt idx="50">
                        <c:v>4.3420769230768999E-2</c:v>
                      </c:pt>
                      <c:pt idx="51">
                        <c:v>5.6079555555556E-2</c:v>
                      </c:pt>
                      <c:pt idx="52">
                        <c:v>1.7792188888889001E-2</c:v>
                      </c:pt>
                      <c:pt idx="53">
                        <c:v>2.1565388888888998E-2</c:v>
                      </c:pt>
                      <c:pt idx="54">
                        <c:v>5.0592051282051E-2</c:v>
                      </c:pt>
                      <c:pt idx="55">
                        <c:v>2.2275346153846E-2</c:v>
                      </c:pt>
                      <c:pt idx="56">
                        <c:v>3.2434444444444002E-2</c:v>
                      </c:pt>
                      <c:pt idx="57">
                        <c:v>5.7778222222222002E-2</c:v>
                      </c:pt>
                      <c:pt idx="58">
                        <c:v>7.2442820512820999E-2</c:v>
                      </c:pt>
                      <c:pt idx="59">
                        <c:v>2.9219102564103001E-2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7A3-4442-9EF1-C6F2AFE6D62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curtailedGMs_RDR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'CY14-effectOnMIDR_RDR_PFA'!$B$4:$B$63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80011</c:v>
                      </c:pt>
                      <c:pt idx="1">
                        <c:v>80012</c:v>
                      </c:pt>
                      <c:pt idx="2">
                        <c:v>80021</c:v>
                      </c:pt>
                      <c:pt idx="3">
                        <c:v>80022</c:v>
                      </c:pt>
                      <c:pt idx="4">
                        <c:v>80031</c:v>
                      </c:pt>
                      <c:pt idx="5">
                        <c:v>80032</c:v>
                      </c:pt>
                      <c:pt idx="6">
                        <c:v>80041</c:v>
                      </c:pt>
                      <c:pt idx="7">
                        <c:v>80042</c:v>
                      </c:pt>
                      <c:pt idx="8">
                        <c:v>80051</c:v>
                      </c:pt>
                      <c:pt idx="9">
                        <c:v>80052</c:v>
                      </c:pt>
                      <c:pt idx="10">
                        <c:v>80061</c:v>
                      </c:pt>
                      <c:pt idx="11">
                        <c:v>80062</c:v>
                      </c:pt>
                      <c:pt idx="12">
                        <c:v>80071</c:v>
                      </c:pt>
                      <c:pt idx="13">
                        <c:v>80072</c:v>
                      </c:pt>
                      <c:pt idx="14">
                        <c:v>80081</c:v>
                      </c:pt>
                      <c:pt idx="15">
                        <c:v>80082</c:v>
                      </c:pt>
                      <c:pt idx="16">
                        <c:v>80091</c:v>
                      </c:pt>
                      <c:pt idx="17">
                        <c:v>80092</c:v>
                      </c:pt>
                      <c:pt idx="18">
                        <c:v>80101</c:v>
                      </c:pt>
                      <c:pt idx="19">
                        <c:v>80102</c:v>
                      </c:pt>
                      <c:pt idx="20">
                        <c:v>80111</c:v>
                      </c:pt>
                      <c:pt idx="21">
                        <c:v>80112</c:v>
                      </c:pt>
                      <c:pt idx="22">
                        <c:v>80121</c:v>
                      </c:pt>
                      <c:pt idx="23">
                        <c:v>80122</c:v>
                      </c:pt>
                      <c:pt idx="24">
                        <c:v>80131</c:v>
                      </c:pt>
                      <c:pt idx="25">
                        <c:v>80132</c:v>
                      </c:pt>
                      <c:pt idx="26">
                        <c:v>80141</c:v>
                      </c:pt>
                      <c:pt idx="27">
                        <c:v>80142</c:v>
                      </c:pt>
                      <c:pt idx="28">
                        <c:v>80151</c:v>
                      </c:pt>
                      <c:pt idx="29">
                        <c:v>80152</c:v>
                      </c:pt>
                      <c:pt idx="30">
                        <c:v>80161</c:v>
                      </c:pt>
                      <c:pt idx="31">
                        <c:v>80162</c:v>
                      </c:pt>
                      <c:pt idx="32">
                        <c:v>80171</c:v>
                      </c:pt>
                      <c:pt idx="33">
                        <c:v>80172</c:v>
                      </c:pt>
                      <c:pt idx="34">
                        <c:v>80181</c:v>
                      </c:pt>
                      <c:pt idx="35">
                        <c:v>80182</c:v>
                      </c:pt>
                      <c:pt idx="36">
                        <c:v>80191</c:v>
                      </c:pt>
                      <c:pt idx="37">
                        <c:v>80192</c:v>
                      </c:pt>
                      <c:pt idx="38">
                        <c:v>80201</c:v>
                      </c:pt>
                      <c:pt idx="39">
                        <c:v>80202</c:v>
                      </c:pt>
                      <c:pt idx="40">
                        <c:v>80211</c:v>
                      </c:pt>
                      <c:pt idx="41">
                        <c:v>80212</c:v>
                      </c:pt>
                      <c:pt idx="42">
                        <c:v>80221</c:v>
                      </c:pt>
                      <c:pt idx="43">
                        <c:v>80222</c:v>
                      </c:pt>
                      <c:pt idx="44">
                        <c:v>80231</c:v>
                      </c:pt>
                      <c:pt idx="45">
                        <c:v>80232</c:v>
                      </c:pt>
                      <c:pt idx="46">
                        <c:v>80241</c:v>
                      </c:pt>
                      <c:pt idx="47">
                        <c:v>80242</c:v>
                      </c:pt>
                      <c:pt idx="48">
                        <c:v>80251</c:v>
                      </c:pt>
                      <c:pt idx="49">
                        <c:v>80252</c:v>
                      </c:pt>
                      <c:pt idx="50">
                        <c:v>80261</c:v>
                      </c:pt>
                      <c:pt idx="51">
                        <c:v>80262</c:v>
                      </c:pt>
                      <c:pt idx="52">
                        <c:v>80271</c:v>
                      </c:pt>
                      <c:pt idx="53">
                        <c:v>80272</c:v>
                      </c:pt>
                      <c:pt idx="54">
                        <c:v>80281</c:v>
                      </c:pt>
                      <c:pt idx="55">
                        <c:v>80282</c:v>
                      </c:pt>
                      <c:pt idx="56">
                        <c:v>80291</c:v>
                      </c:pt>
                      <c:pt idx="57">
                        <c:v>80292</c:v>
                      </c:pt>
                      <c:pt idx="58">
                        <c:v>80301</c:v>
                      </c:pt>
                      <c:pt idx="59">
                        <c:v>80302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'CY14-effectOnMIDR_RDR_PFA'!$G$4:$G$63</c15:sqref>
                        </c15:formulaRef>
                      </c:ext>
                    </c:extLst>
                    <c:numCache>
                      <c:formatCode>0.0000</c:formatCode>
                      <c:ptCount val="60"/>
                      <c:pt idx="0">
                        <c:v>3.9324935897435999E-2</c:v>
                      </c:pt>
                      <c:pt idx="1">
                        <c:v>6.4746777777778E-2</c:v>
                      </c:pt>
                      <c:pt idx="2">
                        <c:v>4.2623666666666997E-2</c:v>
                      </c:pt>
                      <c:pt idx="3">
                        <c:v>8.0548777777777997E-2</c:v>
                      </c:pt>
                      <c:pt idx="4">
                        <c:v>6.5797692307692002E-2</c:v>
                      </c:pt>
                      <c:pt idx="5">
                        <c:v>1.3455384615385001E-2</c:v>
                      </c:pt>
                      <c:pt idx="6">
                        <c:v>9.2749666666666994E-2</c:v>
                      </c:pt>
                      <c:pt idx="7">
                        <c:v>9.6198974358973996E-2</c:v>
                      </c:pt>
                      <c:pt idx="8">
                        <c:v>2.0970333333333001E-2</c:v>
                      </c:pt>
                      <c:pt idx="9">
                        <c:v>7.6245384615385006E-2</c:v>
                      </c:pt>
                      <c:pt idx="10">
                        <c:v>7.0643888888889006E-2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2.8670333333332999E-2</c:v>
                      </c:pt>
                      <c:pt idx="14">
                        <c:v>4.6522888888889002E-2</c:v>
                      </c:pt>
                      <c:pt idx="15">
                        <c:v>6.8423333333333003E-2</c:v>
                      </c:pt>
                      <c:pt idx="16">
                        <c:v>8.8738444444443995E-2</c:v>
                      </c:pt>
                      <c:pt idx="17">
                        <c:v>4.9491410256409997E-2</c:v>
                      </c:pt>
                      <c:pt idx="18">
                        <c:v>3.5668877777778003E-2</c:v>
                      </c:pt>
                      <c:pt idx="19">
                        <c:v>3.4787444444444003E-2</c:v>
                      </c:pt>
                      <c:pt idx="20">
                        <c:v>2.9021564102563999E-2</c:v>
                      </c:pt>
                      <c:pt idx="21">
                        <c:v>1.3512944444444E-2</c:v>
                      </c:pt>
                      <c:pt idx="22">
                        <c:v>4.8714555555555997E-2</c:v>
                      </c:pt>
                      <c:pt idx="23">
                        <c:v>5.6552555555556001E-2</c:v>
                      </c:pt>
                      <c:pt idx="24">
                        <c:v>4.2543888888888999E-2</c:v>
                      </c:pt>
                      <c:pt idx="25">
                        <c:v>3.9103555555556002E-2</c:v>
                      </c:pt>
                      <c:pt idx="26">
                        <c:v>4.1850666666667001E-2</c:v>
                      </c:pt>
                      <c:pt idx="27">
                        <c:v>3.9121222222222002E-2</c:v>
                      </c:pt>
                      <c:pt idx="28">
                        <c:v>8.8724102564099998E-3</c:v>
                      </c:pt>
                      <c:pt idx="29">
                        <c:v>4.8955666666667001E-2</c:v>
                      </c:pt>
                      <c:pt idx="30">
                        <c:v>2.7050769230769E-2</c:v>
                      </c:pt>
                      <c:pt idx="31">
                        <c:v>4.3554615384614997E-2</c:v>
                      </c:pt>
                      <c:pt idx="32">
                        <c:v>3.1861777777778003E-2</c:v>
                      </c:pt>
                      <c:pt idx="33">
                        <c:v>3.3203444444444001E-2</c:v>
                      </c:pt>
                      <c:pt idx="34">
                        <c:v>1.5208444444444E-2</c:v>
                      </c:pt>
                      <c:pt idx="35">
                        <c:v>6.2148111111111001E-2</c:v>
                      </c:pt>
                      <c:pt idx="36">
                        <c:v>1.7778192307691999E-2</c:v>
                      </c:pt>
                      <c:pt idx="37">
                        <c:v>1.25956E-2</c:v>
                      </c:pt>
                      <c:pt idx="38">
                        <c:v>3.4697777777778001E-2</c:v>
                      </c:pt>
                      <c:pt idx="39">
                        <c:v>7.6874333333333003E-2</c:v>
                      </c:pt>
                      <c:pt idx="40">
                        <c:v>4.2273999999999999E-2</c:v>
                      </c:pt>
                      <c:pt idx="41">
                        <c:v>5.0962222222221999E-2</c:v>
                      </c:pt>
                      <c:pt idx="42">
                        <c:v>8.8703222222222003E-2</c:v>
                      </c:pt>
                      <c:pt idx="43">
                        <c:v>1.4584144444439999E-3</c:v>
                      </c:pt>
                      <c:pt idx="44">
                        <c:v>2.5216794871795001E-2</c:v>
                      </c:pt>
                      <c:pt idx="45">
                        <c:v>9.1890555555556003E-2</c:v>
                      </c:pt>
                      <c:pt idx="46">
                        <c:v>8.4316923076922998E-2</c:v>
                      </c:pt>
                      <c:pt idx="47">
                        <c:v>5.2518717948717999E-2</c:v>
                      </c:pt>
                      <c:pt idx="48">
                        <c:v>2.7184948717948999E-2</c:v>
                      </c:pt>
                      <c:pt idx="49">
                        <c:v>2.5870128205128001E-2</c:v>
                      </c:pt>
                      <c:pt idx="50">
                        <c:v>4.3399487179487002E-2</c:v>
                      </c:pt>
                      <c:pt idx="51">
                        <c:v>5.5192777777778E-2</c:v>
                      </c:pt>
                      <c:pt idx="52">
                        <c:v>1.5368577777778E-2</c:v>
                      </c:pt>
                      <c:pt idx="53">
                        <c:v>2.1702366666667E-2</c:v>
                      </c:pt>
                      <c:pt idx="54">
                        <c:v>5.3967051282051003E-2</c:v>
                      </c:pt>
                      <c:pt idx="55">
                        <c:v>3.5380794871794997E-2</c:v>
                      </c:pt>
                      <c:pt idx="56">
                        <c:v>3.0794555555555998E-2</c:v>
                      </c:pt>
                      <c:pt idx="57">
                        <c:v>5.6980333333333001E-2</c:v>
                      </c:pt>
                      <c:pt idx="58">
                        <c:v>7.2251282051282006E-2</c:v>
                      </c:pt>
                      <c:pt idx="59">
                        <c:v>2.7529102564103E-2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7A3-4442-9EF1-C6F2AFE6D62A}"/>
                  </c:ext>
                </c:extLst>
              </c15:ser>
            </c15:filteredScatterSeries>
          </c:ext>
        </c:extLst>
      </c:scatterChart>
      <c:valAx>
        <c:axId val="1155599343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34767"/>
        <c:crossesAt val="-1.4"/>
        <c:crossBetween val="midCat"/>
      </c:valAx>
      <c:valAx>
        <c:axId val="7902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59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57269003937651"/>
          <c:y val="0.45932287967387503"/>
          <c:w val="0.16386699903203827"/>
          <c:h val="0.24449483243875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rgbClr val="FF0000"/>
                </a:solidFill>
              </a:rPr>
              <a:t>PFA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049985789992806E-2"/>
          <c:y val="0.1513714812855434"/>
          <c:w val="0.75599230987846266"/>
          <c:h val="0.7448712508189288"/>
        </c:manualLayout>
      </c:layout>
      <c:scatterChart>
        <c:scatterStyle val="lineMarker"/>
        <c:varyColors val="0"/>
        <c:ser>
          <c:idx val="2"/>
          <c:order val="2"/>
          <c:tx>
            <c:v>changeInPct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'CY14-effectOnMIDR_RDR_PFA'!$B$4:$B$63</c:f>
              <c:numCache>
                <c:formatCode>General</c:formatCode>
                <c:ptCount val="60"/>
                <c:pt idx="0">
                  <c:v>80011</c:v>
                </c:pt>
                <c:pt idx="1">
                  <c:v>80012</c:v>
                </c:pt>
                <c:pt idx="2">
                  <c:v>80021</c:v>
                </c:pt>
                <c:pt idx="3">
                  <c:v>80022</c:v>
                </c:pt>
                <c:pt idx="4">
                  <c:v>80031</c:v>
                </c:pt>
                <c:pt idx="5">
                  <c:v>80032</c:v>
                </c:pt>
                <c:pt idx="6">
                  <c:v>80041</c:v>
                </c:pt>
                <c:pt idx="7">
                  <c:v>80042</c:v>
                </c:pt>
                <c:pt idx="8">
                  <c:v>80051</c:v>
                </c:pt>
                <c:pt idx="9">
                  <c:v>80052</c:v>
                </c:pt>
                <c:pt idx="10">
                  <c:v>80061</c:v>
                </c:pt>
                <c:pt idx="11">
                  <c:v>80062</c:v>
                </c:pt>
                <c:pt idx="12">
                  <c:v>80071</c:v>
                </c:pt>
                <c:pt idx="13">
                  <c:v>80072</c:v>
                </c:pt>
                <c:pt idx="14">
                  <c:v>80081</c:v>
                </c:pt>
                <c:pt idx="15">
                  <c:v>80082</c:v>
                </c:pt>
                <c:pt idx="16">
                  <c:v>80091</c:v>
                </c:pt>
                <c:pt idx="17">
                  <c:v>80092</c:v>
                </c:pt>
                <c:pt idx="18">
                  <c:v>80101</c:v>
                </c:pt>
                <c:pt idx="19">
                  <c:v>80102</c:v>
                </c:pt>
                <c:pt idx="20">
                  <c:v>80111</c:v>
                </c:pt>
                <c:pt idx="21">
                  <c:v>80112</c:v>
                </c:pt>
                <c:pt idx="22">
                  <c:v>80121</c:v>
                </c:pt>
                <c:pt idx="23">
                  <c:v>80122</c:v>
                </c:pt>
                <c:pt idx="24">
                  <c:v>80131</c:v>
                </c:pt>
                <c:pt idx="25">
                  <c:v>80132</c:v>
                </c:pt>
                <c:pt idx="26">
                  <c:v>80141</c:v>
                </c:pt>
                <c:pt idx="27">
                  <c:v>80142</c:v>
                </c:pt>
                <c:pt idx="28">
                  <c:v>80151</c:v>
                </c:pt>
                <c:pt idx="29">
                  <c:v>80152</c:v>
                </c:pt>
                <c:pt idx="30">
                  <c:v>80161</c:v>
                </c:pt>
                <c:pt idx="31">
                  <c:v>80162</c:v>
                </c:pt>
                <c:pt idx="32">
                  <c:v>80171</c:v>
                </c:pt>
                <c:pt idx="33">
                  <c:v>80172</c:v>
                </c:pt>
                <c:pt idx="34">
                  <c:v>80181</c:v>
                </c:pt>
                <c:pt idx="35">
                  <c:v>80182</c:v>
                </c:pt>
                <c:pt idx="36">
                  <c:v>80191</c:v>
                </c:pt>
                <c:pt idx="37">
                  <c:v>80192</c:v>
                </c:pt>
                <c:pt idx="38">
                  <c:v>80201</c:v>
                </c:pt>
                <c:pt idx="39">
                  <c:v>80202</c:v>
                </c:pt>
                <c:pt idx="40">
                  <c:v>80211</c:v>
                </c:pt>
                <c:pt idx="41">
                  <c:v>80212</c:v>
                </c:pt>
                <c:pt idx="42">
                  <c:v>80221</c:v>
                </c:pt>
                <c:pt idx="43">
                  <c:v>80222</c:v>
                </c:pt>
                <c:pt idx="44">
                  <c:v>80231</c:v>
                </c:pt>
                <c:pt idx="45">
                  <c:v>80232</c:v>
                </c:pt>
                <c:pt idx="46">
                  <c:v>80241</c:v>
                </c:pt>
                <c:pt idx="47">
                  <c:v>80242</c:v>
                </c:pt>
                <c:pt idx="48">
                  <c:v>80251</c:v>
                </c:pt>
                <c:pt idx="49">
                  <c:v>80252</c:v>
                </c:pt>
                <c:pt idx="50">
                  <c:v>80261</c:v>
                </c:pt>
                <c:pt idx="51">
                  <c:v>80262</c:v>
                </c:pt>
                <c:pt idx="52">
                  <c:v>80271</c:v>
                </c:pt>
                <c:pt idx="53">
                  <c:v>80272</c:v>
                </c:pt>
                <c:pt idx="54">
                  <c:v>80281</c:v>
                </c:pt>
                <c:pt idx="55">
                  <c:v>80282</c:v>
                </c:pt>
                <c:pt idx="56">
                  <c:v>80291</c:v>
                </c:pt>
                <c:pt idx="57">
                  <c:v>80292</c:v>
                </c:pt>
                <c:pt idx="58">
                  <c:v>80301</c:v>
                </c:pt>
                <c:pt idx="59">
                  <c:v>80302</c:v>
                </c:pt>
              </c:numCache>
              <c:extLst xmlns:c15="http://schemas.microsoft.com/office/drawing/2012/chart"/>
            </c:numRef>
          </c:xVal>
          <c:yVal>
            <c:numRef>
              <c:f>'CY14-effectOnMIDR_RDR_PFA'!$K$4:$K$63</c:f>
              <c:numCache>
                <c:formatCode>0.00%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-6.9561972816479557E-3</c:v>
                </c:pt>
                <c:pt idx="3">
                  <c:v>-0.13947162592835979</c:v>
                </c:pt>
                <c:pt idx="4">
                  <c:v>-0.43553915690624573</c:v>
                </c:pt>
                <c:pt idx="5">
                  <c:v>-0.47640032541989324</c:v>
                </c:pt>
                <c:pt idx="6">
                  <c:v>-2.1916767746655744E-2</c:v>
                </c:pt>
                <c:pt idx="7">
                  <c:v>-5.989059247949241E-2</c:v>
                </c:pt>
                <c:pt idx="8">
                  <c:v>0</c:v>
                </c:pt>
                <c:pt idx="9">
                  <c:v>0</c:v>
                </c:pt>
                <c:pt idx="10">
                  <c:v>-0.21069977167563811</c:v>
                </c:pt>
                <c:pt idx="11">
                  <c:v>6.5357055670666103E-2</c:v>
                </c:pt>
                <c:pt idx="12">
                  <c:v>-2.2408422630750199E-3</c:v>
                </c:pt>
                <c:pt idx="13">
                  <c:v>-0.19029623175397661</c:v>
                </c:pt>
                <c:pt idx="14">
                  <c:v>-3.6622407533792062E-2</c:v>
                </c:pt>
                <c:pt idx="15">
                  <c:v>-3.0547256987230736E-2</c:v>
                </c:pt>
                <c:pt idx="16">
                  <c:v>1.2890222001773113E-2</c:v>
                </c:pt>
                <c:pt idx="17">
                  <c:v>-0.56636384802448247</c:v>
                </c:pt>
                <c:pt idx="18">
                  <c:v>1.3472756987961345E-2</c:v>
                </c:pt>
                <c:pt idx="19">
                  <c:v>-4.0731844442224982E-2</c:v>
                </c:pt>
                <c:pt idx="20">
                  <c:v>0</c:v>
                </c:pt>
                <c:pt idx="21">
                  <c:v>0</c:v>
                </c:pt>
                <c:pt idx="22">
                  <c:v>-0.25032265885707983</c:v>
                </c:pt>
                <c:pt idx="23">
                  <c:v>-6.8744366438651394E-2</c:v>
                </c:pt>
                <c:pt idx="24">
                  <c:v>-7.8169677804155985E-2</c:v>
                </c:pt>
                <c:pt idx="25">
                  <c:v>-0.29785804221750128</c:v>
                </c:pt>
                <c:pt idx="26">
                  <c:v>-2.8750671069791366E-2</c:v>
                </c:pt>
                <c:pt idx="27">
                  <c:v>-0.16902182595587528</c:v>
                </c:pt>
                <c:pt idx="28">
                  <c:v>2.5675768632043402E-2</c:v>
                </c:pt>
                <c:pt idx="29">
                  <c:v>-0.11948254871359346</c:v>
                </c:pt>
                <c:pt idx="30">
                  <c:v>-0.55240930928891907</c:v>
                </c:pt>
                <c:pt idx="31">
                  <c:v>-2.6205605202614196E-2</c:v>
                </c:pt>
                <c:pt idx="32">
                  <c:v>-0.12972847775039248</c:v>
                </c:pt>
                <c:pt idx="33">
                  <c:v>-0.19509509245490897</c:v>
                </c:pt>
                <c:pt idx="34">
                  <c:v>-5.0737708603952561E-2</c:v>
                </c:pt>
                <c:pt idx="35">
                  <c:v>-4.8420676366872181E-2</c:v>
                </c:pt>
                <c:pt idx="36">
                  <c:v>-7.8556032788899388E-2</c:v>
                </c:pt>
                <c:pt idx="37">
                  <c:v>3.5136561158700626E-2</c:v>
                </c:pt>
                <c:pt idx="38">
                  <c:v>-7.6393987800882454E-2</c:v>
                </c:pt>
                <c:pt idx="39">
                  <c:v>-0.11459087745536445</c:v>
                </c:pt>
                <c:pt idx="40">
                  <c:v>-0.36960032548892052</c:v>
                </c:pt>
                <c:pt idx="41">
                  <c:v>-0.34561416018062036</c:v>
                </c:pt>
                <c:pt idx="42">
                  <c:v>9.6048932267695452E-4</c:v>
                </c:pt>
                <c:pt idx="43">
                  <c:v>-1.8336900588873162E-2</c:v>
                </c:pt>
                <c:pt idx="44">
                  <c:v>3.35282928839363E-2</c:v>
                </c:pt>
                <c:pt idx="45">
                  <c:v>-1.3800822206290243E-2</c:v>
                </c:pt>
                <c:pt idx="46">
                  <c:v>-3.1526798187501266E-2</c:v>
                </c:pt>
                <c:pt idx="47">
                  <c:v>-1.5843799766342471E-2</c:v>
                </c:pt>
                <c:pt idx="48">
                  <c:v>0</c:v>
                </c:pt>
                <c:pt idx="49">
                  <c:v>0</c:v>
                </c:pt>
                <c:pt idx="50">
                  <c:v>-0.10885408377341037</c:v>
                </c:pt>
                <c:pt idx="51">
                  <c:v>-0.18698944748578744</c:v>
                </c:pt>
                <c:pt idx="52">
                  <c:v>-0.1578262436986255</c:v>
                </c:pt>
                <c:pt idx="53">
                  <c:v>3.1686259384041043E-2</c:v>
                </c:pt>
                <c:pt idx="54">
                  <c:v>-0.12813809143491678</c:v>
                </c:pt>
                <c:pt idx="55">
                  <c:v>-0.14606548794882829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73-44EF-9BE8-CC3DFB9A3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599343"/>
        <c:axId val="7902347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originalGMs_PFA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'CY14-effectOnMIDR_RDR_PFA'!$B$4:$B$63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80011</c:v>
                      </c:pt>
                      <c:pt idx="1">
                        <c:v>80012</c:v>
                      </c:pt>
                      <c:pt idx="2">
                        <c:v>80021</c:v>
                      </c:pt>
                      <c:pt idx="3">
                        <c:v>80022</c:v>
                      </c:pt>
                      <c:pt idx="4">
                        <c:v>80031</c:v>
                      </c:pt>
                      <c:pt idx="5">
                        <c:v>80032</c:v>
                      </c:pt>
                      <c:pt idx="6">
                        <c:v>80041</c:v>
                      </c:pt>
                      <c:pt idx="7">
                        <c:v>80042</c:v>
                      </c:pt>
                      <c:pt idx="8">
                        <c:v>80051</c:v>
                      </c:pt>
                      <c:pt idx="9">
                        <c:v>80052</c:v>
                      </c:pt>
                      <c:pt idx="10">
                        <c:v>80061</c:v>
                      </c:pt>
                      <c:pt idx="11">
                        <c:v>80062</c:v>
                      </c:pt>
                      <c:pt idx="12">
                        <c:v>80071</c:v>
                      </c:pt>
                      <c:pt idx="13">
                        <c:v>80072</c:v>
                      </c:pt>
                      <c:pt idx="14">
                        <c:v>80081</c:v>
                      </c:pt>
                      <c:pt idx="15">
                        <c:v>80082</c:v>
                      </c:pt>
                      <c:pt idx="16">
                        <c:v>80091</c:v>
                      </c:pt>
                      <c:pt idx="17">
                        <c:v>80092</c:v>
                      </c:pt>
                      <c:pt idx="18">
                        <c:v>80101</c:v>
                      </c:pt>
                      <c:pt idx="19">
                        <c:v>80102</c:v>
                      </c:pt>
                      <c:pt idx="20">
                        <c:v>80111</c:v>
                      </c:pt>
                      <c:pt idx="21">
                        <c:v>80112</c:v>
                      </c:pt>
                      <c:pt idx="22">
                        <c:v>80121</c:v>
                      </c:pt>
                      <c:pt idx="23">
                        <c:v>80122</c:v>
                      </c:pt>
                      <c:pt idx="24">
                        <c:v>80131</c:v>
                      </c:pt>
                      <c:pt idx="25">
                        <c:v>80132</c:v>
                      </c:pt>
                      <c:pt idx="26">
                        <c:v>80141</c:v>
                      </c:pt>
                      <c:pt idx="27">
                        <c:v>80142</c:v>
                      </c:pt>
                      <c:pt idx="28">
                        <c:v>80151</c:v>
                      </c:pt>
                      <c:pt idx="29">
                        <c:v>80152</c:v>
                      </c:pt>
                      <c:pt idx="30">
                        <c:v>80161</c:v>
                      </c:pt>
                      <c:pt idx="31">
                        <c:v>80162</c:v>
                      </c:pt>
                      <c:pt idx="32">
                        <c:v>80171</c:v>
                      </c:pt>
                      <c:pt idx="33">
                        <c:v>80172</c:v>
                      </c:pt>
                      <c:pt idx="34">
                        <c:v>80181</c:v>
                      </c:pt>
                      <c:pt idx="35">
                        <c:v>80182</c:v>
                      </c:pt>
                      <c:pt idx="36">
                        <c:v>80191</c:v>
                      </c:pt>
                      <c:pt idx="37">
                        <c:v>80192</c:v>
                      </c:pt>
                      <c:pt idx="38">
                        <c:v>80201</c:v>
                      </c:pt>
                      <c:pt idx="39">
                        <c:v>80202</c:v>
                      </c:pt>
                      <c:pt idx="40">
                        <c:v>80211</c:v>
                      </c:pt>
                      <c:pt idx="41">
                        <c:v>80212</c:v>
                      </c:pt>
                      <c:pt idx="42">
                        <c:v>80221</c:v>
                      </c:pt>
                      <c:pt idx="43">
                        <c:v>80222</c:v>
                      </c:pt>
                      <c:pt idx="44">
                        <c:v>80231</c:v>
                      </c:pt>
                      <c:pt idx="45">
                        <c:v>80232</c:v>
                      </c:pt>
                      <c:pt idx="46">
                        <c:v>80241</c:v>
                      </c:pt>
                      <c:pt idx="47">
                        <c:v>80242</c:v>
                      </c:pt>
                      <c:pt idx="48">
                        <c:v>80251</c:v>
                      </c:pt>
                      <c:pt idx="49">
                        <c:v>80252</c:v>
                      </c:pt>
                      <c:pt idx="50">
                        <c:v>80261</c:v>
                      </c:pt>
                      <c:pt idx="51">
                        <c:v>80262</c:v>
                      </c:pt>
                      <c:pt idx="52">
                        <c:v>80271</c:v>
                      </c:pt>
                      <c:pt idx="53">
                        <c:v>80272</c:v>
                      </c:pt>
                      <c:pt idx="54">
                        <c:v>80281</c:v>
                      </c:pt>
                      <c:pt idx="55">
                        <c:v>80282</c:v>
                      </c:pt>
                      <c:pt idx="56">
                        <c:v>80291</c:v>
                      </c:pt>
                      <c:pt idx="57">
                        <c:v>80292</c:v>
                      </c:pt>
                      <c:pt idx="58">
                        <c:v>80301</c:v>
                      </c:pt>
                      <c:pt idx="59">
                        <c:v>80302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'CY14-effectOnMIDR_RDR_PFA'!$I$4:$I$63</c15:sqref>
                        </c15:formulaRef>
                      </c:ext>
                    </c:extLst>
                    <c:numCache>
                      <c:formatCode>0.00</c:formatCode>
                      <c:ptCount val="60"/>
                      <c:pt idx="0">
                        <c:v>2.1838698362420002</c:v>
                      </c:pt>
                      <c:pt idx="1">
                        <c:v>2.2740035374557701</c:v>
                      </c:pt>
                      <c:pt idx="2">
                        <c:v>1.6780329639320799</c:v>
                      </c:pt>
                      <c:pt idx="3">
                        <c:v>1.4701123352060801</c:v>
                      </c:pt>
                      <c:pt idx="4">
                        <c:v>1.72492936144258</c:v>
                      </c:pt>
                      <c:pt idx="5">
                        <c:v>1.64008751421943</c:v>
                      </c:pt>
                      <c:pt idx="6">
                        <c:v>3.3060718823790101</c:v>
                      </c:pt>
                      <c:pt idx="7">
                        <c:v>2.4197413669649901</c:v>
                      </c:pt>
                      <c:pt idx="8">
                        <c:v>1.9346491127859899</c:v>
                      </c:pt>
                      <c:pt idx="9">
                        <c:v>2.8936185170640201</c:v>
                      </c:pt>
                      <c:pt idx="10">
                        <c:v>1.62114389608052</c:v>
                      </c:pt>
                      <c:pt idx="11">
                        <c:v>1.89741392653293</c:v>
                      </c:pt>
                      <c:pt idx="12">
                        <c:v>1.4195102931855099</c:v>
                      </c:pt>
                      <c:pt idx="13">
                        <c:v>1.11627875064999</c:v>
                      </c:pt>
                      <c:pt idx="14">
                        <c:v>1.03768238680225</c:v>
                      </c:pt>
                      <c:pt idx="15">
                        <c:v>1.1016881855018199</c:v>
                      </c:pt>
                      <c:pt idx="16">
                        <c:v>2.1011707284532699</c:v>
                      </c:pt>
                      <c:pt idx="17">
                        <c:v>1.6527493514818701</c:v>
                      </c:pt>
                      <c:pt idx="18">
                        <c:v>1.1723012959235399</c:v>
                      </c:pt>
                      <c:pt idx="19">
                        <c:v>1.03411253155859</c:v>
                      </c:pt>
                      <c:pt idx="20">
                        <c:v>1.31187848561793</c:v>
                      </c:pt>
                      <c:pt idx="21">
                        <c:v>1.3353587449472899</c:v>
                      </c:pt>
                      <c:pt idx="22">
                        <c:v>1.0581800565239099</c:v>
                      </c:pt>
                      <c:pt idx="23">
                        <c:v>1.26575661554656</c:v>
                      </c:pt>
                      <c:pt idx="24">
                        <c:v>0.99190751509653297</c:v>
                      </c:pt>
                      <c:pt idx="25">
                        <c:v>0.64343055965514295</c:v>
                      </c:pt>
                      <c:pt idx="26">
                        <c:v>1.41192659540084</c:v>
                      </c:pt>
                      <c:pt idx="27">
                        <c:v>1.17375786499302</c:v>
                      </c:pt>
                      <c:pt idx="28">
                        <c:v>0.90570167951206904</c:v>
                      </c:pt>
                      <c:pt idx="29">
                        <c:v>0.88629807973401697</c:v>
                      </c:pt>
                      <c:pt idx="30">
                        <c:v>2.7181844065263299</c:v>
                      </c:pt>
                      <c:pt idx="31">
                        <c:v>4.1606974018364902</c:v>
                      </c:pt>
                      <c:pt idx="32">
                        <c:v>1.00436964224022</c:v>
                      </c:pt>
                      <c:pt idx="33">
                        <c:v>1.3441159179169899</c:v>
                      </c:pt>
                      <c:pt idx="34">
                        <c:v>1.1651743159657499</c:v>
                      </c:pt>
                      <c:pt idx="35">
                        <c:v>1.4296897000997399</c:v>
                      </c:pt>
                      <c:pt idx="36">
                        <c:v>1.6788213190435699</c:v>
                      </c:pt>
                      <c:pt idx="37">
                        <c:v>1.65731329562257</c:v>
                      </c:pt>
                      <c:pt idx="38">
                        <c:v>1.2933847527067901</c:v>
                      </c:pt>
                      <c:pt idx="39">
                        <c:v>1.24930895758254</c:v>
                      </c:pt>
                      <c:pt idx="40">
                        <c:v>1.2830753043360501</c:v>
                      </c:pt>
                      <c:pt idx="41">
                        <c:v>1.0987305321683201</c:v>
                      </c:pt>
                      <c:pt idx="42">
                        <c:v>2.4209910524764902</c:v>
                      </c:pt>
                      <c:pt idx="43">
                        <c:v>1.4086988725201699</c:v>
                      </c:pt>
                      <c:pt idx="44">
                        <c:v>2.1563276454933602</c:v>
                      </c:pt>
                      <c:pt idx="45">
                        <c:v>2.1462294543016198</c:v>
                      </c:pt>
                      <c:pt idx="46">
                        <c:v>2.67447829446118</c:v>
                      </c:pt>
                      <c:pt idx="47">
                        <c:v>2.81196514644573</c:v>
                      </c:pt>
                      <c:pt idx="48">
                        <c:v>1.7855594267309201</c:v>
                      </c:pt>
                      <c:pt idx="49">
                        <c:v>3.5724723807982399</c:v>
                      </c:pt>
                      <c:pt idx="50">
                        <c:v>1.75479913612602</c:v>
                      </c:pt>
                      <c:pt idx="51">
                        <c:v>1.5900691903550801</c:v>
                      </c:pt>
                      <c:pt idx="52">
                        <c:v>2.0251484381691802</c:v>
                      </c:pt>
                      <c:pt idx="53">
                        <c:v>1.90741491367613</c:v>
                      </c:pt>
                      <c:pt idx="54">
                        <c:v>3.3262114179062898</c:v>
                      </c:pt>
                      <c:pt idx="55">
                        <c:v>2.98910967389756</c:v>
                      </c:pt>
                      <c:pt idx="56">
                        <c:v>1.3435421344315199</c:v>
                      </c:pt>
                      <c:pt idx="57">
                        <c:v>1.78916786350712</c:v>
                      </c:pt>
                      <c:pt idx="58">
                        <c:v>3.6217260352332801</c:v>
                      </c:pt>
                      <c:pt idx="59">
                        <c:v>4.77625090434982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873-44EF-9BE8-CC3DFB9A3D0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curtailedGMs_PFA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'CY14-effectOnMIDR_RDR_PFA'!$B$4:$B$63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80011</c:v>
                      </c:pt>
                      <c:pt idx="1">
                        <c:v>80012</c:v>
                      </c:pt>
                      <c:pt idx="2">
                        <c:v>80021</c:v>
                      </c:pt>
                      <c:pt idx="3">
                        <c:v>80022</c:v>
                      </c:pt>
                      <c:pt idx="4">
                        <c:v>80031</c:v>
                      </c:pt>
                      <c:pt idx="5">
                        <c:v>80032</c:v>
                      </c:pt>
                      <c:pt idx="6">
                        <c:v>80041</c:v>
                      </c:pt>
                      <c:pt idx="7">
                        <c:v>80042</c:v>
                      </c:pt>
                      <c:pt idx="8">
                        <c:v>80051</c:v>
                      </c:pt>
                      <c:pt idx="9">
                        <c:v>80052</c:v>
                      </c:pt>
                      <c:pt idx="10">
                        <c:v>80061</c:v>
                      </c:pt>
                      <c:pt idx="11">
                        <c:v>80062</c:v>
                      </c:pt>
                      <c:pt idx="12">
                        <c:v>80071</c:v>
                      </c:pt>
                      <c:pt idx="13">
                        <c:v>80072</c:v>
                      </c:pt>
                      <c:pt idx="14">
                        <c:v>80081</c:v>
                      </c:pt>
                      <c:pt idx="15">
                        <c:v>80082</c:v>
                      </c:pt>
                      <c:pt idx="16">
                        <c:v>80091</c:v>
                      </c:pt>
                      <c:pt idx="17">
                        <c:v>80092</c:v>
                      </c:pt>
                      <c:pt idx="18">
                        <c:v>80101</c:v>
                      </c:pt>
                      <c:pt idx="19">
                        <c:v>80102</c:v>
                      </c:pt>
                      <c:pt idx="20">
                        <c:v>80111</c:v>
                      </c:pt>
                      <c:pt idx="21">
                        <c:v>80112</c:v>
                      </c:pt>
                      <c:pt idx="22">
                        <c:v>80121</c:v>
                      </c:pt>
                      <c:pt idx="23">
                        <c:v>80122</c:v>
                      </c:pt>
                      <c:pt idx="24">
                        <c:v>80131</c:v>
                      </c:pt>
                      <c:pt idx="25">
                        <c:v>80132</c:v>
                      </c:pt>
                      <c:pt idx="26">
                        <c:v>80141</c:v>
                      </c:pt>
                      <c:pt idx="27">
                        <c:v>80142</c:v>
                      </c:pt>
                      <c:pt idx="28">
                        <c:v>80151</c:v>
                      </c:pt>
                      <c:pt idx="29">
                        <c:v>80152</c:v>
                      </c:pt>
                      <c:pt idx="30">
                        <c:v>80161</c:v>
                      </c:pt>
                      <c:pt idx="31">
                        <c:v>80162</c:v>
                      </c:pt>
                      <c:pt idx="32">
                        <c:v>80171</c:v>
                      </c:pt>
                      <c:pt idx="33">
                        <c:v>80172</c:v>
                      </c:pt>
                      <c:pt idx="34">
                        <c:v>80181</c:v>
                      </c:pt>
                      <c:pt idx="35">
                        <c:v>80182</c:v>
                      </c:pt>
                      <c:pt idx="36">
                        <c:v>80191</c:v>
                      </c:pt>
                      <c:pt idx="37">
                        <c:v>80192</c:v>
                      </c:pt>
                      <c:pt idx="38">
                        <c:v>80201</c:v>
                      </c:pt>
                      <c:pt idx="39">
                        <c:v>80202</c:v>
                      </c:pt>
                      <c:pt idx="40">
                        <c:v>80211</c:v>
                      </c:pt>
                      <c:pt idx="41">
                        <c:v>80212</c:v>
                      </c:pt>
                      <c:pt idx="42">
                        <c:v>80221</c:v>
                      </c:pt>
                      <c:pt idx="43">
                        <c:v>80222</c:v>
                      </c:pt>
                      <c:pt idx="44">
                        <c:v>80231</c:v>
                      </c:pt>
                      <c:pt idx="45">
                        <c:v>80232</c:v>
                      </c:pt>
                      <c:pt idx="46">
                        <c:v>80241</c:v>
                      </c:pt>
                      <c:pt idx="47">
                        <c:v>80242</c:v>
                      </c:pt>
                      <c:pt idx="48">
                        <c:v>80251</c:v>
                      </c:pt>
                      <c:pt idx="49">
                        <c:v>80252</c:v>
                      </c:pt>
                      <c:pt idx="50">
                        <c:v>80261</c:v>
                      </c:pt>
                      <c:pt idx="51">
                        <c:v>80262</c:v>
                      </c:pt>
                      <c:pt idx="52">
                        <c:v>80271</c:v>
                      </c:pt>
                      <c:pt idx="53">
                        <c:v>80272</c:v>
                      </c:pt>
                      <c:pt idx="54">
                        <c:v>80281</c:v>
                      </c:pt>
                      <c:pt idx="55">
                        <c:v>80282</c:v>
                      </c:pt>
                      <c:pt idx="56">
                        <c:v>80291</c:v>
                      </c:pt>
                      <c:pt idx="57">
                        <c:v>80292</c:v>
                      </c:pt>
                      <c:pt idx="58">
                        <c:v>80301</c:v>
                      </c:pt>
                      <c:pt idx="59">
                        <c:v>80302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'CY14-effectOnMIDR_RDR_PFA'!$J$4:$J$63</c15:sqref>
                        </c15:formulaRef>
                      </c:ext>
                    </c:extLst>
                    <c:numCache>
                      <c:formatCode>0.00</c:formatCode>
                      <c:ptCount val="60"/>
                      <c:pt idx="0">
                        <c:v>2.1838698362420002</c:v>
                      </c:pt>
                      <c:pt idx="1">
                        <c:v>2.2740035374557701</c:v>
                      </c:pt>
                      <c:pt idx="2">
                        <c:v>1.6897056922742999</c:v>
                      </c:pt>
                      <c:pt idx="3">
                        <c:v>1.67515129289461</c:v>
                      </c:pt>
                      <c:pt idx="4">
                        <c:v>2.4762036412481101</c:v>
                      </c:pt>
                      <c:pt idx="5">
                        <c:v>2.4214257397106702</c:v>
                      </c:pt>
                      <c:pt idx="6">
                        <c:v>3.3785302919788598</c:v>
                      </c:pt>
                      <c:pt idx="7">
                        <c:v>2.5646611110796602</c:v>
                      </c:pt>
                      <c:pt idx="8">
                        <c:v>1.9346491127859899</c:v>
                      </c:pt>
                      <c:pt idx="9">
                        <c:v>2.8936185170640201</c:v>
                      </c:pt>
                      <c:pt idx="10">
                        <c:v>1.96271854483804</c:v>
                      </c:pt>
                      <c:pt idx="11">
                        <c:v>1.7734045389062201</c:v>
                      </c:pt>
                      <c:pt idx="12">
                        <c:v>1.42269119184335</c:v>
                      </c:pt>
                      <c:pt idx="13">
                        <c:v>1.32870239048572</c:v>
                      </c:pt>
                      <c:pt idx="14">
                        <c:v>1.0756848140623601</c:v>
                      </c:pt>
                      <c:pt idx="15">
                        <c:v>1.1353417376241399</c:v>
                      </c:pt>
                      <c:pt idx="16">
                        <c:v>2.0740861712998799</c:v>
                      </c:pt>
                      <c:pt idx="17">
                        <c:v>2.58880683400711</c:v>
                      </c:pt>
                      <c:pt idx="18">
                        <c:v>1.1565071654468899</c:v>
                      </c:pt>
                      <c:pt idx="19">
                        <c:v>1.0762338423297899</c:v>
                      </c:pt>
                      <c:pt idx="20">
                        <c:v>1.31187848561793</c:v>
                      </c:pt>
                      <c:pt idx="21">
                        <c:v>1.3353587449472899</c:v>
                      </c:pt>
                      <c:pt idx="22">
                        <c:v>1.3230665018225101</c:v>
                      </c:pt>
                      <c:pt idx="23">
                        <c:v>1.35277025214784</c:v>
                      </c:pt>
                      <c:pt idx="24">
                        <c:v>1.0694446059631499</c:v>
                      </c:pt>
                      <c:pt idx="25">
                        <c:v>0.83508152645693501</c:v>
                      </c:pt>
                      <c:pt idx="26">
                        <c:v>1.4525204325198999</c:v>
                      </c:pt>
                      <c:pt idx="27">
                        <c:v>1.37214856256421</c:v>
                      </c:pt>
                      <c:pt idx="28">
                        <c:v>0.88244709273926403</c:v>
                      </c:pt>
                      <c:pt idx="29">
                        <c:v>0.99219523322060099</c:v>
                      </c:pt>
                      <c:pt idx="30">
                        <c:v>4.2197347770554501</c:v>
                      </c:pt>
                      <c:pt idx="31">
                        <c:v>4.2697309953165599</c:v>
                      </c:pt>
                      <c:pt idx="32">
                        <c:v>1.13466498702675</c:v>
                      </c:pt>
                      <c:pt idx="33">
                        <c:v>1.6063463371931199</c:v>
                      </c:pt>
                      <c:pt idx="34">
                        <c:v>1.2242925908820299</c:v>
                      </c:pt>
                      <c:pt idx="35">
                        <c:v>1.49891624237332</c:v>
                      </c:pt>
                      <c:pt idx="36">
                        <c:v>1.8107028616290599</c:v>
                      </c:pt>
                      <c:pt idx="37">
                        <c:v>1.5990810056517999</c:v>
                      </c:pt>
                      <c:pt idx="38">
                        <c:v>1.39219157172692</c:v>
                      </c:pt>
                      <c:pt idx="39">
                        <c:v>1.39246836724477</c:v>
                      </c:pt>
                      <c:pt idx="40">
                        <c:v>1.75730035444545</c:v>
                      </c:pt>
                      <c:pt idx="41">
                        <c:v>1.4784673623084801</c:v>
                      </c:pt>
                      <c:pt idx="42">
                        <c:v>2.41866571642029</c:v>
                      </c:pt>
                      <c:pt idx="43">
                        <c:v>1.43453004370523</c:v>
                      </c:pt>
                      <c:pt idx="44">
                        <c:v>2.0840296606415301</c:v>
                      </c:pt>
                      <c:pt idx="45">
                        <c:v>2.1758491854143398</c:v>
                      </c:pt>
                      <c:pt idx="46">
                        <c:v>2.7587960319075102</c:v>
                      </c:pt>
                      <c:pt idx="47">
                        <c:v>2.8565173591759501</c:v>
                      </c:pt>
                      <c:pt idx="48">
                        <c:v>1.7855594267309201</c:v>
                      </c:pt>
                      <c:pt idx="49">
                        <c:v>3.5724723807982399</c:v>
                      </c:pt>
                      <c:pt idx="50">
                        <c:v>1.9458161882953899</c:v>
                      </c:pt>
                      <c:pt idx="51">
                        <c:v>1.8873953497237499</c:v>
                      </c:pt>
                      <c:pt idx="52">
                        <c:v>2.3447700090975601</c:v>
                      </c:pt>
                      <c:pt idx="53">
                        <c:v>1.8469760699683999</c:v>
                      </c:pt>
                      <c:pt idx="54">
                        <c:v>3.7524258007058302</c:v>
                      </c:pt>
                      <c:pt idx="55">
                        <c:v>3.4257154369479701</c:v>
                      </c:pt>
                      <c:pt idx="56">
                        <c:v>1.3435421344315199</c:v>
                      </c:pt>
                      <c:pt idx="57">
                        <c:v>1.78916786350712</c:v>
                      </c:pt>
                      <c:pt idx="58">
                        <c:v>3.6217260352332801</c:v>
                      </c:pt>
                      <c:pt idx="59">
                        <c:v>4.77625090434982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873-44EF-9BE8-CC3DFB9A3D03}"/>
                  </c:ext>
                </c:extLst>
              </c15:ser>
            </c15:filteredScatterSeries>
          </c:ext>
        </c:extLst>
      </c:scatterChart>
      <c:valAx>
        <c:axId val="1155599343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34767"/>
        <c:crossesAt val="-1.4"/>
        <c:crossBetween val="midCat"/>
      </c:valAx>
      <c:valAx>
        <c:axId val="7902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59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11</xdr:row>
      <xdr:rowOff>180975</xdr:rowOff>
    </xdr:from>
    <xdr:to>
      <xdr:col>21</xdr:col>
      <xdr:colOff>238125</xdr:colOff>
      <xdr:row>34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A6E8F-E41D-793F-1544-614808928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105</xdr:row>
      <xdr:rowOff>33337</xdr:rowOff>
    </xdr:from>
    <xdr:to>
      <xdr:col>12</xdr:col>
      <xdr:colOff>409575</xdr:colOff>
      <xdr:row>124</xdr:row>
      <xdr:rowOff>13837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93D809-B961-45D4-4597-C97ADF02D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104</xdr:row>
      <xdr:rowOff>152400</xdr:rowOff>
    </xdr:from>
    <xdr:to>
      <xdr:col>20</xdr:col>
      <xdr:colOff>9525</xdr:colOff>
      <xdr:row>123</xdr:row>
      <xdr:rowOff>132900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D29D91-BF5D-4AD5-A483-18703429D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0</xdr:row>
      <xdr:rowOff>61911</xdr:rowOff>
    </xdr:from>
    <xdr:to>
      <xdr:col>26</xdr:col>
      <xdr:colOff>571500</xdr:colOff>
      <xdr:row>14</xdr:row>
      <xdr:rowOff>141561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49877-DBB2-6682-20F8-1EF5579F5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390524</xdr:colOff>
      <xdr:row>15</xdr:row>
      <xdr:rowOff>66674</xdr:rowOff>
    </xdr:from>
    <xdr:to>
      <xdr:col>26</xdr:col>
      <xdr:colOff>561975</xdr:colOff>
      <xdr:row>30</xdr:row>
      <xdr:rowOff>89174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3B97B-486D-4FDC-BB8D-BC4B236D1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371475</xdr:colOff>
      <xdr:row>31</xdr:row>
      <xdr:rowOff>171450</xdr:rowOff>
    </xdr:from>
    <xdr:to>
      <xdr:col>26</xdr:col>
      <xdr:colOff>542926</xdr:colOff>
      <xdr:row>47</xdr:row>
      <xdr:rowOff>3450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2124B6-1F4F-441A-90B2-869835DCB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76200</xdr:colOff>
      <xdr:row>16</xdr:row>
      <xdr:rowOff>14287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30A3B7-6FE0-7811-987D-61644AFC6828}"/>
            </a:ext>
          </a:extLst>
        </xdr:cNvPr>
        <xdr:cNvSpPr txBox="1"/>
      </xdr:nvSpPr>
      <xdr:spPr>
        <a:xfrm>
          <a:off x="13592175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</xdr:col>
      <xdr:colOff>152400</xdr:colOff>
      <xdr:row>16</xdr:row>
      <xdr:rowOff>4762</xdr:rowOff>
    </xdr:from>
    <xdr:ext cx="36163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C85FC89-A705-7EE2-605D-6826CA3B69A8}"/>
                </a:ext>
              </a:extLst>
            </xdr:cNvPr>
            <xdr:cNvSpPr txBox="1"/>
          </xdr:nvSpPr>
          <xdr:spPr>
            <a:xfrm>
              <a:off x="1000125" y="3205162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sSub>
                      <m:sSubPr>
                        <m:ctrlPr>
                          <a:rPr lang="en-US" sz="1200" b="1" i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𝛃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𝐑𝐓𝐑</m:t>
                        </m:r>
                      </m:sub>
                    </m:sSub>
                  </m:oMath>
                </m:oMathPara>
              </a14:m>
              <a:endParaRPr lang="en-IN" sz="1200" b="1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C85FC89-A705-7EE2-605D-6826CA3B69A8}"/>
                </a:ext>
              </a:extLst>
            </xdr:cNvPr>
            <xdr:cNvSpPr txBox="1"/>
          </xdr:nvSpPr>
          <xdr:spPr>
            <a:xfrm>
              <a:off x="1000125" y="3205162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𝛃</a:t>
              </a:r>
              <a:r>
                <a:rPr lang="en-IN" sz="1200" b="1" i="0">
                  <a:latin typeface="Cambria Math" panose="02040503050406030204" pitchFamily="18" charset="0"/>
                </a:rPr>
                <a:t>_</a:t>
              </a:r>
              <a:r>
                <a:rPr lang="en-US" sz="1200" b="1" i="0">
                  <a:latin typeface="Cambria Math" panose="02040503050406030204" pitchFamily="18" charset="0"/>
                </a:rPr>
                <a:t>𝐑𝐓𝐑</a:t>
              </a:r>
              <a:endParaRPr lang="en-IN" sz="1200" b="1" i="0"/>
            </a:p>
          </xdr:txBody>
        </xdr:sp>
      </mc:Fallback>
    </mc:AlternateContent>
    <xdr:clientData/>
  </xdr:oneCellAnchor>
  <xdr:oneCellAnchor>
    <xdr:from>
      <xdr:col>1</xdr:col>
      <xdr:colOff>133350</xdr:colOff>
      <xdr:row>18</xdr:row>
      <xdr:rowOff>180975</xdr:rowOff>
    </xdr:from>
    <xdr:ext cx="36163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DB5AAE1-8699-4782-86F7-0B6E3F09A826}"/>
                </a:ext>
              </a:extLst>
            </xdr:cNvPr>
            <xdr:cNvSpPr txBox="1"/>
          </xdr:nvSpPr>
          <xdr:spPr>
            <a:xfrm>
              <a:off x="981075" y="3762375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sSub>
                      <m:sSubPr>
                        <m:ctrlPr>
                          <a:rPr lang="en-US" sz="1200" b="1" i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𝛃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𝐑𝐓𝐑</m:t>
                        </m:r>
                      </m:sub>
                    </m:sSub>
                  </m:oMath>
                </m:oMathPara>
              </a14:m>
              <a:endParaRPr lang="en-IN" sz="1200" b="1" i="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DB5AAE1-8699-4782-86F7-0B6E3F09A826}"/>
                </a:ext>
              </a:extLst>
            </xdr:cNvPr>
            <xdr:cNvSpPr txBox="1"/>
          </xdr:nvSpPr>
          <xdr:spPr>
            <a:xfrm>
              <a:off x="981075" y="3762375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𝛃</a:t>
              </a:r>
              <a:r>
                <a:rPr lang="en-IN" sz="1200" b="1" i="0">
                  <a:latin typeface="Cambria Math" panose="02040503050406030204" pitchFamily="18" charset="0"/>
                </a:rPr>
                <a:t>_</a:t>
              </a:r>
              <a:r>
                <a:rPr lang="en-US" sz="1200" b="1" i="0">
                  <a:latin typeface="Cambria Math" panose="02040503050406030204" pitchFamily="18" charset="0"/>
                </a:rPr>
                <a:t>𝐑𝐓𝐑</a:t>
              </a:r>
              <a:endParaRPr lang="en-IN" sz="1200" b="1" i="0"/>
            </a:p>
          </xdr:txBody>
        </xdr:sp>
      </mc:Fallback>
    </mc:AlternateContent>
    <xdr:clientData/>
  </xdr:oneCellAnchor>
  <xdr:oneCellAnchor>
    <xdr:from>
      <xdr:col>1</xdr:col>
      <xdr:colOff>142875</xdr:colOff>
      <xdr:row>4</xdr:row>
      <xdr:rowOff>33337</xdr:rowOff>
    </xdr:from>
    <xdr:ext cx="36163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4200487-B29B-4EE8-9E03-D184F039D89A}"/>
                </a:ext>
              </a:extLst>
            </xdr:cNvPr>
            <xdr:cNvSpPr txBox="1"/>
          </xdr:nvSpPr>
          <xdr:spPr>
            <a:xfrm>
              <a:off x="733425" y="919162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sSub>
                      <m:sSubPr>
                        <m:ctrlPr>
                          <a:rPr lang="en-US" sz="1200" b="1" i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𝛃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𝐑𝐓𝐑</m:t>
                        </m:r>
                      </m:sub>
                    </m:sSub>
                  </m:oMath>
                </m:oMathPara>
              </a14:m>
              <a:endParaRPr lang="en-IN" sz="1200" b="1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4200487-B29B-4EE8-9E03-D184F039D89A}"/>
                </a:ext>
              </a:extLst>
            </xdr:cNvPr>
            <xdr:cNvSpPr txBox="1"/>
          </xdr:nvSpPr>
          <xdr:spPr>
            <a:xfrm>
              <a:off x="733425" y="919162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𝛃</a:t>
              </a:r>
              <a:r>
                <a:rPr lang="en-IN" sz="1200" b="1" i="0">
                  <a:latin typeface="Cambria Math" panose="02040503050406030204" pitchFamily="18" charset="0"/>
                </a:rPr>
                <a:t>_</a:t>
              </a:r>
              <a:r>
                <a:rPr lang="en-US" sz="1200" b="1" i="0">
                  <a:latin typeface="Cambria Math" panose="02040503050406030204" pitchFamily="18" charset="0"/>
                </a:rPr>
                <a:t>𝐑𝐓𝐑</a:t>
              </a:r>
              <a:endParaRPr lang="en-IN" sz="1200" b="1" i="0"/>
            </a:p>
          </xdr:txBody>
        </xdr:sp>
      </mc:Fallback>
    </mc:AlternateContent>
    <xdr:clientData/>
  </xdr:oneCellAnchor>
  <xdr:oneCellAnchor>
    <xdr:from>
      <xdr:col>1</xdr:col>
      <xdr:colOff>133350</xdr:colOff>
      <xdr:row>7</xdr:row>
      <xdr:rowOff>19050</xdr:rowOff>
    </xdr:from>
    <xdr:ext cx="36163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01B1EF1-42A9-4D87-A305-CA7173F889E7}"/>
                </a:ext>
              </a:extLst>
            </xdr:cNvPr>
            <xdr:cNvSpPr txBox="1"/>
          </xdr:nvSpPr>
          <xdr:spPr>
            <a:xfrm>
              <a:off x="981075" y="1466850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sSub>
                      <m:sSubPr>
                        <m:ctrlPr>
                          <a:rPr lang="en-US" sz="1200" b="1" i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𝛃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𝐑𝐓𝐑</m:t>
                        </m:r>
                      </m:sub>
                    </m:sSub>
                  </m:oMath>
                </m:oMathPara>
              </a14:m>
              <a:endParaRPr lang="en-IN" sz="1200" b="1" i="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01B1EF1-42A9-4D87-A305-CA7173F889E7}"/>
                </a:ext>
              </a:extLst>
            </xdr:cNvPr>
            <xdr:cNvSpPr txBox="1"/>
          </xdr:nvSpPr>
          <xdr:spPr>
            <a:xfrm>
              <a:off x="981075" y="1466850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𝛃</a:t>
              </a:r>
              <a:r>
                <a:rPr lang="en-IN" sz="1200" b="1" i="0">
                  <a:latin typeface="Cambria Math" panose="02040503050406030204" pitchFamily="18" charset="0"/>
                </a:rPr>
                <a:t>_</a:t>
              </a:r>
              <a:r>
                <a:rPr lang="en-US" sz="1200" b="1" i="0">
                  <a:latin typeface="Cambria Math" panose="02040503050406030204" pitchFamily="18" charset="0"/>
                </a:rPr>
                <a:t>𝐑𝐓𝐑</a:t>
              </a:r>
              <a:endParaRPr lang="en-IN" sz="1200" b="1" i="0"/>
            </a:p>
          </xdr:txBody>
        </xdr:sp>
      </mc:Fallback>
    </mc:AlternateContent>
    <xdr:clientData/>
  </xdr:oneCellAnchor>
  <xdr:oneCellAnchor>
    <xdr:from>
      <xdr:col>1</xdr:col>
      <xdr:colOff>137583</xdr:colOff>
      <xdr:row>28</xdr:row>
      <xdr:rowOff>3808</xdr:rowOff>
    </xdr:from>
    <xdr:ext cx="444500" cy="1980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8EC38A9-FAFF-470C-90B1-72CC21D94816}"/>
                </a:ext>
              </a:extLst>
            </xdr:cNvPr>
            <xdr:cNvSpPr txBox="1"/>
          </xdr:nvSpPr>
          <xdr:spPr>
            <a:xfrm>
              <a:off x="984250" y="5496558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2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1" i="0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1" i="0">
                              <a:latin typeface="Cambria Math" panose="02040503050406030204" pitchFamily="18" charset="0"/>
                            </a:rPr>
                            <m:t>𝐒</m:t>
                          </m:r>
                        </m:e>
                      </m:acc>
                    </m:e>
                    <m:sub>
                      <m:r>
                        <a:rPr lang="en-US" sz="1200" b="1" i="0">
                          <a:latin typeface="Cambria Math" panose="02040503050406030204" pitchFamily="18" charset="0"/>
                        </a:rPr>
                        <m:t>𝐂𝐓</m:t>
                      </m:r>
                    </m:sub>
                  </m:sSub>
                </m:oMath>
              </a14:m>
              <a:r>
                <a:rPr lang="en-IN" sz="1200" b="1" i="0"/>
                <a:t> (g)</a:t>
              </a: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8EC38A9-FAFF-470C-90B1-72CC21D94816}"/>
                </a:ext>
              </a:extLst>
            </xdr:cNvPr>
            <xdr:cNvSpPr txBox="1"/>
          </xdr:nvSpPr>
          <xdr:spPr>
            <a:xfrm>
              <a:off x="984250" y="5496558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𝐒</a:t>
              </a:r>
              <a:r>
                <a:rPr lang="en-IN" sz="1200" b="1" i="0">
                  <a:latin typeface="Cambria Math" panose="02040503050406030204" pitchFamily="18" charset="0"/>
                </a:rPr>
                <a:t> ̂_</a:t>
              </a:r>
              <a:r>
                <a:rPr lang="en-US" sz="1200" b="1" i="0">
                  <a:latin typeface="Cambria Math" panose="02040503050406030204" pitchFamily="18" charset="0"/>
                </a:rPr>
                <a:t>𝐂𝐓</a:t>
              </a:r>
              <a:r>
                <a:rPr lang="en-IN" sz="1200" b="1" i="0"/>
                <a:t> (g)</a:t>
              </a:r>
            </a:p>
          </xdr:txBody>
        </xdr:sp>
      </mc:Fallback>
    </mc:AlternateContent>
    <xdr:clientData/>
  </xdr:oneCellAnchor>
  <xdr:oneCellAnchor>
    <xdr:from>
      <xdr:col>1</xdr:col>
      <xdr:colOff>152400</xdr:colOff>
      <xdr:row>29</xdr:row>
      <xdr:rowOff>4762</xdr:rowOff>
    </xdr:from>
    <xdr:ext cx="36163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EE44435-B0E2-4F47-943A-52AE6E5FFFF0}"/>
                </a:ext>
              </a:extLst>
            </xdr:cNvPr>
            <xdr:cNvSpPr txBox="1"/>
          </xdr:nvSpPr>
          <xdr:spPr>
            <a:xfrm>
              <a:off x="1000125" y="3205162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sSub>
                      <m:sSubPr>
                        <m:ctrlPr>
                          <a:rPr lang="en-US" sz="1200" b="1" i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𝛃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𝐑𝐓𝐑</m:t>
                        </m:r>
                      </m:sub>
                    </m:sSub>
                  </m:oMath>
                </m:oMathPara>
              </a14:m>
              <a:endParaRPr lang="en-IN" sz="1200" b="1" i="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EE44435-B0E2-4F47-943A-52AE6E5FFFF0}"/>
                </a:ext>
              </a:extLst>
            </xdr:cNvPr>
            <xdr:cNvSpPr txBox="1"/>
          </xdr:nvSpPr>
          <xdr:spPr>
            <a:xfrm>
              <a:off x="1000125" y="3205162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𝛃</a:t>
              </a:r>
              <a:r>
                <a:rPr lang="en-IN" sz="1200" b="1" i="0">
                  <a:latin typeface="Cambria Math" panose="02040503050406030204" pitchFamily="18" charset="0"/>
                </a:rPr>
                <a:t>_</a:t>
              </a:r>
              <a:r>
                <a:rPr lang="en-US" sz="1200" b="1" i="0">
                  <a:latin typeface="Cambria Math" panose="02040503050406030204" pitchFamily="18" charset="0"/>
                </a:rPr>
                <a:t>𝐑𝐓𝐑</a:t>
              </a:r>
              <a:endParaRPr lang="en-IN" sz="1200" b="1" i="0"/>
            </a:p>
          </xdr:txBody>
        </xdr:sp>
      </mc:Fallback>
    </mc:AlternateContent>
    <xdr:clientData/>
  </xdr:oneCellAnchor>
  <xdr:oneCellAnchor>
    <xdr:from>
      <xdr:col>1</xdr:col>
      <xdr:colOff>133350</xdr:colOff>
      <xdr:row>31</xdr:row>
      <xdr:rowOff>180975</xdr:rowOff>
    </xdr:from>
    <xdr:ext cx="36163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85319B9-3DBD-4D3F-9C77-C4FAD2C93429}"/>
                </a:ext>
              </a:extLst>
            </xdr:cNvPr>
            <xdr:cNvSpPr txBox="1"/>
          </xdr:nvSpPr>
          <xdr:spPr>
            <a:xfrm>
              <a:off x="981075" y="3762375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>
                    <m:sSub>
                      <m:sSubPr>
                        <m:ctrlPr>
                          <a:rPr lang="en-US" sz="1200" b="1" i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𝛃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𝐑𝐓𝐑</m:t>
                        </m:r>
                      </m:sub>
                    </m:sSub>
                  </m:oMath>
                </m:oMathPara>
              </a14:m>
              <a:endParaRPr lang="en-IN" sz="1200" b="1" i="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85319B9-3DBD-4D3F-9C77-C4FAD2C93429}"/>
                </a:ext>
              </a:extLst>
            </xdr:cNvPr>
            <xdr:cNvSpPr txBox="1"/>
          </xdr:nvSpPr>
          <xdr:spPr>
            <a:xfrm>
              <a:off x="981075" y="3762375"/>
              <a:ext cx="36163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𝛃</a:t>
              </a:r>
              <a:r>
                <a:rPr lang="en-IN" sz="1200" b="1" i="0">
                  <a:latin typeface="Cambria Math" panose="02040503050406030204" pitchFamily="18" charset="0"/>
                </a:rPr>
                <a:t>_</a:t>
              </a:r>
              <a:r>
                <a:rPr lang="en-US" sz="1200" b="1" i="0">
                  <a:latin typeface="Cambria Math" panose="02040503050406030204" pitchFamily="18" charset="0"/>
                </a:rPr>
                <a:t>𝐑𝐓𝐑</a:t>
              </a:r>
              <a:endParaRPr lang="en-IN" sz="1200" b="1" i="0"/>
            </a:p>
          </xdr:txBody>
        </xdr:sp>
      </mc:Fallback>
    </mc:AlternateContent>
    <xdr:clientData/>
  </xdr:oneCellAnchor>
  <xdr:oneCellAnchor>
    <xdr:from>
      <xdr:col>1</xdr:col>
      <xdr:colOff>148167</xdr:colOff>
      <xdr:row>15</xdr:row>
      <xdr:rowOff>0</xdr:rowOff>
    </xdr:from>
    <xdr:ext cx="444500" cy="1980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19BE1F5-9B3E-48B7-83BD-DAAA549C9AE9}"/>
                </a:ext>
              </a:extLst>
            </xdr:cNvPr>
            <xdr:cNvSpPr txBox="1"/>
          </xdr:nvSpPr>
          <xdr:spPr>
            <a:xfrm>
              <a:off x="994834" y="2973917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2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1" i="0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1" i="0">
                              <a:latin typeface="Cambria Math" panose="02040503050406030204" pitchFamily="18" charset="0"/>
                            </a:rPr>
                            <m:t>𝐒</m:t>
                          </m:r>
                        </m:e>
                      </m:acc>
                    </m:e>
                    <m:sub>
                      <m:r>
                        <a:rPr lang="en-US" sz="1200" b="1" i="0">
                          <a:latin typeface="Cambria Math" panose="02040503050406030204" pitchFamily="18" charset="0"/>
                        </a:rPr>
                        <m:t>𝐂𝐓</m:t>
                      </m:r>
                    </m:sub>
                  </m:sSub>
                </m:oMath>
              </a14:m>
              <a:r>
                <a:rPr lang="en-IN" sz="1200" b="1" i="0"/>
                <a:t> (g)</a:t>
              </a: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19BE1F5-9B3E-48B7-83BD-DAAA549C9AE9}"/>
                </a:ext>
              </a:extLst>
            </xdr:cNvPr>
            <xdr:cNvSpPr txBox="1"/>
          </xdr:nvSpPr>
          <xdr:spPr>
            <a:xfrm>
              <a:off x="994834" y="2973917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𝐒</a:t>
              </a:r>
              <a:r>
                <a:rPr lang="en-IN" sz="1200" b="1" i="0">
                  <a:latin typeface="Cambria Math" panose="02040503050406030204" pitchFamily="18" charset="0"/>
                </a:rPr>
                <a:t> ̂_</a:t>
              </a:r>
              <a:r>
                <a:rPr lang="en-US" sz="1200" b="1" i="0">
                  <a:latin typeface="Cambria Math" panose="02040503050406030204" pitchFamily="18" charset="0"/>
                </a:rPr>
                <a:t>𝐂𝐓</a:t>
              </a:r>
              <a:r>
                <a:rPr lang="en-IN" sz="1200" b="1" i="0"/>
                <a:t> (g)</a:t>
              </a:r>
            </a:p>
          </xdr:txBody>
        </xdr:sp>
      </mc:Fallback>
    </mc:AlternateContent>
    <xdr:clientData/>
  </xdr:oneCellAnchor>
  <xdr:oneCellAnchor>
    <xdr:from>
      <xdr:col>1</xdr:col>
      <xdr:colOff>137584</xdr:colOff>
      <xdr:row>5</xdr:row>
      <xdr:rowOff>179917</xdr:rowOff>
    </xdr:from>
    <xdr:ext cx="444500" cy="1980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14E418A-8C9D-474D-B2E3-791AEF332622}"/>
                </a:ext>
              </a:extLst>
            </xdr:cNvPr>
            <xdr:cNvSpPr txBox="1"/>
          </xdr:nvSpPr>
          <xdr:spPr>
            <a:xfrm>
              <a:off x="984251" y="1206500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2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1" i="0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1" i="0">
                              <a:latin typeface="Cambria Math" panose="02040503050406030204" pitchFamily="18" charset="0"/>
                            </a:rPr>
                            <m:t>𝐒</m:t>
                          </m:r>
                        </m:e>
                      </m:acc>
                    </m:e>
                    <m:sub>
                      <m:r>
                        <a:rPr lang="en-US" sz="1200" b="1" i="0">
                          <a:latin typeface="Cambria Math" panose="02040503050406030204" pitchFamily="18" charset="0"/>
                        </a:rPr>
                        <m:t>𝐂𝐓</m:t>
                      </m:r>
                    </m:sub>
                  </m:sSub>
                </m:oMath>
              </a14:m>
              <a:r>
                <a:rPr lang="en-IN" sz="1200" b="1" i="0"/>
                <a:t> (g)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14E418A-8C9D-474D-B2E3-791AEF332622}"/>
                </a:ext>
              </a:extLst>
            </xdr:cNvPr>
            <xdr:cNvSpPr txBox="1"/>
          </xdr:nvSpPr>
          <xdr:spPr>
            <a:xfrm>
              <a:off x="984251" y="1206500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𝐒</a:t>
              </a:r>
              <a:r>
                <a:rPr lang="en-IN" sz="1200" b="1" i="0">
                  <a:latin typeface="Cambria Math" panose="02040503050406030204" pitchFamily="18" charset="0"/>
                </a:rPr>
                <a:t> ̂_</a:t>
              </a:r>
              <a:r>
                <a:rPr lang="en-US" sz="1200" b="1" i="0">
                  <a:latin typeface="Cambria Math" panose="02040503050406030204" pitchFamily="18" charset="0"/>
                </a:rPr>
                <a:t>𝐂𝐓</a:t>
              </a:r>
              <a:r>
                <a:rPr lang="en-IN" sz="1200" b="1" i="0"/>
                <a:t> (g)</a:t>
              </a:r>
            </a:p>
          </xdr:txBody>
        </xdr:sp>
      </mc:Fallback>
    </mc:AlternateContent>
    <xdr:clientData/>
  </xdr:oneCellAnchor>
  <xdr:oneCellAnchor>
    <xdr:from>
      <xdr:col>1</xdr:col>
      <xdr:colOff>127000</xdr:colOff>
      <xdr:row>18</xdr:row>
      <xdr:rowOff>0</xdr:rowOff>
    </xdr:from>
    <xdr:ext cx="444500" cy="1980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ABC911-F705-4830-AF55-76A0BC8C646A}"/>
                </a:ext>
              </a:extLst>
            </xdr:cNvPr>
            <xdr:cNvSpPr txBox="1"/>
          </xdr:nvSpPr>
          <xdr:spPr>
            <a:xfrm>
              <a:off x="973667" y="3577167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2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1" i="0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1" i="0">
                              <a:latin typeface="Cambria Math" panose="02040503050406030204" pitchFamily="18" charset="0"/>
                            </a:rPr>
                            <m:t>𝐒</m:t>
                          </m:r>
                        </m:e>
                      </m:acc>
                    </m:e>
                    <m:sub>
                      <m:r>
                        <a:rPr lang="en-US" sz="1200" b="1" i="0">
                          <a:latin typeface="Cambria Math" panose="02040503050406030204" pitchFamily="18" charset="0"/>
                        </a:rPr>
                        <m:t>𝐂𝐓</m:t>
                      </m:r>
                    </m:sub>
                  </m:sSub>
                </m:oMath>
              </a14:m>
              <a:r>
                <a:rPr lang="en-IN" sz="1200" b="1" i="0"/>
                <a:t> (g)</a:t>
              </a: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ABC911-F705-4830-AF55-76A0BC8C646A}"/>
                </a:ext>
              </a:extLst>
            </xdr:cNvPr>
            <xdr:cNvSpPr txBox="1"/>
          </xdr:nvSpPr>
          <xdr:spPr>
            <a:xfrm>
              <a:off x="973667" y="3577167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𝐒</a:t>
              </a:r>
              <a:r>
                <a:rPr lang="en-IN" sz="1200" b="1" i="0">
                  <a:latin typeface="Cambria Math" panose="02040503050406030204" pitchFamily="18" charset="0"/>
                </a:rPr>
                <a:t> ̂_</a:t>
              </a:r>
              <a:r>
                <a:rPr lang="en-US" sz="1200" b="1" i="0">
                  <a:latin typeface="Cambria Math" panose="02040503050406030204" pitchFamily="18" charset="0"/>
                </a:rPr>
                <a:t>𝐂𝐓</a:t>
              </a:r>
              <a:r>
                <a:rPr lang="en-IN" sz="1200" b="1" i="0"/>
                <a:t> (g)</a:t>
              </a:r>
            </a:p>
          </xdr:txBody>
        </xdr:sp>
      </mc:Fallback>
    </mc:AlternateContent>
    <xdr:clientData/>
  </xdr:oneCellAnchor>
  <xdr:oneCellAnchor>
    <xdr:from>
      <xdr:col>1</xdr:col>
      <xdr:colOff>169334</xdr:colOff>
      <xdr:row>30</xdr:row>
      <xdr:rowOff>179917</xdr:rowOff>
    </xdr:from>
    <xdr:ext cx="444500" cy="1980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950FCC6-AD0B-4AF5-9212-58D9B0A1F138}"/>
                </a:ext>
              </a:extLst>
            </xdr:cNvPr>
            <xdr:cNvSpPr txBox="1"/>
          </xdr:nvSpPr>
          <xdr:spPr>
            <a:xfrm>
              <a:off x="1016001" y="6043084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2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1" i="0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1" i="0">
                              <a:latin typeface="Cambria Math" panose="02040503050406030204" pitchFamily="18" charset="0"/>
                            </a:rPr>
                            <m:t>𝐒</m:t>
                          </m:r>
                        </m:e>
                      </m:acc>
                    </m:e>
                    <m:sub>
                      <m:r>
                        <a:rPr lang="en-US" sz="1200" b="1" i="0">
                          <a:latin typeface="Cambria Math" panose="02040503050406030204" pitchFamily="18" charset="0"/>
                        </a:rPr>
                        <m:t>𝐂𝐓</m:t>
                      </m:r>
                    </m:sub>
                  </m:sSub>
                </m:oMath>
              </a14:m>
              <a:r>
                <a:rPr lang="en-IN" sz="1200" b="1" i="0"/>
                <a:t> (g)</a:t>
              </a: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950FCC6-AD0B-4AF5-9212-58D9B0A1F138}"/>
                </a:ext>
              </a:extLst>
            </xdr:cNvPr>
            <xdr:cNvSpPr txBox="1"/>
          </xdr:nvSpPr>
          <xdr:spPr>
            <a:xfrm>
              <a:off x="1016001" y="6043084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𝐒</a:t>
              </a:r>
              <a:r>
                <a:rPr lang="en-IN" sz="1200" b="1" i="0">
                  <a:latin typeface="Cambria Math" panose="02040503050406030204" pitchFamily="18" charset="0"/>
                </a:rPr>
                <a:t> ̂_</a:t>
              </a:r>
              <a:r>
                <a:rPr lang="en-US" sz="1200" b="1" i="0">
                  <a:latin typeface="Cambria Math" panose="02040503050406030204" pitchFamily="18" charset="0"/>
                </a:rPr>
                <a:t>𝐂𝐓</a:t>
              </a:r>
              <a:r>
                <a:rPr lang="en-IN" sz="1200" b="1" i="0"/>
                <a:t> (g)</a:t>
              </a:r>
            </a:p>
          </xdr:txBody>
        </xdr:sp>
      </mc:Fallback>
    </mc:AlternateContent>
    <xdr:clientData/>
  </xdr:oneCellAnchor>
  <xdr:oneCellAnchor>
    <xdr:from>
      <xdr:col>1</xdr:col>
      <xdr:colOff>148167</xdr:colOff>
      <xdr:row>3</xdr:row>
      <xdr:rowOff>10584</xdr:rowOff>
    </xdr:from>
    <xdr:ext cx="444500" cy="1980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7D3CDB7-C8B8-4729-B6D1-E54A1A7F189E}"/>
                </a:ext>
              </a:extLst>
            </xdr:cNvPr>
            <xdr:cNvSpPr txBox="1"/>
          </xdr:nvSpPr>
          <xdr:spPr>
            <a:xfrm>
              <a:off x="994834" y="582084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200" b="1" i="1"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̂"/>
                          <m:ctrlPr>
                            <a:rPr lang="en-US" sz="1200" b="1" i="0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1" i="0">
                              <a:latin typeface="Cambria Math" panose="02040503050406030204" pitchFamily="18" charset="0"/>
                            </a:rPr>
                            <m:t>𝐒</m:t>
                          </m:r>
                        </m:e>
                      </m:acc>
                    </m:e>
                    <m:sub>
                      <m:r>
                        <a:rPr lang="en-US" sz="1200" b="1" i="0">
                          <a:latin typeface="Cambria Math" panose="02040503050406030204" pitchFamily="18" charset="0"/>
                        </a:rPr>
                        <m:t>𝐂𝐓</m:t>
                      </m:r>
                    </m:sub>
                  </m:sSub>
                </m:oMath>
              </a14:m>
              <a:r>
                <a:rPr lang="en-IN" sz="1200" b="1" i="0"/>
                <a:t> (g)</a:t>
              </a: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7D3CDB7-C8B8-4729-B6D1-E54A1A7F189E}"/>
                </a:ext>
              </a:extLst>
            </xdr:cNvPr>
            <xdr:cNvSpPr txBox="1"/>
          </xdr:nvSpPr>
          <xdr:spPr>
            <a:xfrm>
              <a:off x="994834" y="582084"/>
              <a:ext cx="444500" cy="1980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𝐒</a:t>
              </a:r>
              <a:r>
                <a:rPr lang="en-IN" sz="1200" b="1" i="0">
                  <a:latin typeface="Cambria Math" panose="02040503050406030204" pitchFamily="18" charset="0"/>
                </a:rPr>
                <a:t> ̂_</a:t>
              </a:r>
              <a:r>
                <a:rPr lang="en-US" sz="1200" b="1" i="0">
                  <a:latin typeface="Cambria Math" panose="02040503050406030204" pitchFamily="18" charset="0"/>
                </a:rPr>
                <a:t>𝐂𝐓</a:t>
              </a:r>
              <a:r>
                <a:rPr lang="en-IN" sz="1200" b="1" i="0"/>
                <a:t> (g)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3"/>
  <sheetViews>
    <sheetView topLeftCell="H88" workbookViewId="0">
      <selection activeCell="M43" sqref="M43"/>
    </sheetView>
  </sheetViews>
  <sheetFormatPr defaultRowHeight="15" x14ac:dyDescent="0.25"/>
  <cols>
    <col min="1" max="1" width="7.28515625" hidden="1" customWidth="1"/>
    <col min="2" max="2" width="10.28515625" hidden="1" customWidth="1"/>
    <col min="3" max="3" width="22.140625" hidden="1" customWidth="1"/>
    <col min="4" max="4" width="24" hidden="1" customWidth="1"/>
    <col min="5" max="5" width="14.5703125" hidden="1" customWidth="1"/>
    <col min="6" max="6" width="13" hidden="1" customWidth="1"/>
    <col min="7" max="7" width="12.85546875" hidden="1" customWidth="1"/>
    <col min="8" max="8" width="6" bestFit="1" customWidth="1"/>
    <col min="9" max="9" width="23.28515625" customWidth="1"/>
    <col min="10" max="10" width="26.5703125" customWidth="1"/>
    <col min="11" max="11" width="27.140625" bestFit="1" customWidth="1"/>
    <col min="12" max="12" width="13.42578125" bestFit="1" customWidth="1"/>
    <col min="13" max="13" width="24.5703125" customWidth="1"/>
    <col min="14" max="14" width="6" bestFit="1" customWidth="1"/>
    <col min="15" max="15" width="13.28515625" bestFit="1" customWidth="1"/>
    <col min="16" max="16" width="25" bestFit="1" customWidth="1"/>
    <col min="17" max="17" width="27.140625" bestFit="1" customWidth="1"/>
    <col min="18" max="19" width="14.7109375" customWidth="1"/>
    <col min="20" max="20" width="6" bestFit="1" customWidth="1"/>
    <col min="21" max="21" width="13.28515625" bestFit="1" customWidth="1"/>
    <col min="22" max="22" width="25" bestFit="1" customWidth="1"/>
    <col min="23" max="23" width="27.140625" bestFit="1" customWidth="1"/>
    <col min="24" max="24" width="14.85546875" customWidth="1"/>
  </cols>
  <sheetData>
    <row r="1" spans="1:27" ht="21" x14ac:dyDescent="0.35">
      <c r="A1" s="46" t="s">
        <v>35</v>
      </c>
      <c r="B1" s="46"/>
      <c r="C1" s="46"/>
      <c r="D1" s="46"/>
      <c r="E1" s="46"/>
      <c r="F1" s="46"/>
      <c r="G1" s="46"/>
      <c r="I1" s="46" t="s">
        <v>37</v>
      </c>
      <c r="J1" s="46"/>
      <c r="K1" s="46"/>
      <c r="L1" s="1"/>
      <c r="M1" s="1"/>
      <c r="N1" s="1"/>
      <c r="O1" s="46" t="s">
        <v>3</v>
      </c>
      <c r="P1" s="46"/>
      <c r="Q1" s="46"/>
      <c r="U1" s="46" t="s">
        <v>7</v>
      </c>
      <c r="V1" s="46"/>
      <c r="W1" s="46"/>
    </row>
    <row r="2" spans="1:27" x14ac:dyDescent="0.25">
      <c r="A2" s="47" t="s">
        <v>5</v>
      </c>
      <c r="B2" s="48"/>
      <c r="C2" s="49"/>
      <c r="D2" s="1"/>
      <c r="E2" s="47" t="s">
        <v>6</v>
      </c>
      <c r="F2" s="48"/>
      <c r="G2" s="49"/>
      <c r="I2" s="47" t="s">
        <v>5</v>
      </c>
      <c r="J2" s="48"/>
      <c r="K2" s="49"/>
      <c r="L2" s="1"/>
      <c r="M2" s="1"/>
      <c r="N2" s="1"/>
      <c r="O2" s="47" t="s">
        <v>4</v>
      </c>
      <c r="P2" s="48"/>
      <c r="Q2" s="49"/>
      <c r="U2" s="47" t="s">
        <v>4</v>
      </c>
      <c r="V2" s="48"/>
      <c r="W2" s="49"/>
    </row>
    <row r="3" spans="1:27" x14ac:dyDescent="0.25">
      <c r="A3" s="2" t="s">
        <v>0</v>
      </c>
      <c r="B3" s="2" t="s">
        <v>1</v>
      </c>
      <c r="C3" s="2" t="s">
        <v>2</v>
      </c>
      <c r="E3" s="2" t="s">
        <v>0</v>
      </c>
      <c r="F3" s="4" t="s">
        <v>1</v>
      </c>
      <c r="G3" s="4" t="s">
        <v>2</v>
      </c>
      <c r="I3" s="2" t="s">
        <v>0</v>
      </c>
      <c r="J3" s="2" t="s">
        <v>1</v>
      </c>
      <c r="K3" s="2" t="s">
        <v>2</v>
      </c>
      <c r="L3" s="1"/>
      <c r="M3" s="1"/>
      <c r="N3" s="1"/>
      <c r="O3" s="2" t="s">
        <v>0</v>
      </c>
      <c r="P3" s="2" t="s">
        <v>1</v>
      </c>
      <c r="Q3" s="2" t="s">
        <v>2</v>
      </c>
      <c r="U3" s="2" t="s">
        <v>0</v>
      </c>
      <c r="V3" s="2" t="s">
        <v>1</v>
      </c>
      <c r="W3" s="2" t="s">
        <v>2</v>
      </c>
    </row>
    <row r="4" spans="1:27" ht="21" x14ac:dyDescent="0.35">
      <c r="A4" s="1">
        <v>1</v>
      </c>
      <c r="B4" s="1">
        <v>1524</v>
      </c>
      <c r="C4" s="1">
        <v>4.7073</v>
      </c>
      <c r="E4" s="1">
        <v>1</v>
      </c>
      <c r="F4" s="1">
        <v>1524</v>
      </c>
      <c r="G4" s="1">
        <v>4.7487000000000004</v>
      </c>
      <c r="I4" s="1">
        <v>1</v>
      </c>
      <c r="J4" s="1">
        <v>1575</v>
      </c>
      <c r="K4" s="1">
        <v>4.0995999999999997</v>
      </c>
      <c r="L4" s="1"/>
      <c r="M4" s="1"/>
      <c r="N4" s="1"/>
      <c r="O4" s="1">
        <v>1</v>
      </c>
      <c r="P4" s="1">
        <v>1524</v>
      </c>
      <c r="Q4" s="1">
        <v>4.7487000000000004</v>
      </c>
      <c r="U4" s="1">
        <v>1</v>
      </c>
      <c r="V4" s="1">
        <v>1524</v>
      </c>
      <c r="W4" s="1">
        <v>4.7487000000000004</v>
      </c>
      <c r="AA4" s="6" t="s">
        <v>8</v>
      </c>
    </row>
    <row r="5" spans="1:27" x14ac:dyDescent="0.25">
      <c r="A5" s="1">
        <v>2</v>
      </c>
      <c r="B5" s="1">
        <v>1581</v>
      </c>
      <c r="C5" s="1">
        <v>3.2749000000000001</v>
      </c>
      <c r="E5" s="1">
        <v>2</v>
      </c>
      <c r="F5" s="1">
        <v>1581</v>
      </c>
      <c r="G5" s="1">
        <v>3.3037999999999998</v>
      </c>
      <c r="I5" s="1">
        <v>2</v>
      </c>
      <c r="J5" s="1">
        <v>1524</v>
      </c>
      <c r="K5" s="1">
        <v>4.7487000000000004</v>
      </c>
      <c r="L5" s="1"/>
      <c r="M5" s="1"/>
      <c r="N5" s="1"/>
      <c r="O5" s="1">
        <v>2</v>
      </c>
      <c r="P5" s="1">
        <v>1472</v>
      </c>
      <c r="Q5" s="1">
        <v>2.7484000000000002</v>
      </c>
      <c r="U5" s="1">
        <v>2</v>
      </c>
      <c r="V5" s="1">
        <v>1575</v>
      </c>
      <c r="W5" s="1">
        <v>4.0995999999999997</v>
      </c>
      <c r="AA5" t="s">
        <v>9</v>
      </c>
    </row>
    <row r="6" spans="1:27" x14ac:dyDescent="0.25">
      <c r="A6" s="1">
        <v>3</v>
      </c>
      <c r="B6" s="1">
        <v>1485</v>
      </c>
      <c r="C6" s="1">
        <v>4.1017999999999999</v>
      </c>
      <c r="E6" s="1">
        <v>3</v>
      </c>
      <c r="F6" s="1">
        <v>1472</v>
      </c>
      <c r="G6" s="1">
        <v>2.7484000000000002</v>
      </c>
      <c r="I6" s="1">
        <v>3</v>
      </c>
      <c r="J6" s="1">
        <v>3307</v>
      </c>
      <c r="K6" s="1">
        <v>4.5038999999999998</v>
      </c>
      <c r="L6" s="1"/>
      <c r="M6" s="1"/>
      <c r="N6" s="1"/>
      <c r="O6" s="1">
        <v>3</v>
      </c>
      <c r="P6" s="1">
        <v>1469</v>
      </c>
      <c r="Q6" s="1">
        <v>4.2964000000000002</v>
      </c>
      <c r="U6" s="1">
        <v>3</v>
      </c>
      <c r="V6" s="1">
        <v>1436</v>
      </c>
      <c r="W6" s="1">
        <v>3.3534999999999999</v>
      </c>
    </row>
    <row r="7" spans="1:27" x14ac:dyDescent="0.25">
      <c r="A7" s="1">
        <v>4</v>
      </c>
      <c r="B7" s="1">
        <v>4350</v>
      </c>
      <c r="C7" s="1">
        <v>3.1004999999999998</v>
      </c>
      <c r="E7" s="1">
        <v>4</v>
      </c>
      <c r="F7" s="5">
        <v>5663</v>
      </c>
      <c r="G7" s="1">
        <v>2.3342000000000001</v>
      </c>
      <c r="I7" s="1">
        <v>4</v>
      </c>
      <c r="J7" s="1">
        <v>4884</v>
      </c>
      <c r="K7" s="1">
        <v>3.6293000000000002</v>
      </c>
      <c r="L7" s="1"/>
      <c r="M7" s="1"/>
      <c r="N7" s="1"/>
      <c r="O7" s="1">
        <v>4</v>
      </c>
      <c r="P7" s="5">
        <v>4884</v>
      </c>
      <c r="Q7" s="1">
        <v>3.6293000000000002</v>
      </c>
      <c r="U7" s="1">
        <v>4</v>
      </c>
      <c r="V7" s="5">
        <v>4884</v>
      </c>
      <c r="W7" s="1">
        <v>3.6293000000000002</v>
      </c>
    </row>
    <row r="8" spans="1:27" x14ac:dyDescent="0.25">
      <c r="A8" s="1">
        <v>5</v>
      </c>
      <c r="B8" s="5">
        <v>5663</v>
      </c>
      <c r="C8" s="1">
        <v>2.3138999999999998</v>
      </c>
      <c r="E8" s="1">
        <v>5</v>
      </c>
      <c r="F8" s="1">
        <v>3307</v>
      </c>
      <c r="G8" s="1">
        <v>4.5038999999999998</v>
      </c>
      <c r="I8" s="1">
        <v>5</v>
      </c>
      <c r="J8" s="1">
        <v>3281</v>
      </c>
      <c r="K8" s="1">
        <v>4.5603999999999996</v>
      </c>
      <c r="L8" s="1"/>
      <c r="M8" s="1"/>
      <c r="N8" s="1"/>
      <c r="O8" s="1">
        <v>5</v>
      </c>
      <c r="P8" s="1">
        <v>1436</v>
      </c>
      <c r="Q8" s="1">
        <v>3.3534999999999999</v>
      </c>
      <c r="U8" s="1">
        <v>5</v>
      </c>
      <c r="V8" s="1">
        <v>1472</v>
      </c>
      <c r="W8" s="1">
        <v>2.7484000000000002</v>
      </c>
    </row>
    <row r="9" spans="1:27" x14ac:dyDescent="0.25">
      <c r="A9" s="1">
        <v>6</v>
      </c>
      <c r="B9" s="1">
        <v>1166</v>
      </c>
      <c r="C9" s="1">
        <v>2.7006999999999999</v>
      </c>
      <c r="E9" s="1">
        <v>6</v>
      </c>
      <c r="F9" s="1">
        <v>1469</v>
      </c>
      <c r="G9" s="1">
        <v>4.2964000000000002</v>
      </c>
      <c r="I9" s="1">
        <v>6</v>
      </c>
      <c r="J9" s="9">
        <v>1522</v>
      </c>
      <c r="K9" s="1">
        <v>3.8698000000000001</v>
      </c>
      <c r="L9" s="1"/>
      <c r="M9" s="1"/>
      <c r="N9" s="1"/>
      <c r="O9" s="1">
        <v>6</v>
      </c>
      <c r="P9" s="1">
        <v>1166</v>
      </c>
      <c r="Q9" s="1">
        <v>2.7244999999999999</v>
      </c>
      <c r="U9" s="1">
        <v>6</v>
      </c>
      <c r="V9" s="1">
        <v>1469</v>
      </c>
      <c r="W9" s="1">
        <v>4.2964000000000002</v>
      </c>
    </row>
    <row r="10" spans="1:27" x14ac:dyDescent="0.25">
      <c r="A10" s="1">
        <v>7</v>
      </c>
      <c r="B10" s="5">
        <v>1557</v>
      </c>
      <c r="C10" s="1">
        <v>4.6609999999999996</v>
      </c>
      <c r="E10" s="1">
        <v>7</v>
      </c>
      <c r="F10" s="5">
        <v>1557</v>
      </c>
      <c r="G10" s="1">
        <v>4.702</v>
      </c>
      <c r="I10" s="1">
        <v>7</v>
      </c>
      <c r="J10" s="1">
        <v>1166</v>
      </c>
      <c r="K10" s="1">
        <v>2.7244999999999999</v>
      </c>
      <c r="L10" s="1"/>
      <c r="M10" s="1"/>
      <c r="N10" s="1"/>
      <c r="O10" s="1">
        <v>7</v>
      </c>
      <c r="P10" s="1">
        <v>1525</v>
      </c>
      <c r="Q10" s="1">
        <v>4.9107000000000003</v>
      </c>
      <c r="U10" s="1">
        <v>7</v>
      </c>
      <c r="V10" s="1">
        <v>3307</v>
      </c>
      <c r="W10" s="1">
        <v>4.5038999999999998</v>
      </c>
    </row>
    <row r="11" spans="1:27" x14ac:dyDescent="0.25">
      <c r="A11" s="1">
        <v>8</v>
      </c>
      <c r="B11" s="1">
        <v>1436</v>
      </c>
      <c r="C11" s="1">
        <v>3.3241999999999998</v>
      </c>
      <c r="E11" s="1">
        <v>8</v>
      </c>
      <c r="F11" s="1">
        <v>963</v>
      </c>
      <c r="G11" s="1">
        <v>1.8362000000000001</v>
      </c>
      <c r="I11" s="1">
        <v>8</v>
      </c>
      <c r="J11" s="1">
        <v>1286</v>
      </c>
      <c r="K11" s="1">
        <v>3.7660999999999998</v>
      </c>
      <c r="L11" s="1"/>
      <c r="M11" s="1"/>
      <c r="N11" s="1"/>
      <c r="O11" s="1">
        <v>8</v>
      </c>
      <c r="P11" s="1">
        <v>1522</v>
      </c>
      <c r="Q11" s="1">
        <v>3.8698000000000001</v>
      </c>
      <c r="U11" s="1">
        <v>8</v>
      </c>
      <c r="V11" s="1">
        <v>1470</v>
      </c>
      <c r="W11" s="1">
        <v>4.4584999999999999</v>
      </c>
    </row>
    <row r="12" spans="1:27" x14ac:dyDescent="0.25">
      <c r="A12" s="1">
        <v>9</v>
      </c>
      <c r="B12" s="1">
        <v>3751</v>
      </c>
      <c r="C12" s="1">
        <v>3.4788999999999999</v>
      </c>
      <c r="E12" s="1">
        <v>9</v>
      </c>
      <c r="F12" s="1">
        <v>1166</v>
      </c>
      <c r="G12" s="1">
        <v>2.7244999999999999</v>
      </c>
      <c r="I12" s="1">
        <v>9</v>
      </c>
      <c r="J12" s="1">
        <v>1581</v>
      </c>
      <c r="K12" s="1">
        <v>3.3037999999999998</v>
      </c>
      <c r="L12" s="1"/>
      <c r="M12" s="1"/>
      <c r="N12" s="1"/>
      <c r="O12" s="1">
        <v>9</v>
      </c>
      <c r="P12" s="1">
        <v>1455</v>
      </c>
      <c r="Q12" s="1">
        <v>4.0294999999999996</v>
      </c>
      <c r="U12" s="1">
        <v>9</v>
      </c>
      <c r="V12" s="1">
        <v>78</v>
      </c>
      <c r="W12" s="1">
        <v>4.4333</v>
      </c>
    </row>
    <row r="13" spans="1:27" x14ac:dyDescent="0.25">
      <c r="A13" s="1">
        <v>10</v>
      </c>
      <c r="B13" s="1">
        <v>1575</v>
      </c>
      <c r="C13" s="1">
        <v>4.0639000000000003</v>
      </c>
      <c r="E13" s="1">
        <v>10</v>
      </c>
      <c r="F13" s="1">
        <v>3281</v>
      </c>
      <c r="G13" s="1">
        <v>4.5603999999999996</v>
      </c>
      <c r="I13" s="1">
        <v>10</v>
      </c>
      <c r="J13" s="1">
        <v>1469</v>
      </c>
      <c r="K13" s="1">
        <v>4.2964000000000002</v>
      </c>
      <c r="L13" s="1"/>
      <c r="M13" s="1"/>
      <c r="N13" s="1"/>
      <c r="O13" s="1">
        <v>10</v>
      </c>
      <c r="P13" s="1">
        <v>1465</v>
      </c>
      <c r="Q13" s="1">
        <v>4.2470999999999997</v>
      </c>
      <c r="U13" s="1">
        <v>10</v>
      </c>
      <c r="V13" s="1">
        <v>1460</v>
      </c>
      <c r="W13" s="1">
        <v>4.5625999999999998</v>
      </c>
    </row>
    <row r="14" spans="1:27" x14ac:dyDescent="0.25">
      <c r="A14" s="1">
        <v>11</v>
      </c>
      <c r="B14" s="1">
        <v>1292</v>
      </c>
      <c r="C14" s="1">
        <v>4.6813000000000002</v>
      </c>
      <c r="E14" s="1">
        <v>11</v>
      </c>
      <c r="F14" s="1">
        <v>1292</v>
      </c>
      <c r="G14" s="1">
        <v>4.7225000000000001</v>
      </c>
      <c r="I14" s="1">
        <v>11</v>
      </c>
      <c r="J14" s="1">
        <v>1555</v>
      </c>
      <c r="K14" s="1">
        <v>3.1690999999999998</v>
      </c>
      <c r="L14" s="1"/>
      <c r="M14" s="1"/>
      <c r="N14" s="1"/>
      <c r="O14" s="1">
        <v>11</v>
      </c>
      <c r="P14" s="1">
        <v>1575</v>
      </c>
      <c r="Q14" s="1">
        <v>4.0995999999999997</v>
      </c>
      <c r="U14" s="1">
        <v>11</v>
      </c>
      <c r="V14" s="5">
        <v>1557</v>
      </c>
      <c r="W14" s="1">
        <v>4.702</v>
      </c>
    </row>
    <row r="15" spans="1:27" x14ac:dyDescent="0.25">
      <c r="A15" s="1">
        <v>12</v>
      </c>
      <c r="B15" s="1">
        <v>14</v>
      </c>
      <c r="C15" s="1">
        <v>4.1645000000000003</v>
      </c>
      <c r="E15" s="1">
        <v>12</v>
      </c>
      <c r="F15" s="1">
        <v>1575</v>
      </c>
      <c r="G15" s="1">
        <v>4.0995999999999997</v>
      </c>
      <c r="I15" s="1">
        <v>12</v>
      </c>
      <c r="J15" s="1">
        <v>3751</v>
      </c>
      <c r="K15" s="1">
        <v>3.5095999999999998</v>
      </c>
      <c r="L15" s="1"/>
      <c r="M15" s="1"/>
      <c r="N15" s="1"/>
      <c r="O15" s="1">
        <v>12</v>
      </c>
      <c r="P15" s="1">
        <v>4350</v>
      </c>
      <c r="Q15" s="1">
        <v>3.1278000000000001</v>
      </c>
      <c r="U15" s="1">
        <v>12</v>
      </c>
      <c r="V15" s="1">
        <v>1514</v>
      </c>
      <c r="W15" s="1">
        <v>3.9205999999999999</v>
      </c>
    </row>
    <row r="16" spans="1:27" x14ac:dyDescent="0.25">
      <c r="A16" s="1">
        <v>13</v>
      </c>
      <c r="B16" s="1">
        <v>3307</v>
      </c>
      <c r="C16" s="1">
        <v>4.4645999999999999</v>
      </c>
      <c r="E16" s="1">
        <v>13</v>
      </c>
      <c r="F16" s="1">
        <v>78</v>
      </c>
      <c r="G16" s="1">
        <v>4.4333</v>
      </c>
      <c r="I16" s="1">
        <v>13</v>
      </c>
      <c r="J16" s="1">
        <v>1557</v>
      </c>
      <c r="K16" s="1">
        <v>4.702</v>
      </c>
      <c r="L16" s="1"/>
      <c r="M16" s="1"/>
      <c r="N16" s="1"/>
      <c r="O16" s="1">
        <v>13</v>
      </c>
      <c r="P16" s="1">
        <v>1470</v>
      </c>
      <c r="Q16" s="1">
        <v>4.4584999999999999</v>
      </c>
      <c r="U16" s="1">
        <v>13</v>
      </c>
      <c r="V16" s="1">
        <v>5778</v>
      </c>
      <c r="W16" s="1">
        <v>4.0232000000000001</v>
      </c>
    </row>
    <row r="17" spans="1:23" x14ac:dyDescent="0.25">
      <c r="A17" s="1">
        <v>14</v>
      </c>
      <c r="B17" s="1">
        <v>1472</v>
      </c>
      <c r="C17" s="1">
        <v>2.7244000000000002</v>
      </c>
      <c r="E17" s="1">
        <v>14</v>
      </c>
      <c r="F17" s="1">
        <v>4350</v>
      </c>
      <c r="G17" s="1">
        <v>3.1278000000000001</v>
      </c>
      <c r="I17" s="1">
        <v>14</v>
      </c>
      <c r="J17" s="1">
        <v>1436</v>
      </c>
      <c r="K17" s="1">
        <v>3.3534999999999999</v>
      </c>
      <c r="L17" s="1"/>
      <c r="M17" s="1"/>
      <c r="N17" s="1"/>
      <c r="O17" s="1">
        <v>14</v>
      </c>
      <c r="P17" s="1">
        <v>3307</v>
      </c>
      <c r="Q17" s="1">
        <v>4.5038999999999998</v>
      </c>
      <c r="U17" s="1">
        <v>14</v>
      </c>
      <c r="V17" s="1">
        <v>1581</v>
      </c>
      <c r="W17" s="1">
        <v>3.3037999999999998</v>
      </c>
    </row>
    <row r="18" spans="1:23" x14ac:dyDescent="0.25">
      <c r="A18" s="1">
        <v>15</v>
      </c>
      <c r="B18" s="1">
        <v>3750</v>
      </c>
      <c r="C18" s="1">
        <v>2.234</v>
      </c>
      <c r="E18" s="1">
        <v>15</v>
      </c>
      <c r="F18" s="1">
        <v>1555</v>
      </c>
      <c r="G18" s="1">
        <v>3.1690999999999998</v>
      </c>
      <c r="I18" s="1">
        <v>15</v>
      </c>
      <c r="J18" s="1">
        <v>1485</v>
      </c>
      <c r="K18" s="1">
        <v>4.1379000000000001</v>
      </c>
      <c r="L18" s="1"/>
      <c r="M18" s="1"/>
      <c r="N18" s="1"/>
      <c r="O18" s="1">
        <v>15</v>
      </c>
      <c r="P18" s="1">
        <v>1581</v>
      </c>
      <c r="Q18" s="1">
        <v>3.3037999999999998</v>
      </c>
      <c r="U18" s="1">
        <v>15</v>
      </c>
      <c r="V18" s="1">
        <v>1455</v>
      </c>
      <c r="W18" s="1">
        <v>4.0294999999999996</v>
      </c>
    </row>
    <row r="19" spans="1:23" x14ac:dyDescent="0.25">
      <c r="A19" s="1">
        <v>16</v>
      </c>
      <c r="B19" s="1">
        <v>3274</v>
      </c>
      <c r="C19" s="1">
        <v>4.0513000000000003</v>
      </c>
      <c r="E19" s="1">
        <v>16</v>
      </c>
      <c r="F19" s="1">
        <v>1286</v>
      </c>
      <c r="G19" s="1">
        <v>3.7660999999999998</v>
      </c>
      <c r="I19" s="1">
        <v>16</v>
      </c>
      <c r="J19" s="1">
        <v>1292</v>
      </c>
      <c r="K19" s="1">
        <v>4.7225000000000001</v>
      </c>
      <c r="L19" s="1"/>
      <c r="M19" s="1"/>
      <c r="N19" s="1"/>
      <c r="O19" s="1">
        <v>16</v>
      </c>
      <c r="P19" s="1">
        <v>1263</v>
      </c>
      <c r="Q19" s="1">
        <v>4.3055000000000003</v>
      </c>
      <c r="U19" s="1">
        <v>16</v>
      </c>
      <c r="V19" s="1">
        <v>4350</v>
      </c>
      <c r="W19" s="1">
        <v>3.1278000000000001</v>
      </c>
    </row>
    <row r="20" spans="1:23" x14ac:dyDescent="0.25">
      <c r="A20" s="1">
        <v>17</v>
      </c>
      <c r="B20" s="1">
        <v>1555</v>
      </c>
      <c r="C20" s="1">
        <v>3.1414</v>
      </c>
      <c r="E20" s="1">
        <v>17</v>
      </c>
      <c r="F20" s="1">
        <v>3750</v>
      </c>
      <c r="G20" s="1">
        <v>2.2536999999999998</v>
      </c>
      <c r="I20" s="1">
        <v>17</v>
      </c>
      <c r="J20" s="1">
        <v>78</v>
      </c>
      <c r="K20" s="1">
        <v>4.4333</v>
      </c>
      <c r="L20" s="1"/>
      <c r="M20" s="1"/>
      <c r="N20" s="1"/>
      <c r="O20" s="1">
        <v>17</v>
      </c>
      <c r="P20" s="1">
        <v>3750</v>
      </c>
      <c r="Q20" s="1">
        <v>2.2536999999999998</v>
      </c>
      <c r="U20" s="1">
        <v>17</v>
      </c>
      <c r="V20" s="1">
        <v>1166</v>
      </c>
      <c r="W20" s="1">
        <v>2.7244999999999999</v>
      </c>
    </row>
    <row r="21" spans="1:23" x14ac:dyDescent="0.25">
      <c r="A21" s="1">
        <v>18</v>
      </c>
      <c r="B21" s="1">
        <v>963</v>
      </c>
      <c r="C21" s="1">
        <v>1.8202</v>
      </c>
      <c r="E21" s="1">
        <v>18</v>
      </c>
      <c r="F21" s="1">
        <v>14</v>
      </c>
      <c r="G21" s="1">
        <v>4.2011000000000003</v>
      </c>
      <c r="I21" s="1">
        <v>18</v>
      </c>
      <c r="J21" s="9">
        <v>1484</v>
      </c>
      <c r="K21" s="1">
        <v>3.8065000000000002</v>
      </c>
      <c r="L21" s="1"/>
      <c r="M21" s="1"/>
      <c r="N21" s="1"/>
      <c r="O21" s="1">
        <v>18</v>
      </c>
      <c r="P21" s="1">
        <v>78</v>
      </c>
      <c r="Q21" s="1">
        <v>4.4333</v>
      </c>
      <c r="U21" s="1">
        <v>18</v>
      </c>
      <c r="V21" s="1">
        <v>1465</v>
      </c>
      <c r="W21" s="1">
        <v>4.2470999999999997</v>
      </c>
    </row>
    <row r="22" spans="1:23" x14ac:dyDescent="0.25">
      <c r="A22" s="1">
        <v>19</v>
      </c>
      <c r="B22" s="5">
        <v>4884</v>
      </c>
      <c r="C22" s="1">
        <v>3.5975999999999999</v>
      </c>
      <c r="E22" s="1">
        <v>19</v>
      </c>
      <c r="F22" s="1">
        <v>3751</v>
      </c>
      <c r="G22" s="1">
        <v>3.5095999999999998</v>
      </c>
      <c r="I22" s="1">
        <v>19</v>
      </c>
      <c r="J22" s="1">
        <v>14</v>
      </c>
      <c r="K22" s="1">
        <v>4.2011000000000003</v>
      </c>
      <c r="L22" s="1"/>
      <c r="M22" s="1"/>
      <c r="N22" s="1"/>
      <c r="O22" s="1">
        <v>19</v>
      </c>
      <c r="P22" s="1">
        <v>736</v>
      </c>
      <c r="Q22" s="1">
        <v>3.79</v>
      </c>
      <c r="U22" s="1">
        <v>19</v>
      </c>
      <c r="V22" s="1">
        <v>1263</v>
      </c>
      <c r="W22" s="1">
        <v>4.3055000000000003</v>
      </c>
    </row>
    <row r="23" spans="1:23" x14ac:dyDescent="0.25">
      <c r="A23" s="1">
        <v>20</v>
      </c>
      <c r="B23" s="1">
        <v>2466</v>
      </c>
      <c r="C23" s="1">
        <v>4.3377999999999997</v>
      </c>
      <c r="E23" s="1">
        <v>20</v>
      </c>
      <c r="F23" s="1">
        <v>1485</v>
      </c>
      <c r="G23" s="1">
        <v>4.1379000000000001</v>
      </c>
      <c r="I23" s="1">
        <v>20</v>
      </c>
      <c r="J23" s="1">
        <v>3274</v>
      </c>
      <c r="K23" s="1">
        <v>4.0869999999999997</v>
      </c>
      <c r="L23" s="1"/>
      <c r="M23" s="1"/>
      <c r="N23" s="1"/>
      <c r="O23" s="1">
        <v>20</v>
      </c>
      <c r="P23" s="1">
        <v>5778</v>
      </c>
      <c r="Q23" s="1">
        <v>4.0232000000000001</v>
      </c>
      <c r="U23" s="1">
        <v>20</v>
      </c>
      <c r="V23" s="1">
        <v>1523</v>
      </c>
      <c r="W23" s="1">
        <v>3.9708999999999999</v>
      </c>
    </row>
    <row r="24" spans="1:23" x14ac:dyDescent="0.25">
      <c r="A24" s="1">
        <v>21</v>
      </c>
      <c r="B24" s="1">
        <v>1286</v>
      </c>
      <c r="C24" s="1">
        <v>3.7332000000000001</v>
      </c>
      <c r="E24" s="1">
        <v>21</v>
      </c>
      <c r="F24" s="1">
        <v>3865</v>
      </c>
      <c r="G24" s="1">
        <v>4.3784000000000001</v>
      </c>
      <c r="I24" s="1">
        <v>21</v>
      </c>
      <c r="J24" s="9">
        <v>2661</v>
      </c>
      <c r="K24" s="1">
        <v>3.4771999999999998</v>
      </c>
      <c r="L24" s="1"/>
      <c r="M24" s="1"/>
      <c r="N24" s="1"/>
      <c r="O24" s="1">
        <v>21</v>
      </c>
      <c r="P24" s="1">
        <v>14</v>
      </c>
      <c r="Q24" s="1">
        <v>4.2011000000000003</v>
      </c>
      <c r="U24" s="1">
        <v>21</v>
      </c>
      <c r="V24" s="1">
        <v>1453</v>
      </c>
      <c r="W24" s="1">
        <v>4.6933999999999996</v>
      </c>
    </row>
    <row r="25" spans="1:23" x14ac:dyDescent="0.25">
      <c r="A25" s="1">
        <v>22</v>
      </c>
      <c r="B25" s="1">
        <v>1470</v>
      </c>
      <c r="C25" s="1">
        <v>4.4196</v>
      </c>
      <c r="E25" s="1">
        <v>22</v>
      </c>
      <c r="F25" s="5">
        <v>4884</v>
      </c>
      <c r="G25" s="1">
        <v>3.6293000000000002</v>
      </c>
      <c r="I25" s="1">
        <v>22</v>
      </c>
      <c r="J25" s="9">
        <v>4891</v>
      </c>
      <c r="K25" s="1">
        <v>3.794</v>
      </c>
      <c r="L25" s="1"/>
      <c r="M25" s="1"/>
      <c r="N25" s="1"/>
      <c r="O25" s="1">
        <v>22</v>
      </c>
      <c r="P25" s="1">
        <v>2661</v>
      </c>
      <c r="Q25" s="1">
        <v>3.4771999999999998</v>
      </c>
      <c r="U25" s="1">
        <v>22</v>
      </c>
      <c r="V25" s="1">
        <v>2650</v>
      </c>
      <c r="W25" s="1">
        <v>3.3233000000000001</v>
      </c>
    </row>
    <row r="26" spans="1:23" x14ac:dyDescent="0.25">
      <c r="A26" s="1">
        <v>23</v>
      </c>
      <c r="B26" s="1">
        <v>1297</v>
      </c>
      <c r="C26" s="1">
        <v>4.9916</v>
      </c>
      <c r="E26" s="1">
        <v>23</v>
      </c>
      <c r="F26" s="1">
        <v>1465</v>
      </c>
      <c r="G26" s="1">
        <v>4.2470999999999997</v>
      </c>
      <c r="I26" s="1">
        <v>23</v>
      </c>
      <c r="J26" s="1">
        <v>3750</v>
      </c>
      <c r="K26" s="1">
        <v>2.2536999999999998</v>
      </c>
      <c r="L26" s="1"/>
      <c r="M26" s="1"/>
      <c r="N26" s="1"/>
      <c r="O26" s="1">
        <v>23</v>
      </c>
      <c r="P26" s="1">
        <v>1292</v>
      </c>
      <c r="Q26" s="1">
        <v>4.7225000000000001</v>
      </c>
      <c r="U26" s="1">
        <v>23</v>
      </c>
      <c r="V26" s="1">
        <v>3750</v>
      </c>
      <c r="W26" s="1">
        <v>2.2536999999999998</v>
      </c>
    </row>
    <row r="27" spans="1:23" x14ac:dyDescent="0.25">
      <c r="A27" s="1">
        <v>24</v>
      </c>
      <c r="B27" s="1">
        <v>1465</v>
      </c>
      <c r="C27" s="1">
        <v>4.21</v>
      </c>
      <c r="E27" s="1">
        <v>24</v>
      </c>
      <c r="F27" s="1">
        <v>1487</v>
      </c>
      <c r="G27" s="1">
        <v>3.8294999999999999</v>
      </c>
      <c r="I27" s="1">
        <v>24</v>
      </c>
      <c r="J27" s="9">
        <v>1453</v>
      </c>
      <c r="K27" s="1">
        <v>4.6933999999999996</v>
      </c>
      <c r="L27" s="1"/>
      <c r="M27" s="1"/>
      <c r="N27" s="1"/>
      <c r="O27" s="1">
        <v>24</v>
      </c>
      <c r="P27" s="1">
        <v>1453</v>
      </c>
      <c r="Q27" s="1">
        <v>4.6933999999999996</v>
      </c>
      <c r="U27" s="1">
        <v>24</v>
      </c>
      <c r="V27" s="1">
        <v>3269</v>
      </c>
      <c r="W27" s="1">
        <v>4.3053999999999997</v>
      </c>
    </row>
    <row r="28" spans="1:23" x14ac:dyDescent="0.25">
      <c r="A28" s="1">
        <v>25</v>
      </c>
      <c r="B28" s="1">
        <v>1487</v>
      </c>
      <c r="C28" s="1">
        <v>3.7961</v>
      </c>
      <c r="E28" s="1">
        <v>25</v>
      </c>
      <c r="F28" s="1">
        <v>2466</v>
      </c>
      <c r="G28" s="1">
        <v>4.3760000000000003</v>
      </c>
      <c r="I28" s="1">
        <v>25</v>
      </c>
      <c r="J28" s="1">
        <v>1478</v>
      </c>
      <c r="K28" s="1">
        <v>2.8592</v>
      </c>
      <c r="L28" s="1"/>
      <c r="M28" s="1"/>
      <c r="N28" s="1"/>
      <c r="O28" s="1">
        <v>25</v>
      </c>
      <c r="P28" s="1">
        <v>3281</v>
      </c>
      <c r="Q28" s="1">
        <v>4.5603999999999996</v>
      </c>
      <c r="U28" s="1">
        <v>25</v>
      </c>
      <c r="V28" s="1">
        <v>1522</v>
      </c>
      <c r="W28" s="1">
        <v>3.8698000000000001</v>
      </c>
    </row>
    <row r="29" spans="1:23" x14ac:dyDescent="0.25">
      <c r="A29" s="1">
        <v>26</v>
      </c>
      <c r="B29" s="1">
        <v>1478</v>
      </c>
      <c r="C29" s="1">
        <v>2.8342999999999998</v>
      </c>
      <c r="E29" s="1">
        <v>26</v>
      </c>
      <c r="F29" s="1">
        <v>2650</v>
      </c>
      <c r="G29" s="1">
        <v>3.3233000000000001</v>
      </c>
      <c r="I29" s="1">
        <v>26</v>
      </c>
      <c r="J29" s="9">
        <v>3264</v>
      </c>
      <c r="K29" s="1">
        <v>4.9166999999999996</v>
      </c>
      <c r="L29" s="1"/>
      <c r="M29" s="1"/>
      <c r="N29" s="1"/>
      <c r="O29" s="1">
        <v>26</v>
      </c>
      <c r="P29" s="5">
        <v>1557</v>
      </c>
      <c r="Q29" s="1">
        <v>4.702</v>
      </c>
      <c r="U29" s="1">
        <v>26</v>
      </c>
      <c r="V29" s="1">
        <v>1555</v>
      </c>
      <c r="W29" s="1">
        <v>3.1690999999999998</v>
      </c>
    </row>
    <row r="30" spans="1:23" x14ac:dyDescent="0.25">
      <c r="A30" s="1">
        <v>27</v>
      </c>
      <c r="B30" s="1">
        <v>5778</v>
      </c>
      <c r="C30" s="1">
        <v>3.9881000000000002</v>
      </c>
      <c r="E30" s="1">
        <v>27</v>
      </c>
      <c r="F30" s="1">
        <v>3274</v>
      </c>
      <c r="G30" s="1">
        <v>4.0869999999999997</v>
      </c>
      <c r="I30" s="1">
        <v>27</v>
      </c>
      <c r="J30" s="1">
        <v>4350</v>
      </c>
      <c r="K30" s="1">
        <v>3.1278000000000001</v>
      </c>
      <c r="L30" s="1"/>
      <c r="M30" s="1"/>
      <c r="N30" s="1"/>
      <c r="O30" s="1">
        <v>27</v>
      </c>
      <c r="P30" s="1">
        <v>1555</v>
      </c>
      <c r="Q30" s="1">
        <v>3.1690999999999998</v>
      </c>
      <c r="U30" s="1">
        <v>27</v>
      </c>
      <c r="V30" s="1">
        <v>14</v>
      </c>
      <c r="W30" s="1">
        <v>4.2011000000000003</v>
      </c>
    </row>
    <row r="31" spans="1:23" x14ac:dyDescent="0.25">
      <c r="A31" s="1">
        <v>28</v>
      </c>
      <c r="B31" s="1">
        <v>78</v>
      </c>
      <c r="C31" s="1">
        <v>4.3945999999999996</v>
      </c>
      <c r="E31" s="1">
        <v>28</v>
      </c>
      <c r="F31" s="1">
        <v>2495</v>
      </c>
      <c r="G31" s="1">
        <v>3.3016999999999999</v>
      </c>
      <c r="I31" s="1">
        <v>28</v>
      </c>
      <c r="J31" s="9">
        <v>1295</v>
      </c>
      <c r="K31" s="1">
        <v>3.9836999999999998</v>
      </c>
      <c r="L31" s="1"/>
      <c r="M31" s="1"/>
      <c r="N31" s="1"/>
      <c r="O31" s="1">
        <v>28</v>
      </c>
      <c r="P31" s="1">
        <v>1286</v>
      </c>
      <c r="Q31" s="1">
        <v>3.7660999999999998</v>
      </c>
      <c r="U31" s="1">
        <v>28</v>
      </c>
      <c r="V31" s="1">
        <v>3281</v>
      </c>
      <c r="W31" s="1">
        <v>4.5603999999999996</v>
      </c>
    </row>
    <row r="32" spans="1:23" x14ac:dyDescent="0.25">
      <c r="A32" s="1">
        <v>29</v>
      </c>
      <c r="B32" s="1">
        <v>3281</v>
      </c>
      <c r="C32" s="1">
        <v>4.5206</v>
      </c>
      <c r="E32" s="1">
        <v>29</v>
      </c>
      <c r="F32" s="1">
        <v>1523</v>
      </c>
      <c r="G32" s="1">
        <v>3.9708999999999999</v>
      </c>
      <c r="I32" s="1">
        <v>29</v>
      </c>
      <c r="J32" s="9">
        <v>3865</v>
      </c>
      <c r="K32" s="1">
        <v>4.3784000000000001</v>
      </c>
      <c r="L32" s="1"/>
      <c r="M32" s="1"/>
      <c r="N32" s="1"/>
      <c r="O32" s="1">
        <v>29</v>
      </c>
      <c r="P32" s="1">
        <v>1460</v>
      </c>
      <c r="Q32" s="1">
        <v>4.5625999999999998</v>
      </c>
      <c r="U32" s="1">
        <v>29</v>
      </c>
      <c r="V32" s="1">
        <v>736</v>
      </c>
      <c r="W32" s="1">
        <v>3.79</v>
      </c>
    </row>
    <row r="33" spans="1:40" x14ac:dyDescent="0.25">
      <c r="A33" s="1">
        <v>30</v>
      </c>
      <c r="B33" s="1">
        <v>1469</v>
      </c>
      <c r="C33" s="1">
        <v>4.2588999999999997</v>
      </c>
      <c r="D33" s="1"/>
      <c r="E33" s="1">
        <v>30</v>
      </c>
      <c r="F33" s="1">
        <v>1436</v>
      </c>
      <c r="G33" s="1">
        <v>3.3534999999999999</v>
      </c>
      <c r="I33" s="1">
        <v>30</v>
      </c>
      <c r="J33" s="1">
        <v>2466</v>
      </c>
      <c r="K33" s="1">
        <v>4.3760000000000003</v>
      </c>
      <c r="L33" s="1"/>
      <c r="M33" s="1"/>
      <c r="N33" s="1"/>
      <c r="O33" s="1">
        <v>30</v>
      </c>
      <c r="P33" s="1">
        <v>1523</v>
      </c>
      <c r="Q33" s="1">
        <v>3.9708999999999999</v>
      </c>
      <c r="U33" s="1">
        <v>30</v>
      </c>
      <c r="V33" s="1">
        <v>1525</v>
      </c>
      <c r="W33" s="1">
        <v>4.9107000000000003</v>
      </c>
    </row>
    <row r="35" spans="1:40" x14ac:dyDescent="0.25">
      <c r="B35" s="3"/>
      <c r="D35" s="3" t="s">
        <v>36</v>
      </c>
      <c r="J35" s="3" t="s">
        <v>31</v>
      </c>
      <c r="P35" s="3" t="s">
        <v>29</v>
      </c>
      <c r="V35" s="3" t="s">
        <v>30</v>
      </c>
      <c r="AA35" s="17"/>
    </row>
    <row r="36" spans="1:40" x14ac:dyDescent="0.25">
      <c r="J36" t="s">
        <v>32</v>
      </c>
    </row>
    <row r="38" spans="1:40" ht="15.75" x14ac:dyDescent="0.25">
      <c r="A38" s="1"/>
      <c r="B38" s="1"/>
      <c r="C38" s="1"/>
      <c r="D38" s="1"/>
      <c r="E38" s="1"/>
      <c r="I38" s="10" t="s">
        <v>33</v>
      </c>
      <c r="J38" s="10" t="s">
        <v>41</v>
      </c>
      <c r="K38" s="10" t="s">
        <v>42</v>
      </c>
      <c r="L38" s="10" t="s">
        <v>34</v>
      </c>
      <c r="M38" s="11"/>
      <c r="O38" s="10" t="s">
        <v>33</v>
      </c>
      <c r="P38" s="10" t="s">
        <v>41</v>
      </c>
      <c r="Q38" s="10" t="s">
        <v>42</v>
      </c>
      <c r="R38" s="10" t="s">
        <v>34</v>
      </c>
      <c r="S38" s="11"/>
      <c r="U38" s="10" t="s">
        <v>33</v>
      </c>
      <c r="V38" s="18" t="s">
        <v>41</v>
      </c>
      <c r="W38" s="18" t="s">
        <v>42</v>
      </c>
      <c r="X38" s="10" t="s">
        <v>34</v>
      </c>
    </row>
    <row r="39" spans="1:40" ht="19.149999999999999" customHeight="1" x14ac:dyDescent="0.25">
      <c r="A39" s="1"/>
      <c r="B39" s="1"/>
      <c r="C39" s="1"/>
      <c r="D39" s="1"/>
      <c r="E39" s="11"/>
      <c r="H39" s="1">
        <v>70011</v>
      </c>
      <c r="I39" s="1" t="s">
        <v>43</v>
      </c>
      <c r="J39" s="1">
        <v>30</v>
      </c>
      <c r="K39" s="1">
        <v>30</v>
      </c>
      <c r="L39" s="11">
        <f>(J39-K39)/J39</f>
        <v>0</v>
      </c>
      <c r="M39" s="11"/>
      <c r="N39" s="1">
        <v>80011</v>
      </c>
      <c r="O39" s="1" t="s">
        <v>43</v>
      </c>
      <c r="P39" s="1">
        <v>30</v>
      </c>
      <c r="Q39" s="1">
        <v>30</v>
      </c>
      <c r="R39" s="11">
        <f>(P39-Q39)/P39</f>
        <v>0</v>
      </c>
      <c r="S39" s="11"/>
      <c r="T39" s="1">
        <v>70011</v>
      </c>
      <c r="U39" s="19" t="s">
        <v>43</v>
      </c>
      <c r="V39" s="1">
        <v>30</v>
      </c>
      <c r="W39" s="1">
        <v>30</v>
      </c>
      <c r="X39" s="11">
        <f>(V39-W39)/V39</f>
        <v>0</v>
      </c>
    </row>
    <row r="40" spans="1:40" x14ac:dyDescent="0.25">
      <c r="A40" s="1"/>
      <c r="B40" s="1"/>
      <c r="C40" s="1"/>
      <c r="D40" s="1"/>
      <c r="E40" s="11"/>
      <c r="H40" s="1">
        <v>70012</v>
      </c>
      <c r="I40" s="1" t="s">
        <v>44</v>
      </c>
      <c r="J40" s="1">
        <v>30</v>
      </c>
      <c r="K40" s="1">
        <v>30</v>
      </c>
      <c r="L40" s="11">
        <f t="shared" ref="L40:L98" si="0">(J40-K40)/J40</f>
        <v>0</v>
      </c>
      <c r="M40" s="11"/>
      <c r="N40" s="1">
        <v>80012</v>
      </c>
      <c r="O40" s="1" t="s">
        <v>44</v>
      </c>
      <c r="P40" s="1">
        <v>30</v>
      </c>
      <c r="Q40" s="1">
        <v>30</v>
      </c>
      <c r="R40" s="11">
        <f t="shared" ref="R40:R98" si="1">(P40-Q40)/P40</f>
        <v>0</v>
      </c>
      <c r="S40" s="11"/>
      <c r="T40" s="1">
        <v>70012</v>
      </c>
      <c r="U40" s="19" t="s">
        <v>44</v>
      </c>
      <c r="V40" s="1">
        <v>30</v>
      </c>
      <c r="W40" s="1">
        <v>30</v>
      </c>
      <c r="X40" s="11">
        <f t="shared" ref="X40:X98" si="2">(V40-W40)/V40</f>
        <v>0</v>
      </c>
    </row>
    <row r="41" spans="1:40" x14ac:dyDescent="0.25">
      <c r="A41" s="1"/>
      <c r="B41" s="1"/>
      <c r="C41" s="1"/>
      <c r="D41" s="1"/>
      <c r="E41" s="11"/>
      <c r="H41" s="1">
        <v>70021</v>
      </c>
      <c r="I41" s="1" t="s">
        <v>45</v>
      </c>
      <c r="J41" s="1">
        <v>90</v>
      </c>
      <c r="K41" s="1">
        <v>63</v>
      </c>
      <c r="L41" s="11">
        <f t="shared" si="0"/>
        <v>0.3</v>
      </c>
      <c r="M41" s="11"/>
      <c r="N41" s="1">
        <v>80021</v>
      </c>
      <c r="O41" s="1" t="s">
        <v>45</v>
      </c>
      <c r="P41" s="1">
        <v>88</v>
      </c>
      <c r="Q41" s="1">
        <v>63</v>
      </c>
      <c r="R41" s="11">
        <f t="shared" si="1"/>
        <v>0.28409090909090912</v>
      </c>
      <c r="S41" s="11"/>
      <c r="T41" s="1">
        <v>70021</v>
      </c>
      <c r="U41" s="19" t="s">
        <v>45</v>
      </c>
      <c r="V41" s="1">
        <v>88</v>
      </c>
      <c r="W41" s="1">
        <v>63</v>
      </c>
      <c r="X41" s="11">
        <f t="shared" si="2"/>
        <v>0.28409090909090912</v>
      </c>
    </row>
    <row r="42" spans="1:40" x14ac:dyDescent="0.25">
      <c r="A42" s="1"/>
      <c r="B42" s="1"/>
      <c r="C42" s="1"/>
      <c r="D42" s="1"/>
      <c r="E42" s="11"/>
      <c r="G42" s="1"/>
      <c r="H42" s="1">
        <v>70022</v>
      </c>
      <c r="I42" s="1" t="s">
        <v>46</v>
      </c>
      <c r="J42" s="1">
        <v>90</v>
      </c>
      <c r="K42" s="1">
        <v>62</v>
      </c>
      <c r="L42" s="11">
        <f t="shared" si="0"/>
        <v>0.31111111111111112</v>
      </c>
      <c r="M42" s="11"/>
      <c r="N42" s="1">
        <v>80022</v>
      </c>
      <c r="O42" s="1" t="s">
        <v>46</v>
      </c>
      <c r="P42" s="1">
        <v>88</v>
      </c>
      <c r="Q42" s="1">
        <v>63</v>
      </c>
      <c r="R42" s="11">
        <f t="shared" si="1"/>
        <v>0.28409090909090912</v>
      </c>
      <c r="S42" s="11"/>
      <c r="T42" s="1">
        <v>70022</v>
      </c>
      <c r="U42" s="19" t="s">
        <v>46</v>
      </c>
      <c r="V42" s="1">
        <v>88</v>
      </c>
      <c r="W42" s="1">
        <v>63</v>
      </c>
      <c r="X42" s="11">
        <f t="shared" si="2"/>
        <v>0.28409090909090912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40" x14ac:dyDescent="0.25">
      <c r="A43" s="1"/>
      <c r="B43" s="1"/>
      <c r="C43" s="1"/>
      <c r="D43" s="1"/>
      <c r="E43" s="11"/>
      <c r="H43" s="1">
        <v>70031</v>
      </c>
      <c r="I43" s="1" t="s">
        <v>47</v>
      </c>
      <c r="J43" s="1">
        <v>126</v>
      </c>
      <c r="K43" s="1">
        <v>46</v>
      </c>
      <c r="L43" s="11">
        <f t="shared" si="0"/>
        <v>0.63492063492063489</v>
      </c>
      <c r="M43" s="11"/>
      <c r="N43" s="1">
        <v>80031</v>
      </c>
      <c r="O43" s="1" t="s">
        <v>47</v>
      </c>
      <c r="P43" s="1">
        <v>90</v>
      </c>
      <c r="Q43" s="1">
        <v>63</v>
      </c>
      <c r="R43" s="11">
        <f t="shared" si="1"/>
        <v>0.3</v>
      </c>
      <c r="S43" s="11"/>
      <c r="T43" s="1">
        <v>70031</v>
      </c>
      <c r="U43" s="19" t="s">
        <v>47</v>
      </c>
      <c r="V43" s="1">
        <v>75</v>
      </c>
      <c r="W43" s="1">
        <v>68</v>
      </c>
      <c r="X43" s="11">
        <f t="shared" si="2"/>
        <v>9.3333333333333338E-2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5">
      <c r="A44" s="1"/>
      <c r="B44" s="1"/>
      <c r="C44" s="1"/>
      <c r="D44" s="1"/>
      <c r="E44" s="11"/>
      <c r="G44" s="1"/>
      <c r="H44" s="1">
        <v>70032</v>
      </c>
      <c r="I44" s="1" t="s">
        <v>48</v>
      </c>
      <c r="J44" s="1">
        <v>126</v>
      </c>
      <c r="K44" s="1">
        <v>48</v>
      </c>
      <c r="L44" s="11">
        <f t="shared" si="0"/>
        <v>0.61904761904761907</v>
      </c>
      <c r="M44" s="11"/>
      <c r="N44" s="1">
        <v>80032</v>
      </c>
      <c r="O44" s="1" t="s">
        <v>48</v>
      </c>
      <c r="P44" s="1">
        <v>90</v>
      </c>
      <c r="Q44" s="1">
        <v>62</v>
      </c>
      <c r="R44" s="11">
        <f t="shared" si="1"/>
        <v>0.31111111111111112</v>
      </c>
      <c r="S44" s="11"/>
      <c r="T44" s="1">
        <v>70032</v>
      </c>
      <c r="U44" s="19" t="s">
        <v>48</v>
      </c>
      <c r="V44" s="1">
        <v>75</v>
      </c>
      <c r="W44" s="1">
        <v>69</v>
      </c>
      <c r="X44" s="11">
        <f t="shared" si="2"/>
        <v>0.08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40" x14ac:dyDescent="0.25">
      <c r="A45" s="1"/>
      <c r="B45" s="1"/>
      <c r="C45" s="1"/>
      <c r="D45" s="1"/>
      <c r="E45" s="11"/>
      <c r="H45" s="1">
        <v>70041</v>
      </c>
      <c r="I45" s="1" t="s">
        <v>49</v>
      </c>
      <c r="J45" s="1">
        <v>90</v>
      </c>
      <c r="K45" s="1">
        <v>65</v>
      </c>
      <c r="L45" s="11">
        <f t="shared" si="0"/>
        <v>0.27777777777777779</v>
      </c>
      <c r="M45" s="11"/>
      <c r="N45" s="1">
        <v>80041</v>
      </c>
      <c r="O45" s="1" t="s">
        <v>49</v>
      </c>
      <c r="P45" s="1">
        <v>126</v>
      </c>
      <c r="Q45" s="1">
        <v>46</v>
      </c>
      <c r="R45" s="11">
        <f t="shared" si="1"/>
        <v>0.63492063492063489</v>
      </c>
      <c r="S45" s="11"/>
      <c r="T45" s="1">
        <v>70041</v>
      </c>
      <c r="U45" s="19" t="s">
        <v>49</v>
      </c>
      <c r="V45" s="1">
        <v>88</v>
      </c>
      <c r="W45" s="1">
        <v>69</v>
      </c>
      <c r="X45" s="11">
        <f t="shared" si="2"/>
        <v>0.21590909090909091</v>
      </c>
    </row>
    <row r="46" spans="1:40" x14ac:dyDescent="0.25">
      <c r="A46" s="1"/>
      <c r="B46" s="1"/>
      <c r="C46" s="1"/>
      <c r="D46" s="1"/>
      <c r="E46" s="11"/>
      <c r="H46" s="1">
        <v>70042</v>
      </c>
      <c r="I46" s="1" t="s">
        <v>50</v>
      </c>
      <c r="J46" s="1">
        <v>90</v>
      </c>
      <c r="K46" s="1">
        <v>65</v>
      </c>
      <c r="L46" s="11">
        <f t="shared" si="0"/>
        <v>0.27777777777777779</v>
      </c>
      <c r="M46" s="11"/>
      <c r="N46" s="1">
        <v>80042</v>
      </c>
      <c r="O46" s="1" t="s">
        <v>50</v>
      </c>
      <c r="P46" s="1">
        <v>126</v>
      </c>
      <c r="Q46" s="1">
        <v>48</v>
      </c>
      <c r="R46" s="11">
        <f t="shared" si="1"/>
        <v>0.61904761904761907</v>
      </c>
      <c r="S46" s="11"/>
      <c r="T46" s="1">
        <v>70042</v>
      </c>
      <c r="U46" s="19" t="s">
        <v>50</v>
      </c>
      <c r="V46" s="1">
        <v>88</v>
      </c>
      <c r="W46" s="1">
        <v>55</v>
      </c>
      <c r="X46" s="11">
        <f t="shared" si="2"/>
        <v>0.375</v>
      </c>
    </row>
    <row r="47" spans="1:40" x14ac:dyDescent="0.25">
      <c r="A47" s="1"/>
      <c r="B47" s="1"/>
      <c r="C47" s="1"/>
      <c r="D47" s="1"/>
      <c r="E47" s="11"/>
      <c r="H47" s="1">
        <v>70051</v>
      </c>
      <c r="I47" s="1" t="s">
        <v>51</v>
      </c>
      <c r="J47" s="1">
        <v>75</v>
      </c>
      <c r="K47" s="1">
        <v>68</v>
      </c>
      <c r="L47" s="11">
        <f t="shared" si="0"/>
        <v>9.3333333333333338E-2</v>
      </c>
      <c r="M47" s="11"/>
      <c r="N47" s="1">
        <v>80051</v>
      </c>
      <c r="O47" s="1" t="s">
        <v>51</v>
      </c>
      <c r="P47" s="1">
        <v>75</v>
      </c>
      <c r="Q47" s="1">
        <v>68</v>
      </c>
      <c r="R47" s="11">
        <f t="shared" si="1"/>
        <v>9.3333333333333338E-2</v>
      </c>
      <c r="S47" s="11"/>
      <c r="T47" s="1">
        <v>70051</v>
      </c>
      <c r="U47" s="19" t="s">
        <v>51</v>
      </c>
      <c r="V47" s="1">
        <v>78</v>
      </c>
      <c r="W47" s="1">
        <v>57</v>
      </c>
      <c r="X47" s="11">
        <f t="shared" si="2"/>
        <v>0.26923076923076922</v>
      </c>
    </row>
    <row r="48" spans="1:40" x14ac:dyDescent="0.25">
      <c r="A48" s="1"/>
      <c r="B48" s="1"/>
      <c r="C48" s="1"/>
      <c r="D48" s="1"/>
      <c r="E48" s="11"/>
      <c r="H48" s="1">
        <v>70052</v>
      </c>
      <c r="I48" s="1" t="s">
        <v>52</v>
      </c>
      <c r="J48" s="1">
        <v>75</v>
      </c>
      <c r="K48" s="1">
        <v>69</v>
      </c>
      <c r="L48" s="11">
        <f t="shared" si="0"/>
        <v>0.08</v>
      </c>
      <c r="M48" s="11"/>
      <c r="N48" s="1">
        <v>80052</v>
      </c>
      <c r="O48" s="1" t="s">
        <v>52</v>
      </c>
      <c r="P48" s="1">
        <v>75</v>
      </c>
      <c r="Q48" s="1">
        <v>69</v>
      </c>
      <c r="R48" s="11">
        <f t="shared" si="1"/>
        <v>0.08</v>
      </c>
      <c r="S48" s="11"/>
      <c r="T48" s="1">
        <v>70052</v>
      </c>
      <c r="U48" s="19" t="s">
        <v>52</v>
      </c>
      <c r="V48" s="1">
        <v>78</v>
      </c>
      <c r="W48" s="1">
        <v>53</v>
      </c>
      <c r="X48" s="11">
        <f t="shared" si="2"/>
        <v>0.32051282051282054</v>
      </c>
    </row>
    <row r="49" spans="1:24" x14ac:dyDescent="0.25">
      <c r="A49" s="1"/>
      <c r="B49" s="1"/>
      <c r="C49" s="1"/>
      <c r="D49" s="1"/>
      <c r="E49" s="11"/>
      <c r="H49" s="1">
        <v>70061</v>
      </c>
      <c r="I49" s="1" t="s">
        <v>53</v>
      </c>
      <c r="J49" s="1">
        <v>88</v>
      </c>
      <c r="K49" s="1">
        <v>69</v>
      </c>
      <c r="L49" s="11">
        <f t="shared" si="0"/>
        <v>0.21590909090909091</v>
      </c>
      <c r="M49" s="11"/>
      <c r="N49" s="1">
        <v>80061</v>
      </c>
      <c r="O49" s="1" t="s">
        <v>53</v>
      </c>
      <c r="P49" s="1">
        <v>88</v>
      </c>
      <c r="Q49" s="1">
        <v>69</v>
      </c>
      <c r="R49" s="11">
        <f t="shared" si="1"/>
        <v>0.21590909090909091</v>
      </c>
      <c r="S49" s="11"/>
      <c r="T49" s="1">
        <v>70061</v>
      </c>
      <c r="U49" s="19" t="s">
        <v>53</v>
      </c>
      <c r="V49" s="1">
        <v>118</v>
      </c>
      <c r="W49" s="1">
        <v>85</v>
      </c>
      <c r="X49" s="11">
        <f t="shared" si="2"/>
        <v>0.27966101694915252</v>
      </c>
    </row>
    <row r="50" spans="1:24" x14ac:dyDescent="0.25">
      <c r="A50" s="1"/>
      <c r="B50" s="1"/>
      <c r="C50" s="1"/>
      <c r="D50" s="1"/>
      <c r="E50" s="11"/>
      <c r="H50" s="1">
        <v>70062</v>
      </c>
      <c r="I50" s="1" t="s">
        <v>54</v>
      </c>
      <c r="J50" s="1">
        <v>88</v>
      </c>
      <c r="K50" s="1">
        <v>55</v>
      </c>
      <c r="L50" s="11">
        <f t="shared" si="0"/>
        <v>0.375</v>
      </c>
      <c r="M50" s="11"/>
      <c r="N50" s="1">
        <v>80062</v>
      </c>
      <c r="O50" s="1" t="s">
        <v>54</v>
      </c>
      <c r="P50" s="1">
        <v>88</v>
      </c>
      <c r="Q50" s="1">
        <v>55</v>
      </c>
      <c r="R50" s="11">
        <f t="shared" si="1"/>
        <v>0.375</v>
      </c>
      <c r="S50" s="11"/>
      <c r="T50" s="1">
        <v>70062</v>
      </c>
      <c r="U50" s="19" t="s">
        <v>54</v>
      </c>
      <c r="V50" s="1">
        <v>118</v>
      </c>
      <c r="W50" s="1">
        <v>76</v>
      </c>
      <c r="X50" s="11">
        <f t="shared" si="2"/>
        <v>0.3559322033898305</v>
      </c>
    </row>
    <row r="51" spans="1:24" x14ac:dyDescent="0.25">
      <c r="A51" s="1"/>
      <c r="B51" s="1"/>
      <c r="C51" s="1"/>
      <c r="D51" s="1"/>
      <c r="E51" s="11"/>
      <c r="H51" s="1">
        <v>70071</v>
      </c>
      <c r="I51" s="1" t="s">
        <v>55</v>
      </c>
      <c r="J51" s="1">
        <v>78</v>
      </c>
      <c r="K51" s="1">
        <v>57</v>
      </c>
      <c r="L51" s="11">
        <f t="shared" si="0"/>
        <v>0.26923076923076922</v>
      </c>
      <c r="M51" s="11"/>
      <c r="N51" s="1">
        <v>80071</v>
      </c>
      <c r="O51" s="1" t="s">
        <v>55</v>
      </c>
      <c r="P51" s="1">
        <v>78</v>
      </c>
      <c r="Q51" s="1">
        <v>57</v>
      </c>
      <c r="R51" s="11">
        <f t="shared" si="1"/>
        <v>0.26923076923076922</v>
      </c>
      <c r="S51" s="11"/>
      <c r="T51" s="1">
        <v>70071</v>
      </c>
      <c r="U51" s="19" t="s">
        <v>55</v>
      </c>
      <c r="V51" s="1">
        <v>90</v>
      </c>
      <c r="W51" s="1">
        <v>52</v>
      </c>
      <c r="X51" s="11">
        <f t="shared" si="2"/>
        <v>0.42222222222222222</v>
      </c>
    </row>
    <row r="52" spans="1:24" x14ac:dyDescent="0.25">
      <c r="A52" s="1"/>
      <c r="B52" s="1"/>
      <c r="C52" s="1"/>
      <c r="D52" s="1"/>
      <c r="E52" s="11"/>
      <c r="H52" s="1">
        <v>70072</v>
      </c>
      <c r="I52" s="1" t="s">
        <v>56</v>
      </c>
      <c r="J52" s="1">
        <v>78</v>
      </c>
      <c r="K52" s="1">
        <v>53</v>
      </c>
      <c r="L52" s="11">
        <f t="shared" si="0"/>
        <v>0.32051282051282054</v>
      </c>
      <c r="M52" s="11"/>
      <c r="N52" s="1">
        <v>80072</v>
      </c>
      <c r="O52" s="1" t="s">
        <v>56</v>
      </c>
      <c r="P52" s="1">
        <v>78</v>
      </c>
      <c r="Q52" s="1">
        <v>53</v>
      </c>
      <c r="R52" s="11">
        <f t="shared" si="1"/>
        <v>0.32051282051282054</v>
      </c>
      <c r="S52" s="11"/>
      <c r="T52" s="1">
        <v>70072</v>
      </c>
      <c r="U52" s="19" t="s">
        <v>56</v>
      </c>
      <c r="V52" s="1">
        <v>90</v>
      </c>
      <c r="W52" s="1">
        <v>52</v>
      </c>
      <c r="X52" s="11">
        <f t="shared" si="2"/>
        <v>0.42222222222222222</v>
      </c>
    </row>
    <row r="53" spans="1:24" x14ac:dyDescent="0.25">
      <c r="A53" s="1"/>
      <c r="B53" s="1"/>
      <c r="C53" s="1"/>
      <c r="D53" s="1"/>
      <c r="E53" s="11"/>
      <c r="H53" s="1">
        <v>70081</v>
      </c>
      <c r="I53" s="1" t="s">
        <v>57</v>
      </c>
      <c r="J53" s="1">
        <v>30</v>
      </c>
      <c r="K53" s="1">
        <v>30</v>
      </c>
      <c r="L53" s="11">
        <f t="shared" si="0"/>
        <v>0</v>
      </c>
      <c r="M53" s="11"/>
      <c r="N53" s="1">
        <v>80081</v>
      </c>
      <c r="O53" s="1" t="s">
        <v>57</v>
      </c>
      <c r="P53" s="1">
        <v>118</v>
      </c>
      <c r="Q53" s="1">
        <v>85</v>
      </c>
      <c r="R53" s="11">
        <f t="shared" si="1"/>
        <v>0.27966101694915252</v>
      </c>
      <c r="S53" s="11"/>
      <c r="T53" s="1">
        <v>70081</v>
      </c>
      <c r="U53" s="19" t="s">
        <v>57</v>
      </c>
      <c r="V53" s="1">
        <v>90</v>
      </c>
      <c r="W53" s="1">
        <v>70</v>
      </c>
      <c r="X53" s="11">
        <f t="shared" si="2"/>
        <v>0.22222222222222221</v>
      </c>
    </row>
    <row r="54" spans="1:24" x14ac:dyDescent="0.25">
      <c r="A54" s="1"/>
      <c r="B54" s="1"/>
      <c r="C54" s="1"/>
      <c r="D54" s="1"/>
      <c r="E54" s="11"/>
      <c r="H54" s="1">
        <v>70082</v>
      </c>
      <c r="I54" s="1" t="s">
        <v>58</v>
      </c>
      <c r="J54" s="1">
        <v>30</v>
      </c>
      <c r="K54" s="1">
        <v>29</v>
      </c>
      <c r="L54" s="11">
        <f t="shared" si="0"/>
        <v>3.3333333333333333E-2</v>
      </c>
      <c r="M54" s="11"/>
      <c r="N54" s="1">
        <v>80082</v>
      </c>
      <c r="O54" s="1" t="s">
        <v>58</v>
      </c>
      <c r="P54" s="1">
        <v>118</v>
      </c>
      <c r="Q54" s="1">
        <v>76</v>
      </c>
      <c r="R54" s="11">
        <f t="shared" si="1"/>
        <v>0.3559322033898305</v>
      </c>
      <c r="S54" s="11"/>
      <c r="T54" s="1">
        <v>70082</v>
      </c>
      <c r="U54" s="19" t="s">
        <v>58</v>
      </c>
      <c r="V54" s="1">
        <v>90</v>
      </c>
      <c r="W54" s="1">
        <v>62</v>
      </c>
      <c r="X54" s="11">
        <f t="shared" si="2"/>
        <v>0.31111111111111112</v>
      </c>
    </row>
    <row r="55" spans="1:24" x14ac:dyDescent="0.25">
      <c r="A55" s="1"/>
      <c r="B55" s="1"/>
      <c r="C55" s="1"/>
      <c r="D55" s="1"/>
      <c r="E55" s="11"/>
      <c r="H55" s="1">
        <v>70091</v>
      </c>
      <c r="I55" s="1" t="s">
        <v>59</v>
      </c>
      <c r="J55" s="1">
        <v>90</v>
      </c>
      <c r="K55" s="1">
        <v>56</v>
      </c>
      <c r="L55" s="11">
        <f t="shared" si="0"/>
        <v>0.37777777777777777</v>
      </c>
      <c r="M55" s="11"/>
      <c r="N55" s="1">
        <v>80091</v>
      </c>
      <c r="O55" s="1" t="s">
        <v>59</v>
      </c>
      <c r="P55" s="1">
        <v>90</v>
      </c>
      <c r="Q55" s="1">
        <v>52</v>
      </c>
      <c r="R55" s="11">
        <f t="shared" si="1"/>
        <v>0.42222222222222222</v>
      </c>
      <c r="S55" s="11"/>
      <c r="T55" s="1">
        <v>70091</v>
      </c>
      <c r="U55" s="19" t="s">
        <v>59</v>
      </c>
      <c r="V55" s="1">
        <v>30</v>
      </c>
      <c r="W55" s="1">
        <v>30</v>
      </c>
      <c r="X55" s="11">
        <f t="shared" si="2"/>
        <v>0</v>
      </c>
    </row>
    <row r="56" spans="1:24" x14ac:dyDescent="0.25">
      <c r="A56" s="1"/>
      <c r="B56" s="1"/>
      <c r="C56" s="1"/>
      <c r="D56" s="1"/>
      <c r="E56" s="11"/>
      <c r="H56" s="1">
        <v>70092</v>
      </c>
      <c r="I56" s="1" t="s">
        <v>60</v>
      </c>
      <c r="J56" s="1">
        <v>90</v>
      </c>
      <c r="K56" s="1">
        <v>55</v>
      </c>
      <c r="L56" s="11">
        <f t="shared" si="0"/>
        <v>0.3888888888888889</v>
      </c>
      <c r="M56" s="11"/>
      <c r="N56" s="1">
        <v>80092</v>
      </c>
      <c r="O56" s="1" t="s">
        <v>60</v>
      </c>
      <c r="P56" s="1">
        <v>90</v>
      </c>
      <c r="Q56" s="1">
        <v>52</v>
      </c>
      <c r="R56" s="11">
        <f t="shared" si="1"/>
        <v>0.42222222222222222</v>
      </c>
      <c r="S56" s="11"/>
      <c r="T56" s="1">
        <v>70092</v>
      </c>
      <c r="U56" s="19" t="s">
        <v>60</v>
      </c>
      <c r="V56" s="1">
        <v>30</v>
      </c>
      <c r="W56" s="1">
        <v>29</v>
      </c>
      <c r="X56" s="11">
        <f t="shared" si="2"/>
        <v>3.3333333333333333E-2</v>
      </c>
    </row>
    <row r="57" spans="1:24" x14ac:dyDescent="0.25">
      <c r="A57" s="1"/>
      <c r="B57" s="1"/>
      <c r="C57" s="1"/>
      <c r="D57" s="1"/>
      <c r="E57" s="11"/>
      <c r="H57" s="1">
        <v>70101</v>
      </c>
      <c r="I57" s="1" t="s">
        <v>61</v>
      </c>
      <c r="J57" s="1">
        <v>90</v>
      </c>
      <c r="K57" s="1">
        <v>51</v>
      </c>
      <c r="L57" s="11">
        <f t="shared" si="0"/>
        <v>0.43333333333333335</v>
      </c>
      <c r="M57" s="11"/>
      <c r="N57" s="1">
        <v>80101</v>
      </c>
      <c r="O57" s="1" t="s">
        <v>61</v>
      </c>
      <c r="P57" s="1">
        <v>90</v>
      </c>
      <c r="Q57" s="1">
        <v>70</v>
      </c>
      <c r="R57" s="11">
        <f t="shared" si="1"/>
        <v>0.22222222222222221</v>
      </c>
      <c r="S57" s="11"/>
      <c r="T57" s="1">
        <v>70101</v>
      </c>
      <c r="U57" s="19" t="s">
        <v>61</v>
      </c>
      <c r="V57" s="1">
        <v>90</v>
      </c>
      <c r="W57" s="1">
        <v>68</v>
      </c>
      <c r="X57" s="11">
        <f t="shared" si="2"/>
        <v>0.24444444444444444</v>
      </c>
    </row>
    <row r="58" spans="1:24" x14ac:dyDescent="0.25">
      <c r="A58" s="1"/>
      <c r="B58" s="1"/>
      <c r="C58" s="1"/>
      <c r="D58" s="1"/>
      <c r="E58" s="11"/>
      <c r="H58" s="1">
        <v>70102</v>
      </c>
      <c r="I58" s="1" t="s">
        <v>62</v>
      </c>
      <c r="J58" s="1">
        <v>90</v>
      </c>
      <c r="K58" s="1">
        <v>53</v>
      </c>
      <c r="L58" s="11">
        <f t="shared" si="0"/>
        <v>0.41111111111111109</v>
      </c>
      <c r="M58" s="11"/>
      <c r="N58" s="1">
        <v>80102</v>
      </c>
      <c r="O58" s="1" t="s">
        <v>62</v>
      </c>
      <c r="P58" s="1">
        <v>90</v>
      </c>
      <c r="Q58" s="1">
        <v>62</v>
      </c>
      <c r="R58" s="11">
        <f t="shared" si="1"/>
        <v>0.31111111111111112</v>
      </c>
      <c r="S58" s="11"/>
      <c r="T58" s="1">
        <v>70102</v>
      </c>
      <c r="U58" s="19" t="s">
        <v>62</v>
      </c>
      <c r="V58" s="1">
        <v>90</v>
      </c>
      <c r="W58" s="1">
        <v>64</v>
      </c>
      <c r="X58" s="11">
        <f t="shared" si="2"/>
        <v>0.28888888888888886</v>
      </c>
    </row>
    <row r="59" spans="1:24" x14ac:dyDescent="0.25">
      <c r="A59" s="1"/>
      <c r="B59" s="1"/>
      <c r="C59" s="1"/>
      <c r="D59" s="1"/>
      <c r="E59" s="11"/>
      <c r="H59" s="1">
        <v>70111</v>
      </c>
      <c r="I59" s="1" t="s">
        <v>63</v>
      </c>
      <c r="J59" s="1">
        <v>90</v>
      </c>
      <c r="K59" s="1">
        <v>30</v>
      </c>
      <c r="L59" s="11">
        <f t="shared" si="0"/>
        <v>0.66666666666666663</v>
      </c>
      <c r="M59" s="11"/>
      <c r="N59" s="1">
        <v>80111</v>
      </c>
      <c r="O59" s="1" t="s">
        <v>63</v>
      </c>
      <c r="P59" s="1">
        <v>30</v>
      </c>
      <c r="Q59" s="1">
        <v>30</v>
      </c>
      <c r="R59" s="11">
        <f t="shared" si="1"/>
        <v>0</v>
      </c>
      <c r="S59" s="11"/>
      <c r="T59" s="1">
        <v>70111</v>
      </c>
      <c r="U59" s="19" t="s">
        <v>63</v>
      </c>
      <c r="V59" s="1">
        <v>90</v>
      </c>
      <c r="W59" s="1">
        <v>60</v>
      </c>
      <c r="X59" s="11">
        <f t="shared" si="2"/>
        <v>0.33333333333333331</v>
      </c>
    </row>
    <row r="60" spans="1:24" x14ac:dyDescent="0.25">
      <c r="A60" s="1"/>
      <c r="B60" s="1"/>
      <c r="C60" s="1"/>
      <c r="D60" s="1"/>
      <c r="E60" s="11"/>
      <c r="H60" s="1">
        <v>70112</v>
      </c>
      <c r="I60" s="1" t="s">
        <v>64</v>
      </c>
      <c r="J60" s="1">
        <v>90</v>
      </c>
      <c r="K60" s="1">
        <v>25</v>
      </c>
      <c r="L60" s="11">
        <f t="shared" si="0"/>
        <v>0.72222222222222221</v>
      </c>
      <c r="M60" s="11"/>
      <c r="N60" s="1">
        <v>80112</v>
      </c>
      <c r="O60" s="1" t="s">
        <v>64</v>
      </c>
      <c r="P60" s="1">
        <v>30</v>
      </c>
      <c r="Q60" s="1">
        <v>29</v>
      </c>
      <c r="R60" s="11">
        <f t="shared" si="1"/>
        <v>3.3333333333333333E-2</v>
      </c>
      <c r="S60" s="11"/>
      <c r="T60" s="1">
        <v>70112</v>
      </c>
      <c r="U60" s="19" t="s">
        <v>64</v>
      </c>
      <c r="V60" s="1">
        <v>90</v>
      </c>
      <c r="W60" s="1">
        <v>56</v>
      </c>
      <c r="X60" s="11">
        <f t="shared" si="2"/>
        <v>0.37777777777777777</v>
      </c>
    </row>
    <row r="61" spans="1:24" x14ac:dyDescent="0.25">
      <c r="A61" s="1"/>
      <c r="B61" s="1"/>
      <c r="C61" s="1"/>
      <c r="D61" s="1"/>
      <c r="E61" s="11"/>
      <c r="H61" s="1">
        <v>70121</v>
      </c>
      <c r="I61" s="1" t="s">
        <v>65</v>
      </c>
      <c r="J61" s="1">
        <v>90</v>
      </c>
      <c r="K61" s="1">
        <v>65</v>
      </c>
      <c r="L61" s="11">
        <f t="shared" si="0"/>
        <v>0.27777777777777779</v>
      </c>
      <c r="M61" s="11"/>
      <c r="N61" s="1">
        <v>80121</v>
      </c>
      <c r="O61" s="1" t="s">
        <v>65</v>
      </c>
      <c r="P61" s="1">
        <v>90</v>
      </c>
      <c r="Q61" s="1">
        <v>68</v>
      </c>
      <c r="R61" s="11">
        <f t="shared" si="1"/>
        <v>0.24444444444444444</v>
      </c>
      <c r="S61" s="11"/>
      <c r="T61" s="1">
        <v>70121</v>
      </c>
      <c r="U61" s="19" t="s">
        <v>65</v>
      </c>
      <c r="V61" s="1">
        <v>90</v>
      </c>
      <c r="W61" s="1">
        <v>66</v>
      </c>
      <c r="X61" s="11">
        <f t="shared" si="2"/>
        <v>0.26666666666666666</v>
      </c>
    </row>
    <row r="62" spans="1:24" x14ac:dyDescent="0.25">
      <c r="A62" s="1"/>
      <c r="B62" s="1"/>
      <c r="C62" s="1"/>
      <c r="D62" s="1"/>
      <c r="E62" s="11"/>
      <c r="H62" s="1">
        <v>70122</v>
      </c>
      <c r="I62" s="1" t="s">
        <v>66</v>
      </c>
      <c r="J62" s="1">
        <v>90</v>
      </c>
      <c r="K62" s="1">
        <v>63</v>
      </c>
      <c r="L62" s="11">
        <f t="shared" si="0"/>
        <v>0.3</v>
      </c>
      <c r="M62" s="11"/>
      <c r="N62" s="1">
        <v>80122</v>
      </c>
      <c r="O62" s="1" t="s">
        <v>66</v>
      </c>
      <c r="P62" s="1">
        <v>90</v>
      </c>
      <c r="Q62" s="1">
        <v>64</v>
      </c>
      <c r="R62" s="11">
        <f t="shared" si="1"/>
        <v>0.28888888888888886</v>
      </c>
      <c r="S62" s="11"/>
      <c r="T62" s="1">
        <v>70122</v>
      </c>
      <c r="U62" s="19" t="s">
        <v>66</v>
      </c>
      <c r="V62" s="1">
        <v>90</v>
      </c>
      <c r="W62" s="1">
        <v>61</v>
      </c>
      <c r="X62" s="11">
        <f t="shared" si="2"/>
        <v>0.32222222222222224</v>
      </c>
    </row>
    <row r="63" spans="1:24" x14ac:dyDescent="0.25">
      <c r="A63" s="1"/>
      <c r="B63" s="1"/>
      <c r="C63" s="1"/>
      <c r="D63" s="1"/>
      <c r="E63" s="11"/>
      <c r="H63" s="1">
        <v>70131</v>
      </c>
      <c r="I63" s="1" t="s">
        <v>67</v>
      </c>
      <c r="J63" s="1">
        <v>90</v>
      </c>
      <c r="K63" s="1">
        <v>47</v>
      </c>
      <c r="L63" s="11">
        <f t="shared" si="0"/>
        <v>0.4777777777777778</v>
      </c>
      <c r="M63" s="11"/>
      <c r="N63" s="1">
        <v>80131</v>
      </c>
      <c r="O63" s="1" t="s">
        <v>67</v>
      </c>
      <c r="P63" s="1">
        <v>90</v>
      </c>
      <c r="Q63" s="1">
        <v>60</v>
      </c>
      <c r="R63" s="11">
        <f t="shared" si="1"/>
        <v>0.33333333333333331</v>
      </c>
      <c r="S63" s="11"/>
      <c r="T63" s="1">
        <v>70131</v>
      </c>
      <c r="U63" s="19" t="s">
        <v>67</v>
      </c>
      <c r="V63" s="1">
        <v>90</v>
      </c>
      <c r="W63" s="1">
        <v>65</v>
      </c>
      <c r="X63" s="11">
        <f t="shared" si="2"/>
        <v>0.27777777777777779</v>
      </c>
    </row>
    <row r="64" spans="1:24" x14ac:dyDescent="0.25">
      <c r="A64" s="1"/>
      <c r="B64" s="1"/>
      <c r="C64" s="1"/>
      <c r="D64" s="1"/>
      <c r="E64" s="11"/>
      <c r="H64" s="1">
        <v>70132</v>
      </c>
      <c r="I64" s="1" t="s">
        <v>68</v>
      </c>
      <c r="J64" s="1">
        <v>90</v>
      </c>
      <c r="K64" s="1">
        <v>30</v>
      </c>
      <c r="L64" s="11">
        <f t="shared" si="0"/>
        <v>0.66666666666666663</v>
      </c>
      <c r="M64" s="11"/>
      <c r="N64" s="1">
        <v>80132</v>
      </c>
      <c r="O64" s="1" t="s">
        <v>68</v>
      </c>
      <c r="P64" s="1">
        <v>90</v>
      </c>
      <c r="Q64" s="1">
        <v>56</v>
      </c>
      <c r="R64" s="11">
        <f t="shared" si="1"/>
        <v>0.37777777777777777</v>
      </c>
      <c r="S64" s="11"/>
      <c r="T64" s="1">
        <v>70132</v>
      </c>
      <c r="U64" s="19" t="s">
        <v>68</v>
      </c>
      <c r="V64" s="1">
        <v>90</v>
      </c>
      <c r="W64" s="1">
        <v>63</v>
      </c>
      <c r="X64" s="11">
        <f t="shared" si="2"/>
        <v>0.3</v>
      </c>
    </row>
    <row r="65" spans="1:24" x14ac:dyDescent="0.25">
      <c r="A65" s="1"/>
      <c r="B65" s="1"/>
      <c r="C65" s="1"/>
      <c r="D65" s="1"/>
      <c r="E65" s="11"/>
      <c r="H65" s="1">
        <v>70141</v>
      </c>
      <c r="I65" s="1" t="s">
        <v>69</v>
      </c>
      <c r="J65" s="1">
        <v>90</v>
      </c>
      <c r="K65" s="1">
        <v>60</v>
      </c>
      <c r="L65" s="11">
        <f t="shared" si="0"/>
        <v>0.33333333333333331</v>
      </c>
      <c r="M65" s="11"/>
      <c r="N65" s="1">
        <v>80141</v>
      </c>
      <c r="O65" s="1" t="s">
        <v>69</v>
      </c>
      <c r="P65" s="1">
        <v>90</v>
      </c>
      <c r="Q65" s="1">
        <v>65</v>
      </c>
      <c r="R65" s="11">
        <f t="shared" si="1"/>
        <v>0.27777777777777779</v>
      </c>
      <c r="S65" s="11"/>
      <c r="T65" s="1">
        <v>70141</v>
      </c>
      <c r="U65" s="19" t="s">
        <v>69</v>
      </c>
      <c r="V65" s="1">
        <v>90</v>
      </c>
      <c r="W65" s="1">
        <v>61</v>
      </c>
      <c r="X65" s="11">
        <f t="shared" si="2"/>
        <v>0.32222222222222224</v>
      </c>
    </row>
    <row r="66" spans="1:24" x14ac:dyDescent="0.25">
      <c r="A66" s="1"/>
      <c r="B66" s="1"/>
      <c r="C66" s="1"/>
      <c r="D66" s="1"/>
      <c r="E66" s="11"/>
      <c r="H66" s="1">
        <v>70142</v>
      </c>
      <c r="I66" s="1" t="s">
        <v>70</v>
      </c>
      <c r="J66" s="1">
        <v>90</v>
      </c>
      <c r="K66" s="1">
        <v>58</v>
      </c>
      <c r="L66" s="11">
        <f t="shared" si="0"/>
        <v>0.35555555555555557</v>
      </c>
      <c r="M66" s="11"/>
      <c r="N66" s="1">
        <v>80142</v>
      </c>
      <c r="O66" s="1" t="s">
        <v>70</v>
      </c>
      <c r="P66" s="1">
        <v>90</v>
      </c>
      <c r="Q66" s="1">
        <v>63</v>
      </c>
      <c r="R66" s="11">
        <f t="shared" si="1"/>
        <v>0.3</v>
      </c>
      <c r="S66" s="11"/>
      <c r="T66" s="1">
        <v>70142</v>
      </c>
      <c r="U66" s="19" t="s">
        <v>70</v>
      </c>
      <c r="V66" s="1">
        <v>90</v>
      </c>
      <c r="W66" s="1">
        <v>61</v>
      </c>
      <c r="X66" s="11">
        <f t="shared" si="2"/>
        <v>0.32222222222222224</v>
      </c>
    </row>
    <row r="67" spans="1:24" x14ac:dyDescent="0.25">
      <c r="A67" s="1"/>
      <c r="B67" s="1"/>
      <c r="C67" s="1"/>
      <c r="D67" s="1"/>
      <c r="E67" s="11"/>
      <c r="H67" s="1">
        <v>70151</v>
      </c>
      <c r="I67" s="1" t="s">
        <v>71</v>
      </c>
      <c r="J67" s="1">
        <v>128</v>
      </c>
      <c r="K67" s="1">
        <v>91</v>
      </c>
      <c r="L67" s="11">
        <f t="shared" si="0"/>
        <v>0.2890625</v>
      </c>
      <c r="M67" s="11"/>
      <c r="N67" s="1">
        <v>80151</v>
      </c>
      <c r="O67" s="1" t="s">
        <v>71</v>
      </c>
      <c r="P67" s="1">
        <v>90</v>
      </c>
      <c r="Q67" s="1">
        <v>61</v>
      </c>
      <c r="R67" s="11">
        <f t="shared" si="1"/>
        <v>0.32222222222222224</v>
      </c>
      <c r="S67" s="11"/>
      <c r="T67" s="1">
        <v>70151</v>
      </c>
      <c r="U67" s="19" t="s">
        <v>71</v>
      </c>
      <c r="V67" s="1">
        <v>90</v>
      </c>
      <c r="W67" s="1">
        <v>47</v>
      </c>
      <c r="X67" s="11">
        <f t="shared" si="2"/>
        <v>0.4777777777777778</v>
      </c>
    </row>
    <row r="68" spans="1:24" x14ac:dyDescent="0.25">
      <c r="A68" s="1"/>
      <c r="B68" s="1"/>
      <c r="C68" s="1"/>
      <c r="D68" s="1"/>
      <c r="E68" s="11"/>
      <c r="H68" s="1">
        <v>70152</v>
      </c>
      <c r="I68" s="1" t="s">
        <v>72</v>
      </c>
      <c r="J68" s="1">
        <v>128</v>
      </c>
      <c r="K68" s="1">
        <v>87</v>
      </c>
      <c r="L68" s="11">
        <f t="shared" si="0"/>
        <v>0.3203125</v>
      </c>
      <c r="M68" s="11"/>
      <c r="N68" s="1">
        <v>80152</v>
      </c>
      <c r="O68" s="1" t="s">
        <v>72</v>
      </c>
      <c r="P68" s="1">
        <v>90</v>
      </c>
      <c r="Q68" s="1">
        <v>61</v>
      </c>
      <c r="R68" s="11">
        <f t="shared" si="1"/>
        <v>0.32222222222222224</v>
      </c>
      <c r="S68" s="11"/>
      <c r="T68" s="1">
        <v>70152</v>
      </c>
      <c r="U68" s="19" t="s">
        <v>72</v>
      </c>
      <c r="V68" s="1">
        <v>90</v>
      </c>
      <c r="W68" s="1">
        <v>30</v>
      </c>
      <c r="X68" s="11">
        <f t="shared" si="2"/>
        <v>0.66666666666666663</v>
      </c>
    </row>
    <row r="69" spans="1:24" x14ac:dyDescent="0.25">
      <c r="A69" s="1"/>
      <c r="B69" s="1"/>
      <c r="C69" s="1"/>
      <c r="D69" s="1"/>
      <c r="E69" s="11"/>
      <c r="H69" s="1">
        <v>70161</v>
      </c>
      <c r="I69" s="1" t="s">
        <v>73</v>
      </c>
      <c r="J69" s="1">
        <v>90</v>
      </c>
      <c r="K69" s="1">
        <v>73</v>
      </c>
      <c r="L69" s="11">
        <f t="shared" si="0"/>
        <v>0.18888888888888888</v>
      </c>
      <c r="M69" s="11"/>
      <c r="N69" s="1">
        <v>80161</v>
      </c>
      <c r="O69" s="1" t="s">
        <v>73</v>
      </c>
      <c r="P69" s="1">
        <v>90</v>
      </c>
      <c r="Q69" s="1">
        <v>47</v>
      </c>
      <c r="R69" s="11">
        <f t="shared" si="1"/>
        <v>0.4777777777777778</v>
      </c>
      <c r="S69" s="11"/>
      <c r="T69" s="1">
        <v>70161</v>
      </c>
      <c r="U69" s="19" t="s">
        <v>73</v>
      </c>
      <c r="V69" s="1">
        <v>90</v>
      </c>
      <c r="W69" s="1">
        <v>68</v>
      </c>
      <c r="X69" s="11">
        <f t="shared" si="2"/>
        <v>0.24444444444444444</v>
      </c>
    </row>
    <row r="70" spans="1:24" x14ac:dyDescent="0.25">
      <c r="A70" s="1"/>
      <c r="B70" s="1"/>
      <c r="C70" s="1"/>
      <c r="D70" s="1"/>
      <c r="E70" s="11"/>
      <c r="H70" s="1">
        <v>70162</v>
      </c>
      <c r="I70" s="1" t="s">
        <v>74</v>
      </c>
      <c r="J70" s="1">
        <v>90</v>
      </c>
      <c r="K70" s="1">
        <v>73</v>
      </c>
      <c r="L70" s="11">
        <f t="shared" si="0"/>
        <v>0.18888888888888888</v>
      </c>
      <c r="M70" s="11"/>
      <c r="N70" s="1">
        <v>80162</v>
      </c>
      <c r="O70" s="1" t="s">
        <v>74</v>
      </c>
      <c r="P70" s="1">
        <v>90</v>
      </c>
      <c r="Q70" s="1">
        <v>30</v>
      </c>
      <c r="R70" s="12">
        <f t="shared" si="1"/>
        <v>0.66666666666666663</v>
      </c>
      <c r="S70" s="11"/>
      <c r="T70" s="1">
        <v>70162</v>
      </c>
      <c r="U70" s="19" t="s">
        <v>74</v>
      </c>
      <c r="V70" s="1">
        <v>90</v>
      </c>
      <c r="W70" s="1">
        <v>58</v>
      </c>
      <c r="X70" s="11">
        <f t="shared" si="2"/>
        <v>0.35555555555555557</v>
      </c>
    </row>
    <row r="71" spans="1:24" x14ac:dyDescent="0.25">
      <c r="A71" s="1"/>
      <c r="B71" s="1"/>
      <c r="C71" s="1"/>
      <c r="D71" s="1"/>
      <c r="E71" s="11"/>
      <c r="H71" s="1">
        <v>70171</v>
      </c>
      <c r="I71" s="1" t="s">
        <v>75</v>
      </c>
      <c r="J71" s="1">
        <v>90</v>
      </c>
      <c r="K71" s="1">
        <v>62</v>
      </c>
      <c r="L71" s="11">
        <f t="shared" si="0"/>
        <v>0.31111111111111112</v>
      </c>
      <c r="M71" s="11"/>
      <c r="N71" s="1">
        <v>80171</v>
      </c>
      <c r="O71" s="1" t="s">
        <v>75</v>
      </c>
      <c r="P71" s="1">
        <v>90</v>
      </c>
      <c r="Q71" s="1">
        <v>68</v>
      </c>
      <c r="R71" s="11">
        <f t="shared" si="1"/>
        <v>0.24444444444444444</v>
      </c>
      <c r="S71" s="11"/>
      <c r="T71" s="1">
        <v>70171</v>
      </c>
      <c r="U71" s="19" t="s">
        <v>75</v>
      </c>
      <c r="V71" s="1">
        <v>90</v>
      </c>
      <c r="W71" s="1">
        <v>60</v>
      </c>
      <c r="X71" s="11">
        <f t="shared" si="2"/>
        <v>0.33333333333333331</v>
      </c>
    </row>
    <row r="72" spans="1:24" x14ac:dyDescent="0.25">
      <c r="A72" s="1"/>
      <c r="B72" s="1"/>
      <c r="C72" s="1"/>
      <c r="D72" s="1"/>
      <c r="E72" s="11"/>
      <c r="H72" s="1">
        <v>70172</v>
      </c>
      <c r="I72" s="1" t="s">
        <v>76</v>
      </c>
      <c r="J72" s="1">
        <v>90</v>
      </c>
      <c r="K72" s="1">
        <v>61</v>
      </c>
      <c r="L72" s="11">
        <f t="shared" si="0"/>
        <v>0.32222222222222224</v>
      </c>
      <c r="M72" s="11"/>
      <c r="N72" s="1">
        <v>80172</v>
      </c>
      <c r="O72" s="1" t="s">
        <v>76</v>
      </c>
      <c r="P72" s="1">
        <v>90</v>
      </c>
      <c r="Q72" s="1">
        <v>58</v>
      </c>
      <c r="R72" s="11">
        <f t="shared" si="1"/>
        <v>0.35555555555555557</v>
      </c>
      <c r="S72" s="11"/>
      <c r="T72" s="1">
        <v>70172</v>
      </c>
      <c r="U72" s="19" t="s">
        <v>76</v>
      </c>
      <c r="V72" s="1">
        <v>90</v>
      </c>
      <c r="W72" s="1">
        <v>58</v>
      </c>
      <c r="X72" s="11">
        <f t="shared" si="2"/>
        <v>0.35555555555555557</v>
      </c>
    </row>
    <row r="73" spans="1:24" x14ac:dyDescent="0.25">
      <c r="A73" s="1"/>
      <c r="B73" s="1"/>
      <c r="C73" s="1"/>
      <c r="D73" s="1"/>
      <c r="E73" s="11"/>
      <c r="H73" s="1">
        <v>70181</v>
      </c>
      <c r="I73" s="1" t="s">
        <v>77</v>
      </c>
      <c r="J73" s="1">
        <v>109</v>
      </c>
      <c r="K73" s="1">
        <v>29</v>
      </c>
      <c r="L73" s="12">
        <f t="shared" si="0"/>
        <v>0.73394495412844041</v>
      </c>
      <c r="M73" s="11"/>
      <c r="N73" s="1">
        <v>80181</v>
      </c>
      <c r="O73" s="1" t="s">
        <v>77</v>
      </c>
      <c r="P73" s="1">
        <v>90</v>
      </c>
      <c r="Q73" s="1">
        <v>60</v>
      </c>
      <c r="R73" s="11">
        <f t="shared" si="1"/>
        <v>0.33333333333333331</v>
      </c>
      <c r="S73" s="11"/>
      <c r="T73" s="1">
        <v>70181</v>
      </c>
      <c r="U73" s="19" t="s">
        <v>77</v>
      </c>
      <c r="V73" s="1">
        <v>128</v>
      </c>
      <c r="W73" s="1">
        <v>91</v>
      </c>
      <c r="X73" s="11">
        <f t="shared" si="2"/>
        <v>0.2890625</v>
      </c>
    </row>
    <row r="74" spans="1:24" x14ac:dyDescent="0.25">
      <c r="A74" s="1"/>
      <c r="B74" s="1"/>
      <c r="C74" s="1"/>
      <c r="D74" s="1"/>
      <c r="E74" s="11"/>
      <c r="H74" s="1">
        <v>70182</v>
      </c>
      <c r="I74" s="1" t="s">
        <v>78</v>
      </c>
      <c r="J74" s="1">
        <v>109</v>
      </c>
      <c r="K74" s="1">
        <v>76</v>
      </c>
      <c r="L74" s="11">
        <f t="shared" si="0"/>
        <v>0.30275229357798167</v>
      </c>
      <c r="M74" s="11"/>
      <c r="N74" s="1">
        <v>80182</v>
      </c>
      <c r="O74" s="1" t="s">
        <v>78</v>
      </c>
      <c r="P74" s="1">
        <v>90</v>
      </c>
      <c r="Q74" s="1">
        <v>58</v>
      </c>
      <c r="R74" s="11">
        <f t="shared" si="1"/>
        <v>0.35555555555555557</v>
      </c>
      <c r="S74" s="11"/>
      <c r="T74" s="1">
        <v>70182</v>
      </c>
      <c r="U74" s="19" t="s">
        <v>78</v>
      </c>
      <c r="V74" s="1">
        <v>128</v>
      </c>
      <c r="W74" s="1">
        <v>87</v>
      </c>
      <c r="X74" s="11">
        <f t="shared" si="2"/>
        <v>0.3203125</v>
      </c>
    </row>
    <row r="75" spans="1:24" x14ac:dyDescent="0.25">
      <c r="A75" s="1"/>
      <c r="B75" s="1"/>
      <c r="C75" s="1"/>
      <c r="D75" s="1"/>
      <c r="E75" s="11"/>
      <c r="H75" s="1">
        <v>70191</v>
      </c>
      <c r="I75" s="1" t="s">
        <v>79</v>
      </c>
      <c r="J75" s="1">
        <v>60</v>
      </c>
      <c r="K75" s="1">
        <v>33</v>
      </c>
      <c r="L75" s="11">
        <f t="shared" si="0"/>
        <v>0.45</v>
      </c>
      <c r="M75" s="11"/>
      <c r="N75" s="1">
        <v>80191</v>
      </c>
      <c r="O75" s="1" t="s">
        <v>79</v>
      </c>
      <c r="P75" s="1">
        <v>128</v>
      </c>
      <c r="Q75" s="1">
        <v>91</v>
      </c>
      <c r="R75" s="11">
        <f t="shared" si="1"/>
        <v>0.2890625</v>
      </c>
      <c r="S75" s="11"/>
      <c r="T75" s="1">
        <v>70191</v>
      </c>
      <c r="U75" s="19" t="s">
        <v>79</v>
      </c>
      <c r="V75" s="1">
        <v>90</v>
      </c>
      <c r="W75" s="1">
        <v>73</v>
      </c>
      <c r="X75" s="11">
        <f t="shared" si="2"/>
        <v>0.18888888888888888</v>
      </c>
    </row>
    <row r="76" spans="1:24" x14ac:dyDescent="0.25">
      <c r="A76" s="1"/>
      <c r="B76" s="1"/>
      <c r="C76" s="1"/>
      <c r="D76" s="1"/>
      <c r="E76" s="11"/>
      <c r="H76" s="1">
        <v>70192</v>
      </c>
      <c r="I76" s="1" t="s">
        <v>80</v>
      </c>
      <c r="J76" s="1">
        <v>60</v>
      </c>
      <c r="K76" s="1">
        <v>26</v>
      </c>
      <c r="L76" s="11">
        <f t="shared" si="0"/>
        <v>0.56666666666666665</v>
      </c>
      <c r="M76" s="11"/>
      <c r="N76" s="1">
        <v>80192</v>
      </c>
      <c r="O76" s="1" t="s">
        <v>80</v>
      </c>
      <c r="P76" s="1">
        <v>128</v>
      </c>
      <c r="Q76" s="1">
        <v>87</v>
      </c>
      <c r="R76" s="11">
        <f t="shared" si="1"/>
        <v>0.3203125</v>
      </c>
      <c r="S76" s="11"/>
      <c r="T76" s="1">
        <v>70192</v>
      </c>
      <c r="U76" s="19" t="s">
        <v>80</v>
      </c>
      <c r="V76" s="1">
        <v>90</v>
      </c>
      <c r="W76" s="1">
        <v>73</v>
      </c>
      <c r="X76" s="11">
        <f t="shared" si="2"/>
        <v>0.18888888888888888</v>
      </c>
    </row>
    <row r="77" spans="1:24" x14ac:dyDescent="0.25">
      <c r="A77" s="1"/>
      <c r="B77" s="1"/>
      <c r="C77" s="1"/>
      <c r="D77" s="1"/>
      <c r="E77" s="11"/>
      <c r="H77" s="1">
        <v>70201</v>
      </c>
      <c r="I77" s="1" t="s">
        <v>81</v>
      </c>
      <c r="J77" s="1">
        <v>81</v>
      </c>
      <c r="K77" s="1">
        <v>38</v>
      </c>
      <c r="L77" s="11">
        <f t="shared" si="0"/>
        <v>0.53086419753086422</v>
      </c>
      <c r="M77" s="11"/>
      <c r="N77" s="1">
        <v>80201</v>
      </c>
      <c r="O77" s="1" t="s">
        <v>81</v>
      </c>
      <c r="P77" s="1">
        <v>90</v>
      </c>
      <c r="Q77" s="1">
        <v>73</v>
      </c>
      <c r="R77" s="11">
        <f t="shared" si="1"/>
        <v>0.18888888888888888</v>
      </c>
      <c r="S77" s="11"/>
      <c r="T77" s="1">
        <v>70201</v>
      </c>
      <c r="U77" s="19" t="s">
        <v>81</v>
      </c>
      <c r="V77" s="1">
        <v>90</v>
      </c>
      <c r="W77" s="1">
        <v>62</v>
      </c>
      <c r="X77" s="11">
        <f t="shared" si="2"/>
        <v>0.31111111111111112</v>
      </c>
    </row>
    <row r="78" spans="1:24" x14ac:dyDescent="0.25">
      <c r="A78" s="1"/>
      <c r="B78" s="1"/>
      <c r="C78" s="1"/>
      <c r="D78" s="1"/>
      <c r="E78" s="11"/>
      <c r="H78" s="1">
        <v>70202</v>
      </c>
      <c r="I78" s="1" t="s">
        <v>82</v>
      </c>
      <c r="J78" s="1">
        <v>81</v>
      </c>
      <c r="K78" s="1">
        <v>45</v>
      </c>
      <c r="L78" s="11">
        <f t="shared" si="0"/>
        <v>0.44444444444444442</v>
      </c>
      <c r="M78" s="11"/>
      <c r="N78" s="1">
        <v>80202</v>
      </c>
      <c r="O78" s="1" t="s">
        <v>82</v>
      </c>
      <c r="P78" s="1">
        <v>90</v>
      </c>
      <c r="Q78" s="1">
        <v>73</v>
      </c>
      <c r="R78" s="11">
        <f t="shared" si="1"/>
        <v>0.18888888888888888</v>
      </c>
      <c r="S78" s="11"/>
      <c r="T78" s="1">
        <v>70202</v>
      </c>
      <c r="U78" s="19" t="s">
        <v>82</v>
      </c>
      <c r="V78" s="1">
        <v>90</v>
      </c>
      <c r="W78" s="1">
        <v>61</v>
      </c>
      <c r="X78" s="11">
        <f t="shared" si="2"/>
        <v>0.32222222222222224</v>
      </c>
    </row>
    <row r="79" spans="1:24" x14ac:dyDescent="0.25">
      <c r="A79" s="1"/>
      <c r="B79" s="1"/>
      <c r="C79" s="1"/>
      <c r="D79" s="1"/>
      <c r="E79" s="11"/>
      <c r="H79" s="1">
        <v>70211</v>
      </c>
      <c r="I79" s="1" t="s">
        <v>83</v>
      </c>
      <c r="J79" s="1">
        <v>80</v>
      </c>
      <c r="K79" s="1">
        <v>31</v>
      </c>
      <c r="L79" s="11">
        <f t="shared" si="0"/>
        <v>0.61250000000000004</v>
      </c>
      <c r="M79" s="11"/>
      <c r="N79" s="1">
        <v>80211</v>
      </c>
      <c r="O79" s="1" t="s">
        <v>83</v>
      </c>
      <c r="P79" s="1">
        <v>90</v>
      </c>
      <c r="Q79" s="1">
        <v>62</v>
      </c>
      <c r="R79" s="11">
        <f t="shared" si="1"/>
        <v>0.31111111111111112</v>
      </c>
      <c r="S79" s="11"/>
      <c r="T79" s="1">
        <v>70211</v>
      </c>
      <c r="U79" s="19" t="s">
        <v>83</v>
      </c>
      <c r="V79" s="1">
        <v>81</v>
      </c>
      <c r="W79" s="1">
        <v>35</v>
      </c>
      <c r="X79" s="11">
        <f t="shared" si="2"/>
        <v>0.5679012345679012</v>
      </c>
    </row>
    <row r="80" spans="1:24" x14ac:dyDescent="0.25">
      <c r="A80" s="1"/>
      <c r="B80" s="1"/>
      <c r="C80" s="1"/>
      <c r="D80" s="1"/>
      <c r="E80" s="11"/>
      <c r="H80" s="1">
        <v>70212</v>
      </c>
      <c r="I80" s="1" t="s">
        <v>84</v>
      </c>
      <c r="J80" s="1">
        <v>80</v>
      </c>
      <c r="K80" s="1">
        <v>38</v>
      </c>
      <c r="L80" s="11">
        <f t="shared" si="0"/>
        <v>0.52500000000000002</v>
      </c>
      <c r="M80" s="11"/>
      <c r="N80" s="1">
        <v>80212</v>
      </c>
      <c r="O80" s="1" t="s">
        <v>84</v>
      </c>
      <c r="P80" s="1">
        <v>90</v>
      </c>
      <c r="Q80" s="1">
        <v>61</v>
      </c>
      <c r="R80" s="11">
        <f t="shared" si="1"/>
        <v>0.32222222222222224</v>
      </c>
      <c r="S80" s="11"/>
      <c r="T80" s="1">
        <v>70212</v>
      </c>
      <c r="U80" s="19" t="s">
        <v>84</v>
      </c>
      <c r="V80" s="1">
        <v>81</v>
      </c>
      <c r="W80" s="1">
        <v>28</v>
      </c>
      <c r="X80" s="11">
        <f t="shared" si="2"/>
        <v>0.65432098765432101</v>
      </c>
    </row>
    <row r="81" spans="1:24" x14ac:dyDescent="0.25">
      <c r="A81" s="1"/>
      <c r="B81" s="1"/>
      <c r="C81" s="1"/>
      <c r="D81" s="1"/>
      <c r="E81" s="11"/>
      <c r="H81" s="1">
        <v>70221</v>
      </c>
      <c r="I81" s="1" t="s">
        <v>85</v>
      </c>
      <c r="J81" s="1">
        <v>86</v>
      </c>
      <c r="K81" s="1">
        <v>39</v>
      </c>
      <c r="L81" s="11">
        <f t="shared" si="0"/>
        <v>0.54651162790697672</v>
      </c>
      <c r="M81" s="11"/>
      <c r="N81" s="1">
        <v>80221</v>
      </c>
      <c r="O81" s="1" t="s">
        <v>85</v>
      </c>
      <c r="P81" s="1">
        <v>60</v>
      </c>
      <c r="Q81" s="1">
        <v>33</v>
      </c>
      <c r="R81" s="11">
        <f t="shared" si="1"/>
        <v>0.45</v>
      </c>
      <c r="S81" s="11"/>
      <c r="T81" s="1">
        <v>70221</v>
      </c>
      <c r="U81" s="19" t="s">
        <v>85</v>
      </c>
      <c r="V81" s="1">
        <v>79</v>
      </c>
      <c r="W81" s="1">
        <v>20</v>
      </c>
      <c r="X81" s="12">
        <f t="shared" si="2"/>
        <v>0.74683544303797467</v>
      </c>
    </row>
    <row r="82" spans="1:24" x14ac:dyDescent="0.25">
      <c r="A82" s="1"/>
      <c r="B82" s="1"/>
      <c r="C82" s="1"/>
      <c r="D82" s="1"/>
      <c r="E82" s="11"/>
      <c r="H82" s="1">
        <v>70222</v>
      </c>
      <c r="I82" s="1" t="s">
        <v>86</v>
      </c>
      <c r="J82" s="1">
        <v>86</v>
      </c>
      <c r="K82" s="1">
        <v>54</v>
      </c>
      <c r="L82" s="11">
        <f t="shared" si="0"/>
        <v>0.37209302325581395</v>
      </c>
      <c r="M82" s="11"/>
      <c r="N82" s="1">
        <v>80222</v>
      </c>
      <c r="O82" s="1" t="s">
        <v>86</v>
      </c>
      <c r="P82" s="1">
        <v>60</v>
      </c>
      <c r="Q82" s="1">
        <v>26</v>
      </c>
      <c r="R82" s="11">
        <f t="shared" si="1"/>
        <v>0.56666666666666665</v>
      </c>
      <c r="S82" s="11"/>
      <c r="T82" s="1">
        <v>70222</v>
      </c>
      <c r="U82" s="19" t="s">
        <v>86</v>
      </c>
      <c r="V82" s="1">
        <v>79</v>
      </c>
      <c r="W82" s="1">
        <v>42</v>
      </c>
      <c r="X82" s="11">
        <f t="shared" si="2"/>
        <v>0.46835443037974683</v>
      </c>
    </row>
    <row r="83" spans="1:24" x14ac:dyDescent="0.25">
      <c r="A83" s="1"/>
      <c r="B83" s="1"/>
      <c r="C83" s="1"/>
      <c r="D83" s="1"/>
      <c r="E83" s="11"/>
      <c r="H83" s="1">
        <v>70231</v>
      </c>
      <c r="I83" s="1" t="s">
        <v>87</v>
      </c>
      <c r="J83" s="1">
        <v>70</v>
      </c>
      <c r="K83" s="1">
        <v>35</v>
      </c>
      <c r="L83" s="11">
        <f t="shared" si="0"/>
        <v>0.5</v>
      </c>
      <c r="M83" s="11"/>
      <c r="N83" s="1">
        <v>80231</v>
      </c>
      <c r="O83" s="1" t="s">
        <v>87</v>
      </c>
      <c r="P83" s="1">
        <v>86</v>
      </c>
      <c r="Q83" s="1">
        <v>39</v>
      </c>
      <c r="R83" s="11">
        <f t="shared" si="1"/>
        <v>0.54651162790697672</v>
      </c>
      <c r="S83" s="11"/>
      <c r="T83" s="1">
        <v>70231</v>
      </c>
      <c r="U83" s="19" t="s">
        <v>87</v>
      </c>
      <c r="V83" s="1">
        <v>86</v>
      </c>
      <c r="W83" s="1">
        <v>39</v>
      </c>
      <c r="X83" s="11">
        <f t="shared" si="2"/>
        <v>0.54651162790697672</v>
      </c>
    </row>
    <row r="84" spans="1:24" x14ac:dyDescent="0.25">
      <c r="A84" s="1"/>
      <c r="B84" s="1"/>
      <c r="C84" s="1"/>
      <c r="D84" s="1"/>
      <c r="E84" s="11"/>
      <c r="H84" s="1">
        <v>70232</v>
      </c>
      <c r="I84" s="1" t="s">
        <v>88</v>
      </c>
      <c r="J84" s="1">
        <v>70</v>
      </c>
      <c r="K84" s="1">
        <v>42</v>
      </c>
      <c r="L84" s="11">
        <f t="shared" si="0"/>
        <v>0.4</v>
      </c>
      <c r="M84" s="11"/>
      <c r="N84" s="1">
        <v>80232</v>
      </c>
      <c r="O84" s="1" t="s">
        <v>88</v>
      </c>
      <c r="P84" s="1">
        <v>86</v>
      </c>
      <c r="Q84" s="1">
        <v>54</v>
      </c>
      <c r="R84" s="11">
        <f t="shared" si="1"/>
        <v>0.37209302325581395</v>
      </c>
      <c r="S84" s="11"/>
      <c r="T84" s="1">
        <v>70232</v>
      </c>
      <c r="U84" s="19" t="s">
        <v>88</v>
      </c>
      <c r="V84" s="1">
        <v>86</v>
      </c>
      <c r="W84" s="1">
        <v>54</v>
      </c>
      <c r="X84" s="11">
        <f t="shared" si="2"/>
        <v>0.37209302325581395</v>
      </c>
    </row>
    <row r="85" spans="1:24" x14ac:dyDescent="0.25">
      <c r="A85" s="1"/>
      <c r="B85" s="1"/>
      <c r="C85" s="1"/>
      <c r="D85" s="1"/>
      <c r="E85" s="11"/>
      <c r="H85" s="1">
        <v>70241</v>
      </c>
      <c r="I85" s="1" t="s">
        <v>89</v>
      </c>
      <c r="J85" s="1">
        <v>29</v>
      </c>
      <c r="K85" s="1">
        <v>29</v>
      </c>
      <c r="L85" s="11">
        <f t="shared" si="0"/>
        <v>0</v>
      </c>
      <c r="M85" s="11"/>
      <c r="N85" s="1">
        <v>80241</v>
      </c>
      <c r="O85" s="1" t="s">
        <v>89</v>
      </c>
      <c r="P85" s="1">
        <v>70</v>
      </c>
      <c r="Q85" s="1">
        <v>35</v>
      </c>
      <c r="R85" s="11">
        <f t="shared" si="1"/>
        <v>0.5</v>
      </c>
      <c r="S85" s="11"/>
      <c r="T85" s="1">
        <v>70241</v>
      </c>
      <c r="U85" s="19" t="s">
        <v>89</v>
      </c>
      <c r="V85" s="1">
        <v>70</v>
      </c>
      <c r="W85" s="1">
        <v>35</v>
      </c>
      <c r="X85" s="11">
        <f t="shared" si="2"/>
        <v>0.5</v>
      </c>
    </row>
    <row r="86" spans="1:24" x14ac:dyDescent="0.25">
      <c r="A86" s="1"/>
      <c r="B86" s="1"/>
      <c r="C86" s="1"/>
      <c r="D86" s="1"/>
      <c r="E86" s="11"/>
      <c r="H86" s="1">
        <v>70242</v>
      </c>
      <c r="I86" s="1" t="s">
        <v>90</v>
      </c>
      <c r="J86" s="1">
        <v>29</v>
      </c>
      <c r="K86" s="1">
        <v>27</v>
      </c>
      <c r="L86" s="11">
        <f t="shared" si="0"/>
        <v>6.8965517241379309E-2</v>
      </c>
      <c r="M86" s="11"/>
      <c r="N86" s="1">
        <v>80242</v>
      </c>
      <c r="O86" s="1" t="s">
        <v>90</v>
      </c>
      <c r="P86" s="1">
        <v>70</v>
      </c>
      <c r="Q86" s="1">
        <v>42</v>
      </c>
      <c r="R86" s="11">
        <f t="shared" si="1"/>
        <v>0.4</v>
      </c>
      <c r="S86" s="11"/>
      <c r="T86" s="1">
        <v>70242</v>
      </c>
      <c r="U86" s="19" t="s">
        <v>90</v>
      </c>
      <c r="V86" s="1">
        <v>70</v>
      </c>
      <c r="W86" s="1">
        <v>42</v>
      </c>
      <c r="X86" s="11">
        <f t="shared" si="2"/>
        <v>0.4</v>
      </c>
    </row>
    <row r="87" spans="1:24" x14ac:dyDescent="0.25">
      <c r="A87" s="1"/>
      <c r="B87" s="1"/>
      <c r="C87" s="1"/>
      <c r="D87" s="1"/>
      <c r="E87" s="11"/>
      <c r="H87" s="1">
        <v>70251</v>
      </c>
      <c r="I87" s="1" t="s">
        <v>91</v>
      </c>
      <c r="J87" s="1">
        <v>28</v>
      </c>
      <c r="K87" s="1">
        <v>25</v>
      </c>
      <c r="L87" s="11">
        <f t="shared" si="0"/>
        <v>0.10714285714285714</v>
      </c>
      <c r="M87" s="11"/>
      <c r="N87" s="1">
        <v>80251</v>
      </c>
      <c r="O87" s="1" t="s">
        <v>91</v>
      </c>
      <c r="P87" s="1">
        <v>29</v>
      </c>
      <c r="Q87" s="1">
        <v>29</v>
      </c>
      <c r="R87" s="11">
        <f t="shared" si="1"/>
        <v>0</v>
      </c>
      <c r="S87" s="11"/>
      <c r="T87" s="1">
        <v>70251</v>
      </c>
      <c r="U87" s="19" t="s">
        <v>91</v>
      </c>
      <c r="V87" s="1">
        <v>29</v>
      </c>
      <c r="W87" s="1">
        <v>29</v>
      </c>
      <c r="X87" s="11">
        <f t="shared" si="2"/>
        <v>0</v>
      </c>
    </row>
    <row r="88" spans="1:24" x14ac:dyDescent="0.25">
      <c r="A88" s="1"/>
      <c r="B88" s="1"/>
      <c r="C88" s="1"/>
      <c r="D88" s="1"/>
      <c r="E88" s="11"/>
      <c r="H88" s="1">
        <v>70252</v>
      </c>
      <c r="I88" s="1" t="s">
        <v>92</v>
      </c>
      <c r="J88" s="1">
        <v>28</v>
      </c>
      <c r="K88" s="1">
        <v>27</v>
      </c>
      <c r="L88" s="11">
        <f t="shared" si="0"/>
        <v>3.5714285714285712E-2</v>
      </c>
      <c r="M88" s="11"/>
      <c r="N88" s="1">
        <v>80252</v>
      </c>
      <c r="O88" s="1" t="s">
        <v>92</v>
      </c>
      <c r="P88" s="1">
        <v>29</v>
      </c>
      <c r="Q88" s="1">
        <v>27</v>
      </c>
      <c r="R88" s="11">
        <f t="shared" si="1"/>
        <v>6.8965517241379309E-2</v>
      </c>
      <c r="S88" s="11"/>
      <c r="T88" s="1">
        <v>70252</v>
      </c>
      <c r="U88" s="19" t="s">
        <v>92</v>
      </c>
      <c r="V88" s="1">
        <v>29</v>
      </c>
      <c r="W88" s="1">
        <v>27</v>
      </c>
      <c r="X88" s="11">
        <f t="shared" si="2"/>
        <v>6.8965517241379309E-2</v>
      </c>
    </row>
    <row r="89" spans="1:24" x14ac:dyDescent="0.25">
      <c r="A89" s="1"/>
      <c r="B89" s="1"/>
      <c r="C89" s="1"/>
      <c r="D89" s="1"/>
      <c r="E89" s="11"/>
      <c r="H89" s="1">
        <v>70261</v>
      </c>
      <c r="I89" s="1" t="s">
        <v>93</v>
      </c>
      <c r="J89" s="1">
        <v>98</v>
      </c>
      <c r="K89" s="1">
        <v>54</v>
      </c>
      <c r="L89" s="11">
        <f t="shared" si="0"/>
        <v>0.44897959183673469</v>
      </c>
      <c r="M89" s="11"/>
      <c r="N89" s="1">
        <v>80261</v>
      </c>
      <c r="O89" s="1" t="s">
        <v>93</v>
      </c>
      <c r="P89" s="1">
        <v>66</v>
      </c>
      <c r="Q89" s="1">
        <v>48</v>
      </c>
      <c r="R89" s="11">
        <f t="shared" si="1"/>
        <v>0.27272727272727271</v>
      </c>
      <c r="S89" s="11"/>
      <c r="T89" s="1">
        <v>70261</v>
      </c>
      <c r="U89" s="19" t="s">
        <v>93</v>
      </c>
      <c r="V89" s="1">
        <v>66</v>
      </c>
      <c r="W89" s="1">
        <v>48</v>
      </c>
      <c r="X89" s="11">
        <f t="shared" si="2"/>
        <v>0.27272727272727271</v>
      </c>
    </row>
    <row r="90" spans="1:24" x14ac:dyDescent="0.25">
      <c r="A90" s="1"/>
      <c r="B90" s="1"/>
      <c r="C90" s="1"/>
      <c r="D90" s="1"/>
      <c r="E90" s="11"/>
      <c r="H90" s="1">
        <v>70262</v>
      </c>
      <c r="I90" s="1" t="s">
        <v>94</v>
      </c>
      <c r="J90" s="1">
        <v>98</v>
      </c>
      <c r="K90" s="1">
        <v>40</v>
      </c>
      <c r="L90" s="11">
        <f t="shared" si="0"/>
        <v>0.59183673469387754</v>
      </c>
      <c r="M90" s="11"/>
      <c r="N90" s="1">
        <v>80262</v>
      </c>
      <c r="O90" s="1" t="s">
        <v>94</v>
      </c>
      <c r="P90" s="1">
        <v>66</v>
      </c>
      <c r="Q90" s="1">
        <v>52</v>
      </c>
      <c r="R90" s="11">
        <f t="shared" si="1"/>
        <v>0.21212121212121213</v>
      </c>
      <c r="S90" s="11"/>
      <c r="T90" s="1">
        <v>70262</v>
      </c>
      <c r="U90" s="19" t="s">
        <v>94</v>
      </c>
      <c r="V90" s="1">
        <v>66</v>
      </c>
      <c r="W90" s="1">
        <v>52</v>
      </c>
      <c r="X90" s="11">
        <f t="shared" si="2"/>
        <v>0.21212121212121213</v>
      </c>
    </row>
    <row r="91" spans="1:24" x14ac:dyDescent="0.25">
      <c r="A91" s="1"/>
      <c r="B91" s="1"/>
      <c r="C91" s="1"/>
      <c r="D91" s="1"/>
      <c r="E91" s="11"/>
      <c r="H91" s="1">
        <v>70271</v>
      </c>
      <c r="I91" s="1" t="s">
        <v>95</v>
      </c>
      <c r="J91" s="1">
        <v>66</v>
      </c>
      <c r="K91" s="1">
        <v>48</v>
      </c>
      <c r="L91" s="11">
        <f t="shared" si="0"/>
        <v>0.27272727272727271</v>
      </c>
      <c r="M91" s="11"/>
      <c r="N91" s="1">
        <v>80271</v>
      </c>
      <c r="O91" s="1" t="s">
        <v>95</v>
      </c>
      <c r="P91" s="1">
        <v>120</v>
      </c>
      <c r="Q91" s="1">
        <v>81</v>
      </c>
      <c r="R91" s="11">
        <f t="shared" si="1"/>
        <v>0.32500000000000001</v>
      </c>
      <c r="S91" s="11"/>
      <c r="T91" s="1">
        <v>70271</v>
      </c>
      <c r="U91" s="19" t="s">
        <v>95</v>
      </c>
      <c r="V91" s="1">
        <v>120</v>
      </c>
      <c r="W91" s="1">
        <v>81</v>
      </c>
      <c r="X91" s="11">
        <f t="shared" si="2"/>
        <v>0.32500000000000001</v>
      </c>
    </row>
    <row r="92" spans="1:24" x14ac:dyDescent="0.25">
      <c r="A92" s="1"/>
      <c r="B92" s="1"/>
      <c r="C92" s="1"/>
      <c r="D92" s="1"/>
      <c r="E92" s="11"/>
      <c r="H92" s="1">
        <v>70272</v>
      </c>
      <c r="I92" s="1" t="s">
        <v>96</v>
      </c>
      <c r="J92" s="1">
        <v>66</v>
      </c>
      <c r="K92" s="1">
        <v>52</v>
      </c>
      <c r="L92" s="11">
        <f t="shared" si="0"/>
        <v>0.21212121212121213</v>
      </c>
      <c r="M92" s="11"/>
      <c r="N92" s="1">
        <v>80272</v>
      </c>
      <c r="O92" s="1" t="s">
        <v>96</v>
      </c>
      <c r="P92" s="1">
        <v>120</v>
      </c>
      <c r="Q92" s="1">
        <v>93</v>
      </c>
      <c r="R92" s="11">
        <f t="shared" si="1"/>
        <v>0.22500000000000001</v>
      </c>
      <c r="S92" s="11"/>
      <c r="T92" s="1">
        <v>70272</v>
      </c>
      <c r="U92" s="19" t="s">
        <v>96</v>
      </c>
      <c r="V92" s="1">
        <v>120</v>
      </c>
      <c r="W92" s="1">
        <v>93</v>
      </c>
      <c r="X92" s="11">
        <f t="shared" si="2"/>
        <v>0.22500000000000001</v>
      </c>
    </row>
    <row r="93" spans="1:24" x14ac:dyDescent="0.25">
      <c r="A93" s="1"/>
      <c r="B93" s="1"/>
      <c r="C93" s="1"/>
      <c r="D93" s="1"/>
      <c r="E93" s="11"/>
      <c r="H93" s="1">
        <v>70281</v>
      </c>
      <c r="I93" s="1" t="s">
        <v>97</v>
      </c>
      <c r="J93" s="1">
        <v>120</v>
      </c>
      <c r="K93" s="1">
        <v>81</v>
      </c>
      <c r="L93" s="11">
        <f t="shared" si="0"/>
        <v>0.32500000000000001</v>
      </c>
      <c r="M93" s="11"/>
      <c r="N93" s="1">
        <v>80281</v>
      </c>
      <c r="O93" s="1" t="s">
        <v>97</v>
      </c>
      <c r="P93" s="1">
        <v>60</v>
      </c>
      <c r="Q93" s="1">
        <v>35</v>
      </c>
      <c r="R93" s="11">
        <f t="shared" si="1"/>
        <v>0.41666666666666669</v>
      </c>
      <c r="S93" s="11"/>
      <c r="T93" s="1">
        <v>70281</v>
      </c>
      <c r="U93" s="19" t="s">
        <v>97</v>
      </c>
      <c r="V93" s="1">
        <v>60</v>
      </c>
      <c r="W93" s="1">
        <v>35</v>
      </c>
      <c r="X93" s="11">
        <f t="shared" si="2"/>
        <v>0.41666666666666669</v>
      </c>
    </row>
    <row r="94" spans="1:24" x14ac:dyDescent="0.25">
      <c r="A94" s="1"/>
      <c r="B94" s="1"/>
      <c r="C94" s="1"/>
      <c r="D94" s="1"/>
      <c r="E94" s="11"/>
      <c r="H94" s="1">
        <v>70282</v>
      </c>
      <c r="I94" s="1" t="s">
        <v>98</v>
      </c>
      <c r="J94" s="1">
        <v>120</v>
      </c>
      <c r="K94" s="1">
        <v>93</v>
      </c>
      <c r="L94" s="11">
        <f t="shared" si="0"/>
        <v>0.22500000000000001</v>
      </c>
      <c r="M94" s="11"/>
      <c r="N94" s="1">
        <v>80282</v>
      </c>
      <c r="O94" s="1" t="s">
        <v>98</v>
      </c>
      <c r="P94" s="1">
        <v>60</v>
      </c>
      <c r="Q94" s="1">
        <v>38</v>
      </c>
      <c r="R94" s="11">
        <f t="shared" si="1"/>
        <v>0.36666666666666664</v>
      </c>
      <c r="S94" s="11"/>
      <c r="T94" s="1">
        <v>70282</v>
      </c>
      <c r="U94" s="19" t="s">
        <v>98</v>
      </c>
      <c r="V94" s="1">
        <v>60</v>
      </c>
      <c r="W94" s="1">
        <v>38</v>
      </c>
      <c r="X94" s="11">
        <f t="shared" si="2"/>
        <v>0.36666666666666664</v>
      </c>
    </row>
    <row r="95" spans="1:24" x14ac:dyDescent="0.25">
      <c r="A95" s="1"/>
      <c r="B95" s="1"/>
      <c r="C95" s="1"/>
      <c r="D95" s="1"/>
      <c r="E95" s="11"/>
      <c r="H95" s="1">
        <v>70291</v>
      </c>
      <c r="I95" s="1" t="s">
        <v>99</v>
      </c>
      <c r="J95" s="1">
        <v>60</v>
      </c>
      <c r="K95" s="1">
        <v>40</v>
      </c>
      <c r="L95" s="11">
        <f t="shared" si="0"/>
        <v>0.33333333333333331</v>
      </c>
      <c r="M95" s="11"/>
      <c r="N95" s="1">
        <v>80291</v>
      </c>
      <c r="O95" s="1" t="s">
        <v>99</v>
      </c>
      <c r="P95" s="1">
        <v>39</v>
      </c>
      <c r="Q95" s="1">
        <v>36</v>
      </c>
      <c r="R95" s="11">
        <f t="shared" si="1"/>
        <v>7.6923076923076927E-2</v>
      </c>
      <c r="S95" s="11"/>
      <c r="T95" s="1">
        <v>70291</v>
      </c>
      <c r="U95" s="19" t="s">
        <v>99</v>
      </c>
      <c r="V95" s="1">
        <v>39</v>
      </c>
      <c r="W95" s="1">
        <v>36</v>
      </c>
      <c r="X95" s="11">
        <f t="shared" si="2"/>
        <v>7.6923076923076927E-2</v>
      </c>
    </row>
    <row r="96" spans="1:24" x14ac:dyDescent="0.25">
      <c r="A96" s="1"/>
      <c r="B96" s="1"/>
      <c r="C96" s="1"/>
      <c r="D96" s="1"/>
      <c r="E96" s="11"/>
      <c r="H96" s="1">
        <v>70292</v>
      </c>
      <c r="I96" s="1" t="s">
        <v>100</v>
      </c>
      <c r="J96" s="1">
        <v>60</v>
      </c>
      <c r="K96" s="1">
        <v>30</v>
      </c>
      <c r="L96" s="11">
        <f t="shared" si="0"/>
        <v>0.5</v>
      </c>
      <c r="M96" s="11"/>
      <c r="N96" s="1">
        <v>80292</v>
      </c>
      <c r="O96" s="1" t="s">
        <v>100</v>
      </c>
      <c r="P96" s="1">
        <v>39</v>
      </c>
      <c r="Q96" s="1">
        <v>37</v>
      </c>
      <c r="R96" s="11">
        <f t="shared" si="1"/>
        <v>5.128205128205128E-2</v>
      </c>
      <c r="S96" s="11"/>
      <c r="T96" s="1">
        <v>70292</v>
      </c>
      <c r="U96" s="19" t="s">
        <v>100</v>
      </c>
      <c r="V96" s="1">
        <v>39</v>
      </c>
      <c r="W96" s="1">
        <v>37</v>
      </c>
      <c r="X96" s="11">
        <f t="shared" si="2"/>
        <v>5.128205128205128E-2</v>
      </c>
    </row>
    <row r="97" spans="1:24" x14ac:dyDescent="0.25">
      <c r="A97" s="1"/>
      <c r="B97" s="1"/>
      <c r="C97" s="1"/>
      <c r="D97" s="1"/>
      <c r="E97" s="11"/>
      <c r="H97" s="1">
        <v>70301</v>
      </c>
      <c r="I97" s="1" t="s">
        <v>101</v>
      </c>
      <c r="J97" s="1">
        <v>58</v>
      </c>
      <c r="K97" s="1">
        <v>51</v>
      </c>
      <c r="L97" s="11">
        <f t="shared" si="0"/>
        <v>0.1206896551724138</v>
      </c>
      <c r="M97" s="11"/>
      <c r="N97" s="1">
        <v>80301</v>
      </c>
      <c r="O97" s="1" t="s">
        <v>101</v>
      </c>
      <c r="P97" s="1">
        <v>58</v>
      </c>
      <c r="Q97" s="1">
        <v>51</v>
      </c>
      <c r="R97" s="11">
        <f t="shared" si="1"/>
        <v>0.1206896551724138</v>
      </c>
      <c r="S97" s="11"/>
      <c r="T97" s="1">
        <v>70301</v>
      </c>
      <c r="U97" s="19" t="s">
        <v>101</v>
      </c>
      <c r="V97" s="1">
        <v>58</v>
      </c>
      <c r="W97" s="1">
        <v>51</v>
      </c>
      <c r="X97" s="11">
        <f t="shared" si="2"/>
        <v>0.1206896551724138</v>
      </c>
    </row>
    <row r="98" spans="1:24" x14ac:dyDescent="0.25">
      <c r="A98" s="1"/>
      <c r="B98" s="1"/>
      <c r="C98" s="1"/>
      <c r="D98" s="1"/>
      <c r="E98" s="11"/>
      <c r="H98" s="1">
        <v>70302</v>
      </c>
      <c r="I98" s="1" t="s">
        <v>102</v>
      </c>
      <c r="J98" s="1">
        <v>58</v>
      </c>
      <c r="K98" s="1">
        <v>42</v>
      </c>
      <c r="L98" s="11">
        <f t="shared" si="0"/>
        <v>0.27586206896551724</v>
      </c>
      <c r="M98" s="11"/>
      <c r="N98" s="1">
        <v>80302</v>
      </c>
      <c r="O98" s="1" t="s">
        <v>102</v>
      </c>
      <c r="P98" s="1">
        <v>58</v>
      </c>
      <c r="Q98" s="1">
        <v>42</v>
      </c>
      <c r="R98" s="11">
        <f t="shared" si="1"/>
        <v>0.27586206896551724</v>
      </c>
      <c r="S98" s="11"/>
      <c r="T98" s="1">
        <v>70302</v>
      </c>
      <c r="U98" s="19" t="s">
        <v>102</v>
      </c>
      <c r="V98" s="1">
        <v>58</v>
      </c>
      <c r="W98" s="1">
        <v>42</v>
      </c>
      <c r="X98" s="11">
        <f t="shared" si="2"/>
        <v>0.27586206896551724</v>
      </c>
    </row>
    <row r="100" spans="1:24" x14ac:dyDescent="0.25">
      <c r="I100" s="13"/>
      <c r="J100" s="13"/>
      <c r="K100" s="14" t="s">
        <v>38</v>
      </c>
      <c r="L100" s="15">
        <f>AVERAGE(L39:L98)</f>
        <v>0.33902835377727603</v>
      </c>
      <c r="M100" s="15"/>
      <c r="N100" s="13"/>
      <c r="O100" s="13"/>
      <c r="P100" s="13"/>
      <c r="Q100" s="14" t="s">
        <v>38</v>
      </c>
      <c r="R100" s="15">
        <f>AVERAGE(R39:R98)</f>
        <v>0.2933602190900686</v>
      </c>
      <c r="S100" s="15"/>
      <c r="T100" s="13"/>
      <c r="U100" s="13"/>
      <c r="V100" s="13"/>
      <c r="W100" s="14" t="s">
        <v>38</v>
      </c>
      <c r="X100" s="15">
        <f>AVERAGE(X39:X98)</f>
        <v>0.29576946830311535</v>
      </c>
    </row>
    <row r="101" spans="1:24" x14ac:dyDescent="0.25">
      <c r="I101" s="13"/>
      <c r="J101" s="13"/>
      <c r="K101" s="14" t="s">
        <v>39</v>
      </c>
      <c r="L101" s="15">
        <f>MAX(L39:L98)</f>
        <v>0.73394495412844041</v>
      </c>
      <c r="M101" s="15"/>
      <c r="N101" s="13"/>
      <c r="O101" s="13"/>
      <c r="P101" s="13"/>
      <c r="Q101" s="14" t="s">
        <v>39</v>
      </c>
      <c r="R101" s="15">
        <f>MAX(R39:R98)</f>
        <v>0.66666666666666663</v>
      </c>
      <c r="S101" s="15"/>
      <c r="T101" s="13"/>
      <c r="U101" s="13"/>
      <c r="V101" s="13"/>
      <c r="W101" s="14" t="s">
        <v>39</v>
      </c>
      <c r="X101" s="15">
        <f>MAX(X39:X98)</f>
        <v>0.74683544303797467</v>
      </c>
    </row>
    <row r="102" spans="1:24" x14ac:dyDescent="0.25"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x14ac:dyDescent="0.25">
      <c r="I103" s="14" t="s">
        <v>40</v>
      </c>
      <c r="J103" s="16">
        <f>SUM(J39:J98)</f>
        <v>4800</v>
      </c>
      <c r="K103" s="16">
        <f>SUM(K39:K98)</f>
        <v>3004</v>
      </c>
      <c r="L103" s="13"/>
      <c r="M103" s="13"/>
      <c r="N103" s="13"/>
      <c r="O103" s="14" t="s">
        <v>40</v>
      </c>
      <c r="P103" s="16">
        <f>SUM(P39:P98)</f>
        <v>4858</v>
      </c>
      <c r="Q103" s="16">
        <f>SUM(Q39:Q98)</f>
        <v>3296</v>
      </c>
      <c r="R103" s="13"/>
      <c r="S103" s="13"/>
      <c r="T103" s="13"/>
      <c r="U103" s="14" t="s">
        <v>40</v>
      </c>
      <c r="V103" s="16">
        <f>SUM(V39:V98)</f>
        <v>4806</v>
      </c>
      <c r="W103" s="16">
        <f>SUM(W39:W98)</f>
        <v>3270</v>
      </c>
      <c r="X103" s="13"/>
    </row>
  </sheetData>
  <mergeCells count="9">
    <mergeCell ref="U1:W1"/>
    <mergeCell ref="U2:W2"/>
    <mergeCell ref="A1:G1"/>
    <mergeCell ref="O1:Q1"/>
    <mergeCell ref="O2:Q2"/>
    <mergeCell ref="A2:C2"/>
    <mergeCell ref="E2:G2"/>
    <mergeCell ref="I1:K1"/>
    <mergeCell ref="I2:K2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9EC1-B1AD-4D3A-8AA7-F4FED5B29DC9}">
  <dimension ref="A1:H31"/>
  <sheetViews>
    <sheetView workbookViewId="0">
      <selection activeCell="N15" sqref="N15"/>
    </sheetView>
  </sheetViews>
  <sheetFormatPr defaultRowHeight="15" x14ac:dyDescent="0.25"/>
  <cols>
    <col min="1" max="1" width="14.42578125" customWidth="1"/>
    <col min="2" max="2" width="22.28515625" bestFit="1" customWidth="1"/>
    <col min="4" max="4" width="23.7109375" bestFit="1" customWidth="1"/>
    <col min="5" max="5" width="11" customWidth="1"/>
    <col min="6" max="6" width="11" bestFit="1" customWidth="1"/>
    <col min="7" max="7" width="8.85546875" bestFit="1" customWidth="1"/>
    <col min="8" max="8" width="12.85546875" bestFit="1" customWidth="1"/>
  </cols>
  <sheetData>
    <row r="1" spans="1:8" x14ac:dyDescent="0.25">
      <c r="A1" s="2" t="s">
        <v>13</v>
      </c>
      <c r="B1" s="2" t="s">
        <v>14</v>
      </c>
      <c r="C1" s="2" t="s">
        <v>26</v>
      </c>
      <c r="D1" s="2" t="s">
        <v>28</v>
      </c>
      <c r="E1" s="2" t="s">
        <v>27</v>
      </c>
      <c r="F1" s="2" t="s">
        <v>10</v>
      </c>
      <c r="G1" s="2" t="s">
        <v>11</v>
      </c>
      <c r="H1" s="2" t="s">
        <v>12</v>
      </c>
    </row>
    <row r="2" spans="1:8" x14ac:dyDescent="0.25">
      <c r="A2" s="1">
        <v>14</v>
      </c>
      <c r="B2" s="1" t="s">
        <v>15</v>
      </c>
      <c r="C2" s="1">
        <v>1952</v>
      </c>
      <c r="D2" s="7">
        <v>0.13274900000000001</v>
      </c>
      <c r="E2" s="1"/>
      <c r="F2" s="1">
        <v>7.36</v>
      </c>
      <c r="G2" s="1">
        <v>81.3</v>
      </c>
      <c r="H2" s="1">
        <v>514.99</v>
      </c>
    </row>
    <row r="3" spans="1:8" x14ac:dyDescent="0.25">
      <c r="A3" s="1">
        <v>78</v>
      </c>
      <c r="B3" s="1" t="s">
        <v>16</v>
      </c>
      <c r="C3" s="1">
        <v>1971</v>
      </c>
      <c r="D3" s="7">
        <v>0.154025</v>
      </c>
      <c r="E3" s="1"/>
      <c r="F3" s="1">
        <v>6.61</v>
      </c>
      <c r="G3" s="1">
        <v>24.16</v>
      </c>
      <c r="H3" s="1">
        <v>452.86</v>
      </c>
    </row>
    <row r="4" spans="1:8" x14ac:dyDescent="0.25">
      <c r="A4" s="1">
        <v>963</v>
      </c>
      <c r="B4" s="1" t="s">
        <v>17</v>
      </c>
      <c r="C4" s="1">
        <v>1994</v>
      </c>
      <c r="D4" s="7">
        <v>0.57111400000000001</v>
      </c>
      <c r="E4" s="1"/>
      <c r="F4" s="1">
        <v>6.69</v>
      </c>
      <c r="G4" s="1">
        <v>20.11</v>
      </c>
      <c r="H4" s="1">
        <v>450.28</v>
      </c>
    </row>
    <row r="5" spans="1:8" x14ac:dyDescent="0.25">
      <c r="A5" s="1">
        <v>1166</v>
      </c>
      <c r="B5" s="1" t="s">
        <v>18</v>
      </c>
      <c r="C5" s="1">
        <v>1999</v>
      </c>
      <c r="D5" s="7">
        <v>0.124177</v>
      </c>
      <c r="E5" s="1"/>
      <c r="F5" s="1">
        <v>7.51</v>
      </c>
      <c r="G5" s="1">
        <v>30.73</v>
      </c>
      <c r="H5" s="1">
        <v>476.62</v>
      </c>
    </row>
    <row r="6" spans="1:8" x14ac:dyDescent="0.25">
      <c r="A6" s="1">
        <v>1286</v>
      </c>
      <c r="B6" s="1" t="s">
        <v>19</v>
      </c>
      <c r="C6" s="1">
        <v>1999</v>
      </c>
      <c r="D6" s="7">
        <v>0.12634200000000001</v>
      </c>
      <c r="E6" s="1"/>
      <c r="F6" s="1">
        <v>7.62</v>
      </c>
      <c r="G6" s="1">
        <v>41.65</v>
      </c>
      <c r="H6" s="1">
        <v>469.64</v>
      </c>
    </row>
    <row r="7" spans="1:8" x14ac:dyDescent="0.25">
      <c r="A7" s="1">
        <v>1292</v>
      </c>
      <c r="B7" s="1" t="s">
        <v>19</v>
      </c>
      <c r="C7" s="1">
        <v>1999</v>
      </c>
      <c r="D7" s="7">
        <v>0.189635</v>
      </c>
      <c r="E7" s="1"/>
      <c r="F7" s="1">
        <v>7.62</v>
      </c>
      <c r="G7" s="1">
        <v>60.2</v>
      </c>
      <c r="H7" s="1">
        <v>484.45</v>
      </c>
    </row>
    <row r="8" spans="1:8" x14ac:dyDescent="0.25">
      <c r="A8" s="1">
        <v>1297</v>
      </c>
      <c r="B8" s="1" t="s">
        <v>19</v>
      </c>
      <c r="C8" s="1">
        <v>1999</v>
      </c>
      <c r="D8" s="7">
        <v>0.168541</v>
      </c>
      <c r="E8" s="1"/>
      <c r="F8" s="1">
        <v>7.62</v>
      </c>
      <c r="G8" s="1">
        <v>49.69</v>
      </c>
      <c r="H8" s="1">
        <v>440.5</v>
      </c>
    </row>
    <row r="9" spans="1:8" x14ac:dyDescent="0.25">
      <c r="A9" s="1">
        <v>1436</v>
      </c>
      <c r="B9" s="1" t="s">
        <v>19</v>
      </c>
      <c r="C9" s="1">
        <v>1999</v>
      </c>
      <c r="D9" s="7">
        <v>0.13097</v>
      </c>
      <c r="E9" s="1"/>
      <c r="F9" s="1">
        <v>7.62</v>
      </c>
      <c r="G9" s="1">
        <v>98.51</v>
      </c>
      <c r="H9" s="1">
        <v>433.88</v>
      </c>
    </row>
    <row r="10" spans="1:8" x14ac:dyDescent="0.25">
      <c r="A10" s="1">
        <v>1465</v>
      </c>
      <c r="B10" s="1" t="s">
        <v>19</v>
      </c>
      <c r="C10" s="1">
        <v>1999</v>
      </c>
      <c r="D10" s="7">
        <v>7.3763999999999996E-2</v>
      </c>
      <c r="E10" s="1"/>
      <c r="F10" s="1">
        <v>7.62</v>
      </c>
      <c r="G10" s="1">
        <v>87.63</v>
      </c>
      <c r="H10" s="1">
        <v>463.88</v>
      </c>
    </row>
    <row r="11" spans="1:8" x14ac:dyDescent="0.25">
      <c r="A11" s="1">
        <v>1469</v>
      </c>
      <c r="B11" s="1" t="s">
        <v>19</v>
      </c>
      <c r="C11" s="1">
        <v>1999</v>
      </c>
      <c r="D11" s="7">
        <v>7.2117000000000001E-2</v>
      </c>
      <c r="E11" s="1"/>
      <c r="F11" s="1">
        <v>7.62</v>
      </c>
      <c r="G11" s="1">
        <v>74.41</v>
      </c>
      <c r="H11" s="1">
        <v>471.07</v>
      </c>
    </row>
    <row r="12" spans="1:8" x14ac:dyDescent="0.25">
      <c r="A12" s="1">
        <v>1470</v>
      </c>
      <c r="B12" s="1" t="s">
        <v>19</v>
      </c>
      <c r="C12" s="1">
        <v>1999</v>
      </c>
      <c r="D12" s="7">
        <v>7.5738E-2</v>
      </c>
      <c r="E12" s="1"/>
      <c r="F12" s="1">
        <v>7.62</v>
      </c>
      <c r="G12" s="1">
        <v>92.26</v>
      </c>
      <c r="H12" s="1">
        <v>496.47</v>
      </c>
    </row>
    <row r="13" spans="1:8" x14ac:dyDescent="0.25">
      <c r="A13" s="1">
        <v>1472</v>
      </c>
      <c r="B13" s="1" t="s">
        <v>19</v>
      </c>
      <c r="C13" s="1">
        <v>1999</v>
      </c>
      <c r="D13" s="7">
        <v>0.125749</v>
      </c>
      <c r="E13" s="1"/>
      <c r="F13" s="1">
        <v>7.62</v>
      </c>
      <c r="G13" s="1">
        <v>54.28</v>
      </c>
      <c r="H13" s="1">
        <v>558.76</v>
      </c>
    </row>
    <row r="14" spans="1:8" x14ac:dyDescent="0.25">
      <c r="A14" s="1">
        <v>1478</v>
      </c>
      <c r="B14" s="1" t="s">
        <v>19</v>
      </c>
      <c r="C14" s="1">
        <v>1999</v>
      </c>
      <c r="D14" s="7">
        <v>0.18559500000000001</v>
      </c>
      <c r="E14" s="1"/>
      <c r="F14" s="1">
        <v>7.62</v>
      </c>
      <c r="G14" s="1">
        <v>40.880000000000003</v>
      </c>
      <c r="H14" s="1">
        <v>423.4</v>
      </c>
    </row>
    <row r="15" spans="1:8" x14ac:dyDescent="0.25">
      <c r="A15" s="1">
        <v>1485</v>
      </c>
      <c r="B15" s="1" t="s">
        <v>19</v>
      </c>
      <c r="C15" s="1">
        <v>1999</v>
      </c>
      <c r="D15" s="7">
        <v>0.51015200000000005</v>
      </c>
      <c r="E15" s="1"/>
      <c r="F15" s="1">
        <v>7.62</v>
      </c>
      <c r="G15" s="1">
        <v>26</v>
      </c>
      <c r="H15" s="1">
        <v>704.64</v>
      </c>
    </row>
    <row r="16" spans="1:8" x14ac:dyDescent="0.25">
      <c r="A16" s="1">
        <v>1487</v>
      </c>
      <c r="B16" s="1" t="s">
        <v>19</v>
      </c>
      <c r="C16" s="1">
        <v>1999</v>
      </c>
      <c r="D16" s="7">
        <v>0.40849800000000003</v>
      </c>
      <c r="E16" s="1"/>
      <c r="F16" s="1">
        <v>7.62</v>
      </c>
      <c r="G16" s="1">
        <v>35</v>
      </c>
      <c r="H16" s="1">
        <v>520.37</v>
      </c>
    </row>
    <row r="17" spans="1:8" x14ac:dyDescent="0.25">
      <c r="A17" s="1">
        <v>1524</v>
      </c>
      <c r="B17" s="1" t="s">
        <v>19</v>
      </c>
      <c r="C17" s="1">
        <v>1999</v>
      </c>
      <c r="D17" s="7">
        <v>0.70477000000000001</v>
      </c>
      <c r="E17" s="1"/>
      <c r="F17" s="1">
        <v>7.62</v>
      </c>
      <c r="G17" s="1">
        <v>45.15</v>
      </c>
      <c r="H17" s="1">
        <v>446.63</v>
      </c>
    </row>
    <row r="18" spans="1:8" x14ac:dyDescent="0.25">
      <c r="A18" s="1">
        <v>1555</v>
      </c>
      <c r="B18" s="1" t="s">
        <v>19</v>
      </c>
      <c r="C18" s="1">
        <v>1999</v>
      </c>
      <c r="D18" s="7">
        <v>0.1341</v>
      </c>
      <c r="E18" s="1"/>
      <c r="F18" s="1">
        <v>7.62</v>
      </c>
      <c r="G18" s="1">
        <v>70.61</v>
      </c>
      <c r="H18" s="1">
        <v>537.91999999999996</v>
      </c>
    </row>
    <row r="19" spans="1:8" x14ac:dyDescent="0.25">
      <c r="A19" s="1">
        <v>1557</v>
      </c>
      <c r="B19" s="1" t="s">
        <v>19</v>
      </c>
      <c r="C19" s="1">
        <v>1999</v>
      </c>
      <c r="D19" s="7">
        <v>9.6298999999999996E-2</v>
      </c>
      <c r="E19" s="1"/>
      <c r="F19" s="1">
        <v>7.62</v>
      </c>
      <c r="G19" s="1">
        <v>52.9</v>
      </c>
      <c r="H19" s="1">
        <v>484.6</v>
      </c>
    </row>
    <row r="20" spans="1:8" x14ac:dyDescent="0.25">
      <c r="A20" s="1">
        <v>1575</v>
      </c>
      <c r="B20" s="1" t="s">
        <v>19</v>
      </c>
      <c r="C20" s="1">
        <v>1999</v>
      </c>
      <c r="D20" s="7">
        <v>6.6946000000000006E-2</v>
      </c>
      <c r="E20" s="1"/>
      <c r="F20" s="1">
        <v>7.62</v>
      </c>
      <c r="G20" s="1">
        <v>50.47</v>
      </c>
      <c r="H20" s="1">
        <v>527.54</v>
      </c>
    </row>
    <row r="21" spans="1:8" x14ac:dyDescent="0.25">
      <c r="A21" s="1">
        <v>1581</v>
      </c>
      <c r="B21" s="1" t="s">
        <v>19</v>
      </c>
      <c r="C21" s="1">
        <v>1999</v>
      </c>
      <c r="D21" s="7">
        <v>8.5407999999999998E-2</v>
      </c>
      <c r="E21" s="1"/>
      <c r="F21" s="1">
        <v>7.62</v>
      </c>
      <c r="G21" s="1">
        <v>52.63</v>
      </c>
      <c r="H21" s="1">
        <v>510.62</v>
      </c>
    </row>
    <row r="22" spans="1:8" x14ac:dyDescent="0.25">
      <c r="A22" s="1">
        <v>2466</v>
      </c>
      <c r="B22" s="1" t="s">
        <v>20</v>
      </c>
      <c r="C22" s="1">
        <v>1999</v>
      </c>
      <c r="D22" s="7">
        <v>0.20050699999999999</v>
      </c>
      <c r="E22" s="1"/>
      <c r="F22" s="1">
        <v>6.2</v>
      </c>
      <c r="G22" s="1">
        <v>33.86</v>
      </c>
      <c r="H22" s="1">
        <v>573.04</v>
      </c>
    </row>
    <row r="23" spans="1:8" x14ac:dyDescent="0.25">
      <c r="A23" s="1">
        <v>3274</v>
      </c>
      <c r="B23" s="1" t="s">
        <v>21</v>
      </c>
      <c r="C23" s="1">
        <v>1999</v>
      </c>
      <c r="D23" s="7">
        <v>0.170517</v>
      </c>
      <c r="E23" s="1"/>
      <c r="F23" s="1">
        <v>6.3</v>
      </c>
      <c r="G23" s="1">
        <v>40.36</v>
      </c>
      <c r="H23" s="1">
        <v>573.04</v>
      </c>
    </row>
    <row r="24" spans="1:8" x14ac:dyDescent="0.25">
      <c r="A24" s="1">
        <v>3281</v>
      </c>
      <c r="B24" s="1" t="s">
        <v>21</v>
      </c>
      <c r="C24" s="1">
        <v>1999</v>
      </c>
      <c r="D24" s="7">
        <v>0.13556599999999999</v>
      </c>
      <c r="E24" s="1"/>
      <c r="F24" s="1">
        <v>6.3</v>
      </c>
      <c r="G24" s="1">
        <v>53.17</v>
      </c>
      <c r="H24" s="1">
        <v>442.15</v>
      </c>
    </row>
    <row r="25" spans="1:8" x14ac:dyDescent="0.25">
      <c r="A25" s="1">
        <v>3307</v>
      </c>
      <c r="B25" s="1" t="s">
        <v>21</v>
      </c>
      <c r="C25" s="1">
        <v>1999</v>
      </c>
      <c r="D25" s="7">
        <v>0.26130199999999998</v>
      </c>
      <c r="E25" s="1"/>
      <c r="F25" s="1">
        <v>6.3</v>
      </c>
      <c r="G25" s="1">
        <v>53.5</v>
      </c>
      <c r="H25" s="1">
        <v>665.2</v>
      </c>
    </row>
    <row r="26" spans="1:8" x14ac:dyDescent="0.25">
      <c r="A26" s="1">
        <v>3750</v>
      </c>
      <c r="B26" s="1" t="s">
        <v>22</v>
      </c>
      <c r="C26" s="1">
        <v>1992</v>
      </c>
      <c r="D26" s="7">
        <v>0.19967699999999999</v>
      </c>
      <c r="E26" s="1"/>
      <c r="F26" s="1">
        <v>7.01</v>
      </c>
      <c r="G26" s="1">
        <v>23.46</v>
      </c>
      <c r="H26" s="1">
        <v>515.65</v>
      </c>
    </row>
    <row r="27" spans="1:8" x14ac:dyDescent="0.25">
      <c r="A27" s="1">
        <v>3751</v>
      </c>
      <c r="B27" s="1" t="s">
        <v>22</v>
      </c>
      <c r="C27" s="1">
        <v>1992</v>
      </c>
      <c r="D27" s="7">
        <v>9.5811999999999994E-2</v>
      </c>
      <c r="E27" s="1"/>
      <c r="F27" s="1">
        <v>7.01</v>
      </c>
      <c r="G27" s="1">
        <v>33.229999999999997</v>
      </c>
      <c r="H27" s="1">
        <v>459.04</v>
      </c>
    </row>
    <row r="28" spans="1:8" x14ac:dyDescent="0.25">
      <c r="A28" s="1">
        <v>4350</v>
      </c>
      <c r="B28" s="1" t="s">
        <v>23</v>
      </c>
      <c r="C28" s="1">
        <v>1997</v>
      </c>
      <c r="D28" s="7">
        <v>0.121834</v>
      </c>
      <c r="E28" s="1"/>
      <c r="F28" s="8">
        <v>6</v>
      </c>
      <c r="G28" s="1">
        <v>35.79</v>
      </c>
      <c r="H28" s="1">
        <v>492</v>
      </c>
    </row>
    <row r="29" spans="1:8" x14ac:dyDescent="0.25">
      <c r="A29" s="1">
        <v>4884</v>
      </c>
      <c r="B29" s="1" t="s">
        <v>24</v>
      </c>
      <c r="C29" s="1">
        <v>2007</v>
      </c>
      <c r="D29" s="7">
        <v>0.767988</v>
      </c>
      <c r="E29" s="1"/>
      <c r="F29" s="1">
        <v>6.8</v>
      </c>
      <c r="G29" s="1">
        <v>37.840000000000003</v>
      </c>
      <c r="H29" s="1">
        <v>551.36</v>
      </c>
    </row>
    <row r="30" spans="1:8" x14ac:dyDescent="0.25">
      <c r="A30" s="1">
        <v>5663</v>
      </c>
      <c r="B30" s="1" t="s">
        <v>25</v>
      </c>
      <c r="C30" s="1">
        <v>2008</v>
      </c>
      <c r="D30" s="7">
        <v>0.705318</v>
      </c>
      <c r="E30" s="1"/>
      <c r="F30" s="1">
        <v>6.9</v>
      </c>
      <c r="G30" s="1">
        <v>20.170000000000002</v>
      </c>
      <c r="H30" s="1">
        <v>479.37</v>
      </c>
    </row>
    <row r="31" spans="1:8" x14ac:dyDescent="0.25">
      <c r="A31" s="1">
        <v>5778</v>
      </c>
      <c r="B31" s="1" t="s">
        <v>25</v>
      </c>
      <c r="C31" s="1">
        <v>2008</v>
      </c>
      <c r="D31" s="7">
        <v>0.296213</v>
      </c>
      <c r="E31" s="1"/>
      <c r="F31" s="1">
        <v>6.9</v>
      </c>
      <c r="G31" s="1">
        <v>40.98</v>
      </c>
      <c r="H31" s="1">
        <v>436.34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6C95-A859-4D52-8F24-DC00F20B1908}">
  <dimension ref="A1:K74"/>
  <sheetViews>
    <sheetView topLeftCell="A44" workbookViewId="0">
      <selection activeCell="G59" sqref="G59"/>
    </sheetView>
  </sheetViews>
  <sheetFormatPr defaultRowHeight="15" x14ac:dyDescent="0.25"/>
  <cols>
    <col min="2" max="2" width="14" bestFit="1" customWidth="1"/>
    <col min="3" max="4" width="14.85546875" customWidth="1"/>
    <col min="5" max="5" width="10.42578125" customWidth="1"/>
    <col min="6" max="6" width="13.5703125" customWidth="1"/>
    <col min="7" max="7" width="15.5703125" customWidth="1"/>
    <col min="8" max="8" width="11.140625" customWidth="1"/>
    <col min="9" max="9" width="15.140625" customWidth="1"/>
    <col min="10" max="10" width="15.7109375" customWidth="1"/>
    <col min="11" max="11" width="10" customWidth="1"/>
  </cols>
  <sheetData>
    <row r="1" spans="1:11" ht="21" x14ac:dyDescent="0.25">
      <c r="A1" s="50" t="s">
        <v>3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8.75" x14ac:dyDescent="0.25">
      <c r="A2" s="51" t="s">
        <v>104</v>
      </c>
      <c r="B2" s="51" t="s">
        <v>105</v>
      </c>
      <c r="C2" s="53" t="s">
        <v>106</v>
      </c>
      <c r="D2" s="53"/>
      <c r="E2" s="53"/>
      <c r="F2" s="53" t="s">
        <v>107</v>
      </c>
      <c r="G2" s="53"/>
      <c r="H2" s="53"/>
      <c r="I2" s="53" t="s">
        <v>108</v>
      </c>
      <c r="J2" s="53"/>
      <c r="K2" s="53"/>
    </row>
    <row r="3" spans="1:11" ht="15.75" x14ac:dyDescent="0.25">
      <c r="A3" s="52"/>
      <c r="B3" s="52"/>
      <c r="C3" s="25" t="s">
        <v>109</v>
      </c>
      <c r="D3" s="25" t="s">
        <v>110</v>
      </c>
      <c r="E3" s="29" t="s">
        <v>111</v>
      </c>
      <c r="F3" s="25" t="s">
        <v>109</v>
      </c>
      <c r="G3" s="25" t="s">
        <v>110</v>
      </c>
      <c r="H3" s="29" t="s">
        <v>111</v>
      </c>
      <c r="I3" s="25" t="s">
        <v>109</v>
      </c>
      <c r="J3" s="25" t="s">
        <v>110</v>
      </c>
      <c r="K3" s="29" t="s">
        <v>111</v>
      </c>
    </row>
    <row r="4" spans="1:11" x14ac:dyDescent="0.25">
      <c r="A4" s="1">
        <v>1</v>
      </c>
      <c r="B4" s="1">
        <v>80011</v>
      </c>
      <c r="C4" s="22">
        <v>0.104022</v>
      </c>
      <c r="D4" s="22">
        <v>0.104022</v>
      </c>
      <c r="E4" s="23">
        <f>(C4-D4)/C4</f>
        <v>0</v>
      </c>
      <c r="F4" s="22">
        <v>3.9324935897435999E-2</v>
      </c>
      <c r="G4" s="22">
        <v>3.9324935897435999E-2</v>
      </c>
      <c r="H4" s="23">
        <f>(F4-G4)/F4</f>
        <v>0</v>
      </c>
      <c r="I4" s="7">
        <v>2.1838698362420002</v>
      </c>
      <c r="J4" s="7">
        <v>2.1838698362420002</v>
      </c>
      <c r="K4" s="23">
        <f>(I4-J4)/I4</f>
        <v>0</v>
      </c>
    </row>
    <row r="5" spans="1:11" x14ac:dyDescent="0.25">
      <c r="A5" s="1">
        <v>2</v>
      </c>
      <c r="B5" s="1">
        <v>80012</v>
      </c>
      <c r="C5" s="22">
        <v>0.10411244444444399</v>
      </c>
      <c r="D5" s="22">
        <v>0.10411244444444399</v>
      </c>
      <c r="E5" s="23">
        <f t="shared" ref="E5:E63" si="0">(C5-D5)/C5</f>
        <v>0</v>
      </c>
      <c r="F5" s="22">
        <v>6.4746777777778E-2</v>
      </c>
      <c r="G5" s="22">
        <v>6.4746777777778E-2</v>
      </c>
      <c r="H5" s="23">
        <f t="shared" ref="H5:H63" si="1">(F5-G5)/F5</f>
        <v>0</v>
      </c>
      <c r="I5" s="7">
        <v>2.2740035374557701</v>
      </c>
      <c r="J5" s="7">
        <v>2.2740035374557701</v>
      </c>
      <c r="K5" s="23">
        <f t="shared" ref="K5:K63" si="2">(I5-J5)/I5</f>
        <v>0</v>
      </c>
    </row>
    <row r="6" spans="1:11" x14ac:dyDescent="0.25">
      <c r="A6" s="1">
        <v>3</v>
      </c>
      <c r="B6" s="1">
        <v>80021</v>
      </c>
      <c r="C6" s="22">
        <v>0.10404711111111099</v>
      </c>
      <c r="D6" s="22">
        <v>0.104130666666667</v>
      </c>
      <c r="E6" s="23">
        <f t="shared" si="0"/>
        <v>-8.0305502635988411E-4</v>
      </c>
      <c r="F6" s="22">
        <v>4.2572444444444003E-2</v>
      </c>
      <c r="G6" s="22">
        <v>4.2623666666666997E-2</v>
      </c>
      <c r="H6" s="23">
        <f t="shared" si="1"/>
        <v>-1.2031778511059495E-3</v>
      </c>
      <c r="I6" s="7">
        <v>1.6780329639320799</v>
      </c>
      <c r="J6" s="7">
        <v>1.6897056922742999</v>
      </c>
      <c r="K6" s="23">
        <f t="shared" si="2"/>
        <v>-6.9561972816479557E-3</v>
      </c>
    </row>
    <row r="7" spans="1:11" x14ac:dyDescent="0.25">
      <c r="A7" s="1">
        <v>4</v>
      </c>
      <c r="B7" s="1">
        <v>80022</v>
      </c>
      <c r="C7" s="22">
        <v>0.104069333333333</v>
      </c>
      <c r="D7" s="22">
        <v>0.104038444444444</v>
      </c>
      <c r="E7" s="23">
        <f t="shared" si="0"/>
        <v>2.9681067322743468E-4</v>
      </c>
      <c r="F7" s="22">
        <v>8.0077666666667005E-2</v>
      </c>
      <c r="G7" s="22">
        <v>8.0548777777777997E-2</v>
      </c>
      <c r="H7" s="23">
        <f t="shared" si="1"/>
        <v>-5.8831773042544904E-3</v>
      </c>
      <c r="I7" s="7">
        <v>1.4701123352060801</v>
      </c>
      <c r="J7" s="7">
        <v>1.67515129289461</v>
      </c>
      <c r="K7" s="23">
        <f t="shared" si="2"/>
        <v>-0.13947162592835979</v>
      </c>
    </row>
    <row r="8" spans="1:11" x14ac:dyDescent="0.25">
      <c r="A8" s="1">
        <v>5</v>
      </c>
      <c r="B8" s="1">
        <v>80031</v>
      </c>
      <c r="C8" s="22">
        <v>7.3042564102564003E-2</v>
      </c>
      <c r="D8" s="22">
        <v>7.3138205128205E-2</v>
      </c>
      <c r="E8" s="23">
        <f t="shared" si="0"/>
        <v>-1.3093875716999846E-3</v>
      </c>
      <c r="F8" s="22">
        <v>6.6656025641026004E-2</v>
      </c>
      <c r="G8" s="22">
        <v>6.5797692307692002E-2</v>
      </c>
      <c r="H8" s="23">
        <f t="shared" si="1"/>
        <v>1.287705537615654E-2</v>
      </c>
      <c r="I8" s="7">
        <v>1.72492936144258</v>
      </c>
      <c r="J8" s="7">
        <v>2.4762036412481101</v>
      </c>
      <c r="K8" s="23">
        <f t="shared" si="2"/>
        <v>-0.43553915690624573</v>
      </c>
    </row>
    <row r="9" spans="1:11" x14ac:dyDescent="0.25">
      <c r="A9" s="1">
        <v>6</v>
      </c>
      <c r="B9" s="1">
        <v>80032</v>
      </c>
      <c r="C9" s="22">
        <v>5.5721538461538003E-2</v>
      </c>
      <c r="D9" s="22">
        <v>5.5724358974358998E-2</v>
      </c>
      <c r="E9" s="23">
        <f t="shared" si="0"/>
        <v>-5.0617999769361577E-5</v>
      </c>
      <c r="F9" s="22">
        <v>1.2490230769231E-2</v>
      </c>
      <c r="G9" s="22">
        <v>1.3455384615385001E-2</v>
      </c>
      <c r="H9" s="23">
        <f t="shared" si="1"/>
        <v>-7.7272699278831944E-2</v>
      </c>
      <c r="I9" s="7">
        <v>1.64008751421943</v>
      </c>
      <c r="J9" s="7">
        <v>2.4214257397106702</v>
      </c>
      <c r="K9" s="23">
        <f t="shared" si="2"/>
        <v>-0.47640032541989324</v>
      </c>
    </row>
    <row r="10" spans="1:11" x14ac:dyDescent="0.25">
      <c r="A10" s="1">
        <v>7</v>
      </c>
      <c r="B10" s="1">
        <v>80041</v>
      </c>
      <c r="C10" s="22">
        <v>0.11014410256410299</v>
      </c>
      <c r="D10" s="22">
        <v>0.110146153846154</v>
      </c>
      <c r="E10" s="23">
        <f t="shared" si="0"/>
        <v>-1.8623621267572009E-5</v>
      </c>
      <c r="F10" s="22">
        <v>9.3543444444443999E-2</v>
      </c>
      <c r="G10" s="22">
        <v>9.2749666666666994E-2</v>
      </c>
      <c r="H10" s="23">
        <f t="shared" si="1"/>
        <v>8.4856590698713721E-3</v>
      </c>
      <c r="I10" s="7">
        <v>3.3060718823790101</v>
      </c>
      <c r="J10" s="7">
        <v>3.3785302919788598</v>
      </c>
      <c r="K10" s="23">
        <f t="shared" si="2"/>
        <v>-2.1916767746655744E-2</v>
      </c>
    </row>
    <row r="11" spans="1:11" x14ac:dyDescent="0.25">
      <c r="A11" s="1">
        <v>8</v>
      </c>
      <c r="B11" s="1">
        <v>80042</v>
      </c>
      <c r="C11" s="22">
        <v>0.10088948717948699</v>
      </c>
      <c r="D11" s="22">
        <v>0.10164128205128201</v>
      </c>
      <c r="E11" s="23">
        <f t="shared" si="0"/>
        <v>-7.4516670944866029E-3</v>
      </c>
      <c r="F11" s="22">
        <v>9.6754615384614995E-2</v>
      </c>
      <c r="G11" s="22">
        <v>9.6198974358973996E-2</v>
      </c>
      <c r="H11" s="23">
        <f t="shared" si="1"/>
        <v>5.7427857413544286E-3</v>
      </c>
      <c r="I11" s="7">
        <v>2.4197413669649901</v>
      </c>
      <c r="J11" s="7">
        <v>2.5646611110796602</v>
      </c>
      <c r="K11" s="23">
        <f t="shared" si="2"/>
        <v>-5.989059247949241E-2</v>
      </c>
    </row>
    <row r="12" spans="1:11" x14ac:dyDescent="0.25">
      <c r="A12" s="1">
        <v>9</v>
      </c>
      <c r="B12" s="1">
        <v>80051</v>
      </c>
      <c r="C12" s="22">
        <v>6.2722820512821006E-2</v>
      </c>
      <c r="D12" s="22">
        <v>6.2722820512821006E-2</v>
      </c>
      <c r="E12" s="23">
        <f t="shared" si="0"/>
        <v>0</v>
      </c>
      <c r="F12" s="22">
        <v>2.116108974359E-2</v>
      </c>
      <c r="G12" s="22">
        <v>2.0970333333333001E-2</v>
      </c>
      <c r="H12" s="23">
        <f t="shared" si="1"/>
        <v>9.0144889780443202E-3</v>
      </c>
      <c r="I12" s="7">
        <v>1.9346491127859899</v>
      </c>
      <c r="J12" s="7">
        <v>1.9346491127859899</v>
      </c>
      <c r="K12" s="23">
        <f t="shared" si="2"/>
        <v>0</v>
      </c>
    </row>
    <row r="13" spans="1:11" x14ac:dyDescent="0.25">
      <c r="A13" s="1">
        <v>10</v>
      </c>
      <c r="B13" s="1">
        <v>80052</v>
      </c>
      <c r="C13" s="22">
        <v>0.116864102564103</v>
      </c>
      <c r="D13" s="22">
        <v>0.116864102564103</v>
      </c>
      <c r="E13" s="23">
        <f t="shared" si="0"/>
        <v>0</v>
      </c>
      <c r="F13" s="22">
        <v>7.6251153846153996E-2</v>
      </c>
      <c r="G13" s="22">
        <v>7.6245384615385006E-2</v>
      </c>
      <c r="H13" s="23">
        <f t="shared" si="1"/>
        <v>7.5660897940378293E-5</v>
      </c>
      <c r="I13" s="7">
        <v>2.8936185170640201</v>
      </c>
      <c r="J13" s="7">
        <v>2.8936185170640201</v>
      </c>
      <c r="K13" s="23">
        <f t="shared" si="2"/>
        <v>0</v>
      </c>
    </row>
    <row r="14" spans="1:11" x14ac:dyDescent="0.25">
      <c r="A14" s="1">
        <v>11</v>
      </c>
      <c r="B14" s="1">
        <v>80061</v>
      </c>
      <c r="C14" s="22">
        <v>0.10401933333333301</v>
      </c>
      <c r="D14" s="22">
        <v>0.104015555555556</v>
      </c>
      <c r="E14" s="23">
        <f t="shared" si="0"/>
        <v>3.6318034887802466E-5</v>
      </c>
      <c r="F14" s="22">
        <v>7.0354333333333005E-2</v>
      </c>
      <c r="G14" s="22">
        <v>7.0643888888889006E-2</v>
      </c>
      <c r="H14" s="23">
        <f t="shared" si="1"/>
        <v>-4.1156747827331489E-3</v>
      </c>
      <c r="I14" s="7">
        <v>1.62114389608052</v>
      </c>
      <c r="J14" s="7">
        <v>1.96271854483804</v>
      </c>
      <c r="K14" s="23">
        <f t="shared" si="2"/>
        <v>-0.21069977167563811</v>
      </c>
    </row>
    <row r="15" spans="1:11" x14ac:dyDescent="0.25">
      <c r="A15" s="1">
        <v>12</v>
      </c>
      <c r="B15" s="1">
        <v>80062</v>
      </c>
      <c r="C15" s="22">
        <v>0.104053333333333</v>
      </c>
      <c r="D15" s="22">
        <v>0.104117777777778</v>
      </c>
      <c r="E15" s="23">
        <f t="shared" si="0"/>
        <v>-6.1934050914600478E-4</v>
      </c>
      <c r="F15" s="22" t="s">
        <v>112</v>
      </c>
      <c r="G15" s="22" t="s">
        <v>112</v>
      </c>
      <c r="H15" s="23" t="s">
        <v>112</v>
      </c>
      <c r="I15" s="7">
        <v>1.89741392653293</v>
      </c>
      <c r="J15" s="7">
        <v>1.7734045389062201</v>
      </c>
      <c r="K15" s="23">
        <f t="shared" si="2"/>
        <v>6.5357055670666103E-2</v>
      </c>
    </row>
    <row r="16" spans="1:11" x14ac:dyDescent="0.25">
      <c r="A16" s="1">
        <v>13</v>
      </c>
      <c r="B16" s="1">
        <v>80071</v>
      </c>
      <c r="C16" s="22">
        <v>0.104039333333333</v>
      </c>
      <c r="D16" s="22">
        <v>0.104098</v>
      </c>
      <c r="E16" s="23">
        <f t="shared" si="0"/>
        <v>-5.6388929828140439E-4</v>
      </c>
      <c r="F16" s="22">
        <v>4.0636222222221997E-2</v>
      </c>
      <c r="G16" s="22" t="s">
        <v>112</v>
      </c>
      <c r="H16" s="23" t="s">
        <v>112</v>
      </c>
      <c r="I16" s="7">
        <v>1.4195102931855099</v>
      </c>
      <c r="J16" s="7">
        <v>1.42269119184335</v>
      </c>
      <c r="K16" s="23">
        <f t="shared" si="2"/>
        <v>-2.2408422630750199E-3</v>
      </c>
    </row>
    <row r="17" spans="1:11" x14ac:dyDescent="0.25">
      <c r="A17" s="1">
        <v>14</v>
      </c>
      <c r="B17" s="1">
        <v>80072</v>
      </c>
      <c r="C17" s="22">
        <v>0.10412399999999999</v>
      </c>
      <c r="D17" s="22">
        <v>0.104128</v>
      </c>
      <c r="E17" s="23">
        <f t="shared" si="0"/>
        <v>-3.8415735085129272E-5</v>
      </c>
      <c r="F17" s="22">
        <v>2.8804111111110999E-2</v>
      </c>
      <c r="G17" s="22">
        <v>2.8670333333332999E-2</v>
      </c>
      <c r="H17" s="23">
        <f t="shared" si="1"/>
        <v>4.6443987548151046E-3</v>
      </c>
      <c r="I17" s="7">
        <v>1.11627875064999</v>
      </c>
      <c r="J17" s="7">
        <v>1.32870239048572</v>
      </c>
      <c r="K17" s="23">
        <f t="shared" si="2"/>
        <v>-0.19029623175397661</v>
      </c>
    </row>
    <row r="18" spans="1:11" x14ac:dyDescent="0.25">
      <c r="A18" s="1">
        <v>15</v>
      </c>
      <c r="B18" s="1">
        <v>80081</v>
      </c>
      <c r="C18" s="22">
        <v>7.8671111111110997E-2</v>
      </c>
      <c r="D18" s="22">
        <v>7.8764444444443998E-2</v>
      </c>
      <c r="E18" s="23">
        <f t="shared" si="0"/>
        <v>-1.186373651201925E-3</v>
      </c>
      <c r="F18" s="22">
        <v>4.6542111111110999E-2</v>
      </c>
      <c r="G18" s="22">
        <v>4.6522888888889002E-2</v>
      </c>
      <c r="H18" s="23">
        <f t="shared" si="1"/>
        <v>4.1300709751019698E-4</v>
      </c>
      <c r="I18" s="7">
        <v>1.03768238680225</v>
      </c>
      <c r="J18" s="7">
        <v>1.0756848140623601</v>
      </c>
      <c r="K18" s="23">
        <f t="shared" si="2"/>
        <v>-3.6622407533792062E-2</v>
      </c>
    </row>
    <row r="19" spans="1:11" x14ac:dyDescent="0.25">
      <c r="A19" s="1">
        <v>16</v>
      </c>
      <c r="B19" s="1">
        <v>80082</v>
      </c>
      <c r="C19" s="22">
        <v>0.104095333333333</v>
      </c>
      <c r="D19" s="22">
        <v>0.104115777777778</v>
      </c>
      <c r="E19" s="23">
        <f t="shared" si="0"/>
        <v>-1.9640116218789608E-4</v>
      </c>
      <c r="F19" s="22">
        <v>6.8532666666667005E-2</v>
      </c>
      <c r="G19" s="22">
        <v>6.8423333333333003E-2</v>
      </c>
      <c r="H19" s="23">
        <f t="shared" si="1"/>
        <v>1.595346258241839E-3</v>
      </c>
      <c r="I19" s="7">
        <v>1.1016881855018199</v>
      </c>
      <c r="J19" s="7">
        <v>1.1353417376241399</v>
      </c>
      <c r="K19" s="23">
        <f t="shared" si="2"/>
        <v>-3.0547256987230736E-2</v>
      </c>
    </row>
    <row r="20" spans="1:11" x14ac:dyDescent="0.25">
      <c r="A20" s="1">
        <v>17</v>
      </c>
      <c r="B20" s="1">
        <v>80091</v>
      </c>
      <c r="C20" s="22">
        <v>0.104068888888889</v>
      </c>
      <c r="D20" s="22">
        <v>0.104198</v>
      </c>
      <c r="E20" s="23">
        <f t="shared" si="0"/>
        <v>-1.2406312058240996E-3</v>
      </c>
      <c r="F20" s="22">
        <v>8.8666222222221994E-2</v>
      </c>
      <c r="G20" s="22">
        <v>8.8738444444443995E-2</v>
      </c>
      <c r="H20" s="23">
        <f t="shared" si="1"/>
        <v>-8.1454042375903512E-4</v>
      </c>
      <c r="I20" s="7">
        <v>2.1011707284532699</v>
      </c>
      <c r="J20" s="7">
        <v>2.0740861712998799</v>
      </c>
      <c r="K20" s="23">
        <f t="shared" si="2"/>
        <v>1.2890222001773113E-2</v>
      </c>
    </row>
    <row r="21" spans="1:11" x14ac:dyDescent="0.25">
      <c r="A21" s="1">
        <v>18</v>
      </c>
      <c r="B21" s="1">
        <v>80092</v>
      </c>
      <c r="C21" s="22">
        <v>9.0804871794871997E-2</v>
      </c>
      <c r="D21" s="22">
        <v>9.0901025641026006E-2</v>
      </c>
      <c r="E21" s="23">
        <f t="shared" si="0"/>
        <v>-1.0589062486781645E-3</v>
      </c>
      <c r="F21" s="22">
        <v>5.2153333333333003E-2</v>
      </c>
      <c r="G21" s="22">
        <v>4.9491410256409997E-2</v>
      </c>
      <c r="H21" s="23">
        <f t="shared" si="1"/>
        <v>5.1040324880282942E-2</v>
      </c>
      <c r="I21" s="7">
        <v>1.6527493514818701</v>
      </c>
      <c r="J21" s="7">
        <v>2.58880683400711</v>
      </c>
      <c r="K21" s="23">
        <f t="shared" si="2"/>
        <v>-0.56636384802448247</v>
      </c>
    </row>
    <row r="22" spans="1:11" x14ac:dyDescent="0.25">
      <c r="A22" s="1">
        <v>19</v>
      </c>
      <c r="B22" s="1">
        <v>80101</v>
      </c>
      <c r="C22" s="22">
        <v>0.10412155555555599</v>
      </c>
      <c r="D22" s="22">
        <v>0.104109555555556</v>
      </c>
      <c r="E22" s="23">
        <f t="shared" si="0"/>
        <v>1.1524991089472631E-4</v>
      </c>
      <c r="F22" s="22">
        <v>3.5675611111110998E-2</v>
      </c>
      <c r="G22" s="22">
        <v>3.5668877777778003E-2</v>
      </c>
      <c r="H22" s="23">
        <f t="shared" si="1"/>
        <v>1.8873771529867104E-4</v>
      </c>
      <c r="I22" s="7">
        <v>1.1723012959235399</v>
      </c>
      <c r="J22" s="7">
        <v>1.1565071654468899</v>
      </c>
      <c r="K22" s="23">
        <f t="shared" si="2"/>
        <v>1.3472756987961345E-2</v>
      </c>
    </row>
    <row r="23" spans="1:11" x14ac:dyDescent="0.25">
      <c r="A23" s="1">
        <v>20</v>
      </c>
      <c r="B23" s="1">
        <v>80102</v>
      </c>
      <c r="C23" s="22">
        <v>7.4735777777777998E-2</v>
      </c>
      <c r="D23" s="22">
        <v>7.4773111111110999E-2</v>
      </c>
      <c r="E23" s="23">
        <f t="shared" si="0"/>
        <v>-4.9953763034364673E-4</v>
      </c>
      <c r="F23" s="22">
        <v>3.4339888888889003E-2</v>
      </c>
      <c r="G23" s="22">
        <v>3.4787444444444003E-2</v>
      </c>
      <c r="H23" s="23">
        <f t="shared" si="1"/>
        <v>-1.3033110182829127E-2</v>
      </c>
      <c r="I23" s="7">
        <v>1.03411253155859</v>
      </c>
      <c r="J23" s="7">
        <v>1.0762338423297899</v>
      </c>
      <c r="K23" s="23">
        <f t="shared" si="2"/>
        <v>-4.0731844442224982E-2</v>
      </c>
    </row>
    <row r="24" spans="1:11" x14ac:dyDescent="0.25">
      <c r="A24" s="1">
        <v>21</v>
      </c>
      <c r="B24" s="1">
        <v>80111</v>
      </c>
      <c r="C24" s="22">
        <v>0.10405</v>
      </c>
      <c r="D24" s="22">
        <v>0.10405</v>
      </c>
      <c r="E24" s="23">
        <f t="shared" si="0"/>
        <v>0</v>
      </c>
      <c r="F24" s="22">
        <v>2.9021564102563999E-2</v>
      </c>
      <c r="G24" s="22">
        <v>2.9021564102563999E-2</v>
      </c>
      <c r="H24" s="23">
        <f t="shared" si="1"/>
        <v>0</v>
      </c>
      <c r="I24" s="7">
        <v>1.31187848561793</v>
      </c>
      <c r="J24" s="7">
        <v>1.31187848561793</v>
      </c>
      <c r="K24" s="23">
        <f t="shared" si="2"/>
        <v>0</v>
      </c>
    </row>
    <row r="25" spans="1:11" x14ac:dyDescent="0.25">
      <c r="A25" s="1">
        <v>22</v>
      </c>
      <c r="B25" s="1">
        <v>80112</v>
      </c>
      <c r="C25" s="22">
        <v>0.10400022222222199</v>
      </c>
      <c r="D25" s="22">
        <v>0.10400022222222199</v>
      </c>
      <c r="E25" s="23">
        <f t="shared" si="0"/>
        <v>0</v>
      </c>
      <c r="F25" s="22">
        <v>1.3512944444444E-2</v>
      </c>
      <c r="G25" s="22">
        <v>1.3512944444444E-2</v>
      </c>
      <c r="H25" s="23">
        <f t="shared" si="1"/>
        <v>0</v>
      </c>
      <c r="I25" s="7">
        <v>1.3353587449472899</v>
      </c>
      <c r="J25" s="7">
        <v>1.3353587449472899</v>
      </c>
      <c r="K25" s="23">
        <f t="shared" si="2"/>
        <v>0</v>
      </c>
    </row>
    <row r="26" spans="1:11" x14ac:dyDescent="0.25">
      <c r="A26" s="1">
        <v>23</v>
      </c>
      <c r="B26" s="1">
        <v>80121</v>
      </c>
      <c r="C26" s="22">
        <v>8.8894666666666997E-2</v>
      </c>
      <c r="D26" s="22">
        <v>8.8895555555556005E-2</v>
      </c>
      <c r="E26" s="23">
        <f t="shared" si="0"/>
        <v>-9.9993500435928668E-6</v>
      </c>
      <c r="F26" s="22">
        <v>4.7642999999999998E-2</v>
      </c>
      <c r="G26" s="22">
        <v>4.8714555555555997E-2</v>
      </c>
      <c r="H26" s="23">
        <f t="shared" si="1"/>
        <v>-2.2491353515857501E-2</v>
      </c>
      <c r="I26" s="7">
        <v>1.0581800565239099</v>
      </c>
      <c r="J26" s="7">
        <v>1.3230665018225101</v>
      </c>
      <c r="K26" s="23">
        <f t="shared" si="2"/>
        <v>-0.25032265885707983</v>
      </c>
    </row>
    <row r="27" spans="1:11" x14ac:dyDescent="0.25">
      <c r="A27" s="1">
        <v>24</v>
      </c>
      <c r="B27" s="1">
        <v>80122</v>
      </c>
      <c r="C27" s="22">
        <v>8.2202051282051006E-2</v>
      </c>
      <c r="D27" s="22">
        <v>8.2234871794872003E-2</v>
      </c>
      <c r="E27" s="23">
        <f t="shared" si="0"/>
        <v>-3.992663480912827E-4</v>
      </c>
      <c r="F27" s="22">
        <v>5.5475999999999998E-2</v>
      </c>
      <c r="G27" s="22">
        <v>5.6552555555556001E-2</v>
      </c>
      <c r="H27" s="23">
        <f t="shared" si="1"/>
        <v>-1.9405789089984929E-2</v>
      </c>
      <c r="I27" s="7">
        <v>1.26575661554656</v>
      </c>
      <c r="J27" s="7">
        <v>1.35277025214784</v>
      </c>
      <c r="K27" s="23">
        <f t="shared" si="2"/>
        <v>-6.8744366438651394E-2</v>
      </c>
    </row>
    <row r="28" spans="1:11" x14ac:dyDescent="0.25">
      <c r="A28" s="1">
        <v>25</v>
      </c>
      <c r="B28" s="1">
        <v>80131</v>
      </c>
      <c r="C28" s="22">
        <v>8.5781111111111003E-2</v>
      </c>
      <c r="D28" s="22">
        <v>8.5797111111111005E-2</v>
      </c>
      <c r="E28" s="23">
        <f t="shared" si="0"/>
        <v>-1.8652124917427988E-4</v>
      </c>
      <c r="F28" s="22">
        <v>4.2483444444443998E-2</v>
      </c>
      <c r="G28" s="22">
        <v>4.2543888888888999E-2</v>
      </c>
      <c r="H28" s="23">
        <f t="shared" si="1"/>
        <v>-1.4227764541089691E-3</v>
      </c>
      <c r="I28" s="7">
        <v>0.99190751509653297</v>
      </c>
      <c r="J28" s="7">
        <v>1.0694446059631499</v>
      </c>
      <c r="K28" s="23">
        <f t="shared" si="2"/>
        <v>-7.8169677804155985E-2</v>
      </c>
    </row>
    <row r="29" spans="1:11" x14ac:dyDescent="0.25">
      <c r="A29" s="1">
        <v>26</v>
      </c>
      <c r="B29" s="1">
        <v>80132</v>
      </c>
      <c r="C29" s="22">
        <v>7.6759333333332999E-2</v>
      </c>
      <c r="D29" s="22">
        <v>7.6805555555556002E-2</v>
      </c>
      <c r="E29" s="23">
        <f t="shared" si="0"/>
        <v>-6.0217070961623726E-4</v>
      </c>
      <c r="F29" s="22">
        <v>3.9680222222221999E-2</v>
      </c>
      <c r="G29" s="22">
        <v>3.9103555555556002E-2</v>
      </c>
      <c r="H29" s="23">
        <f t="shared" si="1"/>
        <v>1.4532848718348351E-2</v>
      </c>
      <c r="I29" s="7">
        <v>0.64343055965514295</v>
      </c>
      <c r="J29" s="7">
        <v>0.83508152645693501</v>
      </c>
      <c r="K29" s="23">
        <f t="shared" si="2"/>
        <v>-0.29785804221750128</v>
      </c>
    </row>
    <row r="30" spans="1:11" x14ac:dyDescent="0.25">
      <c r="A30" s="1">
        <v>27</v>
      </c>
      <c r="B30" s="1">
        <v>80141</v>
      </c>
      <c r="C30" s="22">
        <v>0.104020888888889</v>
      </c>
      <c r="D30" s="22">
        <v>0.104102666666667</v>
      </c>
      <c r="E30" s="23">
        <f t="shared" si="0"/>
        <v>-7.8616688101321337E-4</v>
      </c>
      <c r="F30" s="22">
        <v>5.1444777777777999E-2</v>
      </c>
      <c r="G30" s="22">
        <v>4.1850666666667001E-2</v>
      </c>
      <c r="H30" s="23">
        <f t="shared" si="1"/>
        <v>0.18649339205145238</v>
      </c>
      <c r="I30" s="7">
        <v>1.41192659540084</v>
      </c>
      <c r="J30" s="7">
        <v>1.4525204325198999</v>
      </c>
      <c r="K30" s="23">
        <f t="shared" si="2"/>
        <v>-2.8750671069791366E-2</v>
      </c>
    </row>
    <row r="31" spans="1:11" x14ac:dyDescent="0.25">
      <c r="A31" s="1">
        <v>28</v>
      </c>
      <c r="B31" s="1">
        <v>80142</v>
      </c>
      <c r="C31" s="22">
        <v>7.5441025641026005E-2</v>
      </c>
      <c r="D31" s="22">
        <v>7.5495128205128006E-2</v>
      </c>
      <c r="E31" s="23">
        <f t="shared" si="0"/>
        <v>-7.1715043164232546E-4</v>
      </c>
      <c r="F31" s="22">
        <v>3.9110555555556002E-2</v>
      </c>
      <c r="G31" s="22">
        <v>3.9121222222222002E-2</v>
      </c>
      <c r="H31" s="23">
        <f t="shared" si="1"/>
        <v>-2.7273114673218544E-4</v>
      </c>
      <c r="I31" s="7">
        <v>1.17375786499302</v>
      </c>
      <c r="J31" s="7">
        <v>1.37214856256421</v>
      </c>
      <c r="K31" s="23">
        <f t="shared" si="2"/>
        <v>-0.16902182595587528</v>
      </c>
    </row>
    <row r="32" spans="1:11" x14ac:dyDescent="0.25">
      <c r="A32" s="1">
        <v>29</v>
      </c>
      <c r="B32" s="1">
        <v>80151</v>
      </c>
      <c r="C32" s="22">
        <v>0.104047555555556</v>
      </c>
      <c r="D32" s="22">
        <v>0.104058222222222</v>
      </c>
      <c r="E32" s="23">
        <f t="shared" si="0"/>
        <v>-1.0251722502310254E-4</v>
      </c>
      <c r="F32" s="22">
        <v>9.0052307692309996E-3</v>
      </c>
      <c r="G32" s="22">
        <v>8.8724102564099998E-3</v>
      </c>
      <c r="H32" s="23">
        <f t="shared" si="1"/>
        <v>1.4749262536926848E-2</v>
      </c>
      <c r="I32" s="7">
        <v>0.90570167951206904</v>
      </c>
      <c r="J32" s="7">
        <v>0.88244709273926403</v>
      </c>
      <c r="K32" s="23">
        <f t="shared" si="2"/>
        <v>2.5675768632043402E-2</v>
      </c>
    </row>
    <row r="33" spans="1:11" x14ac:dyDescent="0.25">
      <c r="A33" s="1">
        <v>30</v>
      </c>
      <c r="B33" s="1">
        <v>80152</v>
      </c>
      <c r="C33" s="22">
        <v>0.104170444444444</v>
      </c>
      <c r="D33" s="22">
        <v>0.104057111111111</v>
      </c>
      <c r="E33" s="23">
        <f t="shared" si="0"/>
        <v>1.0879605432943707E-3</v>
      </c>
      <c r="F33" s="22">
        <v>4.9044222222222003E-2</v>
      </c>
      <c r="G33" s="22">
        <v>4.8955666666667001E-2</v>
      </c>
      <c r="H33" s="23">
        <f t="shared" si="1"/>
        <v>1.8056266679844959E-3</v>
      </c>
      <c r="I33" s="7">
        <v>0.88629807973401697</v>
      </c>
      <c r="J33" s="7">
        <v>0.99219523322060099</v>
      </c>
      <c r="K33" s="23">
        <f t="shared" si="2"/>
        <v>-0.11948254871359346</v>
      </c>
    </row>
    <row r="34" spans="1:11" x14ac:dyDescent="0.25">
      <c r="A34" s="1">
        <v>31</v>
      </c>
      <c r="B34" s="1">
        <v>80161</v>
      </c>
      <c r="C34" s="22">
        <v>0.104162444444444</v>
      </c>
      <c r="D34" s="22">
        <v>0.10411688888888899</v>
      </c>
      <c r="E34" s="23">
        <f t="shared" si="0"/>
        <v>4.3735106062439737E-4</v>
      </c>
      <c r="F34" s="22">
        <v>2.7108717948718001E-2</v>
      </c>
      <c r="G34" s="22">
        <v>2.7050769230769E-2</v>
      </c>
      <c r="H34" s="23">
        <f t="shared" si="1"/>
        <v>2.1376414059352971E-3</v>
      </c>
      <c r="I34" s="7">
        <v>2.7181844065263299</v>
      </c>
      <c r="J34" s="7">
        <v>4.2197347770554501</v>
      </c>
      <c r="K34" s="23">
        <f t="shared" si="2"/>
        <v>-0.55240930928891907</v>
      </c>
    </row>
    <row r="35" spans="1:11" x14ac:dyDescent="0.25">
      <c r="A35" s="1">
        <v>32</v>
      </c>
      <c r="B35" s="1">
        <v>80162</v>
      </c>
      <c r="C35" s="22">
        <v>7.5995897435897006E-2</v>
      </c>
      <c r="D35" s="22">
        <v>7.6897435897436001E-2</v>
      </c>
      <c r="E35" s="23">
        <f t="shared" si="0"/>
        <v>-1.186298855539469E-2</v>
      </c>
      <c r="F35" s="22">
        <v>5.7151794871795003E-2</v>
      </c>
      <c r="G35" s="22">
        <v>4.3554615384614997E-2</v>
      </c>
      <c r="H35" s="23">
        <f t="shared" si="1"/>
        <v>0.2379134289252279</v>
      </c>
      <c r="I35" s="7">
        <v>4.1606974018364902</v>
      </c>
      <c r="J35" s="7">
        <v>4.2697309953165599</v>
      </c>
      <c r="K35" s="23">
        <f t="shared" si="2"/>
        <v>-2.6205605202614196E-2</v>
      </c>
    </row>
    <row r="36" spans="1:11" x14ac:dyDescent="0.25">
      <c r="A36" s="1">
        <v>33</v>
      </c>
      <c r="B36" s="1">
        <v>80171</v>
      </c>
      <c r="C36" s="22">
        <v>0.10411266666666701</v>
      </c>
      <c r="D36" s="22">
        <v>0.10410311111111099</v>
      </c>
      <c r="E36" s="23">
        <f t="shared" si="0"/>
        <v>9.1780912562790191E-5</v>
      </c>
      <c r="F36" s="22">
        <v>3.1867777777778002E-2</v>
      </c>
      <c r="G36" s="22">
        <v>3.1861777777778003E-2</v>
      </c>
      <c r="H36" s="23">
        <f t="shared" si="1"/>
        <v>1.8827795404620192E-4</v>
      </c>
      <c r="I36" s="7">
        <v>1.00436964224022</v>
      </c>
      <c r="J36" s="7">
        <v>1.13466498702675</v>
      </c>
      <c r="K36" s="23">
        <f t="shared" si="2"/>
        <v>-0.12972847775039248</v>
      </c>
    </row>
    <row r="37" spans="1:11" x14ac:dyDescent="0.25">
      <c r="A37" s="1">
        <v>34</v>
      </c>
      <c r="B37" s="1">
        <v>80172</v>
      </c>
      <c r="C37" s="22">
        <v>0.104269555555556</v>
      </c>
      <c r="D37" s="22">
        <v>0.104076444444444</v>
      </c>
      <c r="E37" s="23">
        <f t="shared" si="0"/>
        <v>1.8520373476523788E-3</v>
      </c>
      <c r="F37" s="22">
        <v>3.2550777777777998E-2</v>
      </c>
      <c r="G37" s="22">
        <v>3.3203444444444001E-2</v>
      </c>
      <c r="H37" s="23">
        <f t="shared" si="1"/>
        <v>-2.0050724167690104E-2</v>
      </c>
      <c r="I37" s="7">
        <v>1.3441159179169899</v>
      </c>
      <c r="J37" s="7">
        <v>1.6063463371931199</v>
      </c>
      <c r="K37" s="23">
        <f t="shared" si="2"/>
        <v>-0.19509509245490897</v>
      </c>
    </row>
    <row r="38" spans="1:11" x14ac:dyDescent="0.25">
      <c r="A38" s="1">
        <v>35</v>
      </c>
      <c r="B38" s="1">
        <v>80181</v>
      </c>
      <c r="C38" s="22">
        <v>0.104192888888889</v>
      </c>
      <c r="D38" s="22">
        <v>0.104198222222222</v>
      </c>
      <c r="E38" s="23">
        <f t="shared" si="0"/>
        <v>-5.1187114493809646E-5</v>
      </c>
      <c r="F38" s="22">
        <v>1.5205822222222E-2</v>
      </c>
      <c r="G38" s="22">
        <v>1.5208444444444E-2</v>
      </c>
      <c r="H38" s="23">
        <f t="shared" si="1"/>
        <v>-1.7244856500874152E-4</v>
      </c>
      <c r="I38" s="7">
        <v>1.1651743159657499</v>
      </c>
      <c r="J38" s="7">
        <v>1.2242925908820299</v>
      </c>
      <c r="K38" s="23">
        <f t="shared" si="2"/>
        <v>-5.0737708603952561E-2</v>
      </c>
    </row>
    <row r="39" spans="1:11" x14ac:dyDescent="0.25">
      <c r="A39" s="1">
        <v>36</v>
      </c>
      <c r="B39" s="1">
        <v>80182</v>
      </c>
      <c r="C39" s="22">
        <v>9.2318888888889006E-2</v>
      </c>
      <c r="D39" s="22">
        <v>9.2064444444444005E-2</v>
      </c>
      <c r="E39" s="23">
        <f t="shared" si="0"/>
        <v>2.7561471710436138E-3</v>
      </c>
      <c r="F39" s="22">
        <v>6.4213111111110999E-2</v>
      </c>
      <c r="G39" s="22">
        <v>6.2148111111111001E-2</v>
      </c>
      <c r="H39" s="23">
        <f t="shared" si="1"/>
        <v>3.2158541523191884E-2</v>
      </c>
      <c r="I39" s="7">
        <v>1.4296897000997399</v>
      </c>
      <c r="J39" s="7">
        <v>1.49891624237332</v>
      </c>
      <c r="K39" s="23">
        <f t="shared" si="2"/>
        <v>-4.8420676366872181E-2</v>
      </c>
    </row>
    <row r="40" spans="1:11" x14ac:dyDescent="0.25">
      <c r="A40" s="1">
        <v>37</v>
      </c>
      <c r="B40" s="1">
        <v>80191</v>
      </c>
      <c r="C40" s="22">
        <v>6.0046153846153999E-2</v>
      </c>
      <c r="D40" s="22">
        <v>6.0025641025641001E-2</v>
      </c>
      <c r="E40" s="23">
        <f t="shared" si="0"/>
        <v>3.4161755914549711E-4</v>
      </c>
      <c r="F40" s="22">
        <v>1.7603769230768999E-2</v>
      </c>
      <c r="G40" s="22">
        <v>1.7778192307691999E-2</v>
      </c>
      <c r="H40" s="23">
        <f t="shared" si="1"/>
        <v>-9.9082801323100329E-3</v>
      </c>
      <c r="I40" s="7">
        <v>1.6788213190435699</v>
      </c>
      <c r="J40" s="7">
        <v>1.8107028616290599</v>
      </c>
      <c r="K40" s="23">
        <f t="shared" si="2"/>
        <v>-7.8556032788899388E-2</v>
      </c>
    </row>
    <row r="41" spans="1:11" x14ac:dyDescent="0.25">
      <c r="A41" s="1">
        <v>38</v>
      </c>
      <c r="B41" s="1">
        <v>80192</v>
      </c>
      <c r="C41" s="22">
        <v>0.104184</v>
      </c>
      <c r="D41" s="22">
        <v>0.104103777777778</v>
      </c>
      <c r="E41" s="23">
        <f t="shared" si="0"/>
        <v>7.7000520446513475E-4</v>
      </c>
      <c r="F41" s="22">
        <v>1.2571577777778E-2</v>
      </c>
      <c r="G41" s="22">
        <v>1.25956E-2</v>
      </c>
      <c r="H41" s="23">
        <f t="shared" si="1"/>
        <v>-1.910835906727822E-3</v>
      </c>
      <c r="I41" s="7">
        <v>1.65731329562257</v>
      </c>
      <c r="J41" s="7">
        <v>1.5990810056517999</v>
      </c>
      <c r="K41" s="23">
        <f t="shared" si="2"/>
        <v>3.5136561158700626E-2</v>
      </c>
    </row>
    <row r="42" spans="1:11" x14ac:dyDescent="0.25">
      <c r="A42" s="1">
        <v>39</v>
      </c>
      <c r="B42" s="1">
        <v>80201</v>
      </c>
      <c r="C42" s="22">
        <v>0.104052666666667</v>
      </c>
      <c r="D42" s="22">
        <v>0.10408933333333301</v>
      </c>
      <c r="E42" s="23">
        <f t="shared" si="0"/>
        <v>-3.5238565084993534E-4</v>
      </c>
      <c r="F42" s="22">
        <v>3.4828111111110997E-2</v>
      </c>
      <c r="G42" s="22">
        <v>3.4697777777778001E-2</v>
      </c>
      <c r="H42" s="23">
        <f t="shared" si="1"/>
        <v>3.7421878240022329E-3</v>
      </c>
      <c r="I42" s="7">
        <v>1.2933847527067901</v>
      </c>
      <c r="J42" s="7">
        <v>1.39219157172692</v>
      </c>
      <c r="K42" s="23">
        <f t="shared" si="2"/>
        <v>-7.6393987800882454E-2</v>
      </c>
    </row>
    <row r="43" spans="1:11" x14ac:dyDescent="0.25">
      <c r="A43" s="1">
        <v>40</v>
      </c>
      <c r="B43" s="1">
        <v>80202</v>
      </c>
      <c r="C43" s="22">
        <v>0.11823589743589701</v>
      </c>
      <c r="D43" s="22">
        <v>0.118666666666667</v>
      </c>
      <c r="E43" s="23">
        <f t="shared" si="0"/>
        <v>-3.6433032616303733E-3</v>
      </c>
      <c r="F43" s="22">
        <v>7.6926888888889003E-2</v>
      </c>
      <c r="G43" s="22">
        <v>7.6874333333333003E-2</v>
      </c>
      <c r="H43" s="23">
        <f t="shared" si="1"/>
        <v>6.8318836644894762E-4</v>
      </c>
      <c r="I43" s="7">
        <v>1.24930895758254</v>
      </c>
      <c r="J43" s="7">
        <v>1.39246836724477</v>
      </c>
      <c r="K43" s="23">
        <f t="shared" si="2"/>
        <v>-0.11459087745536445</v>
      </c>
    </row>
    <row r="44" spans="1:11" x14ac:dyDescent="0.25">
      <c r="A44" s="1">
        <v>41</v>
      </c>
      <c r="B44" s="1">
        <v>80211</v>
      </c>
      <c r="C44" s="22">
        <v>0.104086222222222</v>
      </c>
      <c r="D44" s="22">
        <v>0.104048666666667</v>
      </c>
      <c r="E44" s="23">
        <f t="shared" si="0"/>
        <v>3.6081197639029587E-4</v>
      </c>
      <c r="F44" s="22">
        <v>4.2286461538462002E-2</v>
      </c>
      <c r="G44" s="22">
        <v>4.2273999999999999E-2</v>
      </c>
      <c r="H44" s="23">
        <f t="shared" si="1"/>
        <v>2.9469333703100202E-4</v>
      </c>
      <c r="I44" s="7">
        <v>1.2830753043360501</v>
      </c>
      <c r="J44" s="7">
        <v>1.75730035444545</v>
      </c>
      <c r="K44" s="23">
        <f t="shared" si="2"/>
        <v>-0.36960032548892052</v>
      </c>
    </row>
    <row r="45" spans="1:11" x14ac:dyDescent="0.25">
      <c r="A45" s="1">
        <v>42</v>
      </c>
      <c r="B45" s="1">
        <v>80212</v>
      </c>
      <c r="C45" s="22">
        <v>7.8403589743590005E-2</v>
      </c>
      <c r="D45" s="22">
        <v>7.8405384615385001E-2</v>
      </c>
      <c r="E45" s="23">
        <f t="shared" si="0"/>
        <v>-2.2892724693686019E-5</v>
      </c>
      <c r="F45" s="22">
        <v>5.0994999999999999E-2</v>
      </c>
      <c r="G45" s="22">
        <v>5.0962222222221999E-2</v>
      </c>
      <c r="H45" s="23">
        <f t="shared" si="1"/>
        <v>6.4276454119030198E-4</v>
      </c>
      <c r="I45" s="7">
        <v>1.0987305321683201</v>
      </c>
      <c r="J45" s="7">
        <v>1.4784673623084801</v>
      </c>
      <c r="K45" s="23">
        <f t="shared" si="2"/>
        <v>-0.34561416018062036</v>
      </c>
    </row>
    <row r="46" spans="1:11" x14ac:dyDescent="0.25">
      <c r="A46" s="1">
        <v>43</v>
      </c>
      <c r="B46" s="1">
        <v>80221</v>
      </c>
      <c r="C46" s="22">
        <v>0.103466222222222</v>
      </c>
      <c r="D46" s="22">
        <v>0.103538444444444</v>
      </c>
      <c r="E46" s="23">
        <f t="shared" si="0"/>
        <v>-6.9802705337868151E-4</v>
      </c>
      <c r="F46" s="22">
        <v>8.8600555555556001E-2</v>
      </c>
      <c r="G46" s="22">
        <v>8.8703222222222003E-2</v>
      </c>
      <c r="H46" s="23">
        <f t="shared" si="1"/>
        <v>-1.1587587236021951E-3</v>
      </c>
      <c r="I46" s="7">
        <v>2.4209910524764902</v>
      </c>
      <c r="J46" s="7">
        <v>2.41866571642029</v>
      </c>
      <c r="K46" s="23">
        <f t="shared" si="2"/>
        <v>9.6048932267695452E-4</v>
      </c>
    </row>
    <row r="47" spans="1:11" x14ac:dyDescent="0.25">
      <c r="A47" s="1">
        <v>44</v>
      </c>
      <c r="B47" s="1">
        <v>80222</v>
      </c>
      <c r="C47" s="22">
        <v>0.104122666666667</v>
      </c>
      <c r="D47" s="22">
        <v>0.104110666666667</v>
      </c>
      <c r="E47" s="23">
        <f t="shared" si="0"/>
        <v>1.1524868104285412E-4</v>
      </c>
      <c r="F47" s="22">
        <v>1.4552888888890001E-3</v>
      </c>
      <c r="G47" s="22">
        <v>1.4584144444439999E-3</v>
      </c>
      <c r="H47" s="23">
        <f t="shared" si="1"/>
        <v>-2.1477217196277766E-3</v>
      </c>
      <c r="I47" s="7">
        <v>1.4086988725201699</v>
      </c>
      <c r="J47" s="7">
        <v>1.43453004370523</v>
      </c>
      <c r="K47" s="23">
        <f t="shared" si="2"/>
        <v>-1.8336900588873162E-2</v>
      </c>
    </row>
    <row r="48" spans="1:11" x14ac:dyDescent="0.25">
      <c r="A48" s="1">
        <v>45</v>
      </c>
      <c r="B48" s="1">
        <v>80231</v>
      </c>
      <c r="C48" s="22">
        <v>0.104118888888889</v>
      </c>
      <c r="D48" s="22">
        <v>0.104109555555556</v>
      </c>
      <c r="E48" s="23">
        <f t="shared" si="0"/>
        <v>8.9641115388394726E-5</v>
      </c>
      <c r="F48" s="22">
        <v>2.5215384615385E-2</v>
      </c>
      <c r="G48" s="22">
        <v>2.5216794871795001E-2</v>
      </c>
      <c r="H48" s="23">
        <f t="shared" si="1"/>
        <v>-5.5928411622986385E-5</v>
      </c>
      <c r="I48" s="7">
        <v>2.1563276454933602</v>
      </c>
      <c r="J48" s="7">
        <v>2.0840296606415301</v>
      </c>
      <c r="K48" s="23">
        <f t="shared" si="2"/>
        <v>3.35282928839363E-2</v>
      </c>
    </row>
    <row r="49" spans="1:11" x14ac:dyDescent="0.25">
      <c r="A49" s="1">
        <v>46</v>
      </c>
      <c r="B49" s="1">
        <v>80232</v>
      </c>
      <c r="C49" s="22">
        <v>0.104115777777778</v>
      </c>
      <c r="D49" s="22">
        <v>0.104100444444444</v>
      </c>
      <c r="E49" s="23">
        <f t="shared" si="0"/>
        <v>1.4727194726175523E-4</v>
      </c>
      <c r="F49" s="22">
        <v>9.1032333333332993E-2</v>
      </c>
      <c r="G49" s="22">
        <v>9.1890555555556003E-2</v>
      </c>
      <c r="H49" s="23">
        <f t="shared" si="1"/>
        <v>-9.4276636750643111E-3</v>
      </c>
      <c r="I49" s="7">
        <v>2.1462294543016198</v>
      </c>
      <c r="J49" s="7">
        <v>2.1758491854143398</v>
      </c>
      <c r="K49" s="23">
        <f t="shared" si="2"/>
        <v>-1.3800822206290243E-2</v>
      </c>
    </row>
    <row r="50" spans="1:11" x14ac:dyDescent="0.25">
      <c r="A50" s="1">
        <v>47</v>
      </c>
      <c r="B50" s="1">
        <v>80241</v>
      </c>
      <c r="C50" s="22">
        <v>0.118612564102564</v>
      </c>
      <c r="D50" s="22">
        <v>0.11889256410256401</v>
      </c>
      <c r="E50" s="23">
        <f t="shared" si="0"/>
        <v>-2.3606268199200813E-3</v>
      </c>
      <c r="F50" s="22">
        <v>8.4850769230768994E-2</v>
      </c>
      <c r="G50" s="22">
        <v>8.4316923076922998E-2</v>
      </c>
      <c r="H50" s="23">
        <f t="shared" si="1"/>
        <v>6.2915888528257457E-3</v>
      </c>
      <c r="I50" s="7">
        <v>2.67447829446118</v>
      </c>
      <c r="J50" s="7">
        <v>2.7587960319075102</v>
      </c>
      <c r="K50" s="23">
        <f t="shared" si="2"/>
        <v>-3.1526798187501266E-2</v>
      </c>
    </row>
    <row r="51" spans="1:11" x14ac:dyDescent="0.25">
      <c r="A51" s="1">
        <v>48</v>
      </c>
      <c r="B51" s="1">
        <v>80242</v>
      </c>
      <c r="C51" s="22">
        <v>7.7195641025640999E-2</v>
      </c>
      <c r="D51" s="22">
        <v>7.7238974358974005E-2</v>
      </c>
      <c r="E51" s="23">
        <f t="shared" si="0"/>
        <v>-5.6134430334755776E-4</v>
      </c>
      <c r="F51" s="22">
        <v>5.5543846153845999E-2</v>
      </c>
      <c r="G51" s="22">
        <v>5.2518717948717999E-2</v>
      </c>
      <c r="H51" s="23">
        <f t="shared" si="1"/>
        <v>5.4463786982791293E-2</v>
      </c>
      <c r="I51" s="7">
        <v>2.81196514644573</v>
      </c>
      <c r="J51" s="7">
        <v>2.8565173591759501</v>
      </c>
      <c r="K51" s="23">
        <f t="shared" si="2"/>
        <v>-1.5843799766342471E-2</v>
      </c>
    </row>
    <row r="52" spans="1:11" x14ac:dyDescent="0.25">
      <c r="A52" s="1">
        <v>49</v>
      </c>
      <c r="B52" s="1">
        <v>80251</v>
      </c>
      <c r="C52" s="22">
        <v>0.10406111111111099</v>
      </c>
      <c r="D52" s="22">
        <v>0.10406111111111099</v>
      </c>
      <c r="E52" s="23">
        <f t="shared" si="0"/>
        <v>0</v>
      </c>
      <c r="F52" s="22">
        <v>2.7184948717948999E-2</v>
      </c>
      <c r="G52" s="22">
        <v>2.7184948717948999E-2</v>
      </c>
      <c r="H52" s="23">
        <f t="shared" si="1"/>
        <v>0</v>
      </c>
      <c r="I52" s="7">
        <v>1.7855594267309201</v>
      </c>
      <c r="J52" s="7">
        <v>1.7855594267309201</v>
      </c>
      <c r="K52" s="23">
        <f t="shared" si="2"/>
        <v>0</v>
      </c>
    </row>
    <row r="53" spans="1:11" x14ac:dyDescent="0.25">
      <c r="A53" s="1">
        <v>50</v>
      </c>
      <c r="B53" s="1">
        <v>80252</v>
      </c>
      <c r="C53" s="22">
        <v>0.104035777777778</v>
      </c>
      <c r="D53" s="22">
        <v>0.104035777777778</v>
      </c>
      <c r="E53" s="23">
        <f t="shared" si="0"/>
        <v>0</v>
      </c>
      <c r="F53" s="22">
        <v>2.5870128205128001E-2</v>
      </c>
      <c r="G53" s="22">
        <v>2.5870128205128001E-2</v>
      </c>
      <c r="H53" s="23">
        <f t="shared" si="1"/>
        <v>0</v>
      </c>
      <c r="I53" s="7">
        <v>3.5724723807982399</v>
      </c>
      <c r="J53" s="7">
        <v>3.5724723807982399</v>
      </c>
      <c r="K53" s="23">
        <f t="shared" si="2"/>
        <v>0</v>
      </c>
    </row>
    <row r="54" spans="1:11" x14ac:dyDescent="0.25">
      <c r="A54" s="1">
        <v>51</v>
      </c>
      <c r="B54" s="1">
        <v>80261</v>
      </c>
      <c r="C54" s="22">
        <v>0.104099555555556</v>
      </c>
      <c r="D54" s="22">
        <v>0.104041555555556</v>
      </c>
      <c r="E54" s="23">
        <f t="shared" si="0"/>
        <v>5.5715895894530476E-4</v>
      </c>
      <c r="F54" s="22">
        <v>4.3420769230768999E-2</v>
      </c>
      <c r="G54" s="22">
        <v>4.3399487179487002E-2</v>
      </c>
      <c r="H54" s="23">
        <f t="shared" si="1"/>
        <v>4.9013528914904569E-4</v>
      </c>
      <c r="I54" s="7">
        <v>1.75479913612602</v>
      </c>
      <c r="J54" s="7">
        <v>1.9458161882953899</v>
      </c>
      <c r="K54" s="23">
        <f t="shared" si="2"/>
        <v>-0.10885408377341037</v>
      </c>
    </row>
    <row r="55" spans="1:11" x14ac:dyDescent="0.25">
      <c r="A55" s="1">
        <v>52</v>
      </c>
      <c r="B55" s="1">
        <v>80262</v>
      </c>
      <c r="C55" s="22">
        <v>8.6012666666667001E-2</v>
      </c>
      <c r="D55" s="22">
        <v>8.6013555555555996E-2</v>
      </c>
      <c r="E55" s="23">
        <f t="shared" si="0"/>
        <v>-1.033439519366871E-5</v>
      </c>
      <c r="F55" s="22">
        <v>5.6079555555556E-2</v>
      </c>
      <c r="G55" s="22">
        <v>5.5192777777778E-2</v>
      </c>
      <c r="H55" s="23">
        <f t="shared" si="1"/>
        <v>1.5812853168914672E-2</v>
      </c>
      <c r="I55" s="7">
        <v>1.5900691903550801</v>
      </c>
      <c r="J55" s="7">
        <v>1.8873953497237499</v>
      </c>
      <c r="K55" s="23">
        <f t="shared" si="2"/>
        <v>-0.18698944748578744</v>
      </c>
    </row>
    <row r="56" spans="1:11" x14ac:dyDescent="0.25">
      <c r="A56" s="1">
        <v>53</v>
      </c>
      <c r="B56" s="1">
        <v>80271</v>
      </c>
      <c r="C56" s="22">
        <v>5.4812820512820999E-2</v>
      </c>
      <c r="D56" s="22">
        <v>5.4854358974359002E-2</v>
      </c>
      <c r="E56" s="23">
        <f t="shared" si="0"/>
        <v>-7.5782382934092745E-4</v>
      </c>
      <c r="F56" s="22">
        <v>1.7792188888889001E-2</v>
      </c>
      <c r="G56" s="22">
        <v>1.5368577777778E-2</v>
      </c>
      <c r="H56" s="23">
        <f t="shared" si="1"/>
        <v>0.13621770352407378</v>
      </c>
      <c r="I56" s="7">
        <v>2.0251484381691802</v>
      </c>
      <c r="J56" s="7">
        <v>2.3447700090975601</v>
      </c>
      <c r="K56" s="23">
        <f t="shared" si="2"/>
        <v>-0.1578262436986255</v>
      </c>
    </row>
    <row r="57" spans="1:11" x14ac:dyDescent="0.25">
      <c r="A57" s="1">
        <v>54</v>
      </c>
      <c r="B57" s="1">
        <v>80272</v>
      </c>
      <c r="C57" s="22">
        <v>7.1399230769231006E-2</v>
      </c>
      <c r="D57" s="22">
        <v>7.1300512820513001E-2</v>
      </c>
      <c r="E57" s="23">
        <f t="shared" si="0"/>
        <v>1.3826192194853015E-3</v>
      </c>
      <c r="F57" s="22">
        <v>2.1565388888888998E-2</v>
      </c>
      <c r="G57" s="22">
        <v>2.1702366666667E-2</v>
      </c>
      <c r="H57" s="23">
        <f t="shared" si="1"/>
        <v>-6.3517416024236814E-3</v>
      </c>
      <c r="I57" s="7">
        <v>1.90741491367613</v>
      </c>
      <c r="J57" s="7">
        <v>1.8469760699683999</v>
      </c>
      <c r="K57" s="23">
        <f t="shared" si="2"/>
        <v>3.1686259384041043E-2</v>
      </c>
    </row>
    <row r="58" spans="1:11" x14ac:dyDescent="0.25">
      <c r="A58" s="1">
        <v>55</v>
      </c>
      <c r="B58" s="1">
        <v>80281</v>
      </c>
      <c r="C58" s="22">
        <v>8.9233846153845997E-2</v>
      </c>
      <c r="D58" s="22">
        <v>8.9228717948718006E-2</v>
      </c>
      <c r="E58" s="23">
        <f t="shared" si="0"/>
        <v>5.7469282666014864E-5</v>
      </c>
      <c r="F58" s="22">
        <v>5.0592051282051E-2</v>
      </c>
      <c r="G58" s="22">
        <v>5.3967051282051003E-2</v>
      </c>
      <c r="H58" s="23">
        <f t="shared" si="1"/>
        <v>-6.6710084182678361E-2</v>
      </c>
      <c r="I58" s="7">
        <v>3.3262114179062898</v>
      </c>
      <c r="J58" s="7">
        <v>3.7524258007058302</v>
      </c>
      <c r="K58" s="23">
        <f t="shared" si="2"/>
        <v>-0.12813809143491678</v>
      </c>
    </row>
    <row r="59" spans="1:11" x14ac:dyDescent="0.25">
      <c r="A59" s="1">
        <v>56</v>
      </c>
      <c r="B59" s="1">
        <v>80282</v>
      </c>
      <c r="C59" s="22">
        <v>7.4045897435896998E-2</v>
      </c>
      <c r="D59" s="22">
        <v>7.3897179487178999E-2</v>
      </c>
      <c r="E59" s="23">
        <f t="shared" si="0"/>
        <v>2.0084562935677517E-3</v>
      </c>
      <c r="F59" s="30">
        <v>2.2275346153846E-2</v>
      </c>
      <c r="G59" s="30">
        <v>3.5380794871794997E-2</v>
      </c>
      <c r="H59" s="31">
        <f t="shared" si="1"/>
        <v>-0.58833872333275716</v>
      </c>
      <c r="I59" s="7">
        <v>2.98910967389756</v>
      </c>
      <c r="J59" s="7">
        <v>3.4257154369479701</v>
      </c>
      <c r="K59" s="23">
        <f t="shared" si="2"/>
        <v>-0.14606548794882829</v>
      </c>
    </row>
    <row r="60" spans="1:11" x14ac:dyDescent="0.25">
      <c r="A60" s="1">
        <v>57</v>
      </c>
      <c r="B60" s="1">
        <v>80291</v>
      </c>
      <c r="C60" s="22">
        <v>7.9713111111110999E-2</v>
      </c>
      <c r="D60" s="22">
        <v>7.9713111111110999E-2</v>
      </c>
      <c r="E60" s="23">
        <f t="shared" si="0"/>
        <v>0</v>
      </c>
      <c r="F60" s="22">
        <v>3.2434444444444002E-2</v>
      </c>
      <c r="G60" s="22">
        <v>3.0794555555555998E-2</v>
      </c>
      <c r="H60" s="23">
        <f t="shared" si="1"/>
        <v>5.0560104141660914E-2</v>
      </c>
      <c r="I60" s="7">
        <v>1.3435421344315199</v>
      </c>
      <c r="J60" s="7">
        <v>1.3435421344315199</v>
      </c>
      <c r="K60" s="23">
        <f t="shared" si="2"/>
        <v>0</v>
      </c>
    </row>
    <row r="61" spans="1:11" x14ac:dyDescent="0.25">
      <c r="A61" s="1">
        <v>58</v>
      </c>
      <c r="B61" s="1">
        <v>80292</v>
      </c>
      <c r="C61" s="22">
        <v>9.1495111111110999E-2</v>
      </c>
      <c r="D61" s="22">
        <v>9.1495111111110999E-2</v>
      </c>
      <c r="E61" s="23">
        <f t="shared" si="0"/>
        <v>0</v>
      </c>
      <c r="F61" s="22">
        <v>5.7778222222222002E-2</v>
      </c>
      <c r="G61" s="22">
        <v>5.6980333333333001E-2</v>
      </c>
      <c r="H61" s="23">
        <f t="shared" si="1"/>
        <v>1.3809509157623853E-2</v>
      </c>
      <c r="I61" s="7">
        <v>1.78916786350712</v>
      </c>
      <c r="J61" s="7">
        <v>1.78916786350712</v>
      </c>
      <c r="K61" s="23">
        <f t="shared" si="2"/>
        <v>0</v>
      </c>
    </row>
    <row r="62" spans="1:11" x14ac:dyDescent="0.25">
      <c r="A62" s="1">
        <v>59</v>
      </c>
      <c r="B62" s="1">
        <v>80301</v>
      </c>
      <c r="C62" s="22">
        <v>9.4591794871795004E-2</v>
      </c>
      <c r="D62" s="22">
        <v>9.4591794871795004E-2</v>
      </c>
      <c r="E62" s="23">
        <f t="shared" si="0"/>
        <v>0</v>
      </c>
      <c r="F62" s="22">
        <v>7.2442820512820999E-2</v>
      </c>
      <c r="G62" s="22">
        <v>7.2251282051282006E-2</v>
      </c>
      <c r="H62" s="23">
        <f t="shared" si="1"/>
        <v>2.6439950872025188E-3</v>
      </c>
      <c r="I62" s="7">
        <v>3.6217260352332801</v>
      </c>
      <c r="J62" s="7">
        <v>3.6217260352332801</v>
      </c>
      <c r="K62" s="23">
        <f t="shared" si="2"/>
        <v>0</v>
      </c>
    </row>
    <row r="63" spans="1:11" x14ac:dyDescent="0.25">
      <c r="A63" s="1">
        <v>60</v>
      </c>
      <c r="B63" s="1">
        <v>80302</v>
      </c>
      <c r="C63" s="22">
        <v>7.3248461538461998E-2</v>
      </c>
      <c r="D63" s="22">
        <v>7.3248461538461998E-2</v>
      </c>
      <c r="E63" s="23">
        <f t="shared" si="0"/>
        <v>0</v>
      </c>
      <c r="F63" s="22">
        <v>2.9219102564103001E-2</v>
      </c>
      <c r="G63" s="22">
        <v>2.7529102564103E-2</v>
      </c>
      <c r="H63" s="23">
        <f t="shared" si="1"/>
        <v>5.7838874287543744E-2</v>
      </c>
      <c r="I63" s="7">
        <v>4.77625090434982</v>
      </c>
      <c r="J63" s="7">
        <v>4.77625090434982</v>
      </c>
      <c r="K63" s="23">
        <f t="shared" si="2"/>
        <v>0</v>
      </c>
    </row>
    <row r="65" spans="1:11" x14ac:dyDescent="0.25">
      <c r="D65" s="26" t="s">
        <v>113</v>
      </c>
      <c r="E65" s="27">
        <f>AVERAGE(E4:E63)</f>
        <v>-4.2762661274388841E-4</v>
      </c>
      <c r="G65" s="26" t="s">
        <v>113</v>
      </c>
      <c r="H65" s="27">
        <f>AVERAGE(H4:H63)</f>
        <v>1.2999987700582196E-3</v>
      </c>
      <c r="J65" s="26" t="s">
        <v>113</v>
      </c>
      <c r="K65" s="27">
        <f>AVERAGE(K4:K63)</f>
        <v>-9.6767553032174769E-2</v>
      </c>
    </row>
    <row r="66" spans="1:11" x14ac:dyDescent="0.25">
      <c r="D66" s="26" t="s">
        <v>114</v>
      </c>
      <c r="E66" s="27">
        <f>STDEV(E4:E63)</f>
        <v>1.9932595259728489E-3</v>
      </c>
      <c r="G66" s="26" t="s">
        <v>114</v>
      </c>
      <c r="H66" s="27">
        <f>STDEV(H4:H63)</f>
        <v>9.1954747899454153E-2</v>
      </c>
      <c r="J66" s="26" t="s">
        <v>114</v>
      </c>
      <c r="K66" s="27">
        <f>STDEV(K4:K63)</f>
        <v>0.14592314730952724</v>
      </c>
    </row>
    <row r="71" spans="1:11" x14ac:dyDescent="0.25">
      <c r="A71" s="28" t="s">
        <v>8</v>
      </c>
      <c r="B71" t="s">
        <v>116</v>
      </c>
    </row>
    <row r="72" spans="1:11" x14ac:dyDescent="0.25">
      <c r="B72" t="s">
        <v>115</v>
      </c>
    </row>
    <row r="73" spans="1:11" x14ac:dyDescent="0.25">
      <c r="B73" t="s">
        <v>117</v>
      </c>
    </row>
    <row r="74" spans="1:11" x14ac:dyDescent="0.25">
      <c r="B74" t="s">
        <v>118</v>
      </c>
    </row>
  </sheetData>
  <mergeCells count="6">
    <mergeCell ref="A1:K1"/>
    <mergeCell ref="A2:A3"/>
    <mergeCell ref="B2:B3"/>
    <mergeCell ref="C2:E2"/>
    <mergeCell ref="F2:H2"/>
    <mergeCell ref="I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A56C-809E-4A58-8BBF-93DA4FF46759}">
  <dimension ref="A1:BT66"/>
  <sheetViews>
    <sheetView topLeftCell="B39" workbookViewId="0">
      <selection activeCell="K66" sqref="K66"/>
    </sheetView>
  </sheetViews>
  <sheetFormatPr defaultRowHeight="15" x14ac:dyDescent="0.25"/>
  <cols>
    <col min="2" max="2" width="14.85546875" customWidth="1"/>
    <col min="3" max="3" width="15.28515625" customWidth="1"/>
    <col min="4" max="4" width="14.42578125" customWidth="1"/>
    <col min="5" max="5" width="8.7109375" customWidth="1"/>
    <col min="6" max="6" width="13.7109375" customWidth="1"/>
    <col min="7" max="7" width="14.42578125" customWidth="1"/>
    <col min="8" max="8" width="12.28515625" customWidth="1"/>
    <col min="9" max="9" width="14.28515625" customWidth="1"/>
    <col min="10" max="10" width="15.28515625" customWidth="1"/>
    <col min="11" max="11" width="13.42578125" customWidth="1"/>
  </cols>
  <sheetData>
    <row r="1" spans="1:72" ht="21" x14ac:dyDescent="0.25">
      <c r="A1" s="50" t="s">
        <v>103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72" ht="18.75" x14ac:dyDescent="0.25">
      <c r="A2" s="51" t="s">
        <v>104</v>
      </c>
      <c r="B2" s="51" t="s">
        <v>105</v>
      </c>
      <c r="C2" s="53" t="s">
        <v>106</v>
      </c>
      <c r="D2" s="53"/>
      <c r="E2" s="53"/>
      <c r="F2" s="53" t="s">
        <v>107</v>
      </c>
      <c r="G2" s="53"/>
      <c r="H2" s="53"/>
      <c r="I2" s="53" t="s">
        <v>108</v>
      </c>
      <c r="J2" s="53"/>
      <c r="K2" s="53"/>
    </row>
    <row r="3" spans="1:72" ht="15.75" x14ac:dyDescent="0.25">
      <c r="A3" s="52"/>
      <c r="B3" s="52"/>
      <c r="C3" s="20" t="s">
        <v>109</v>
      </c>
      <c r="D3" s="20" t="s">
        <v>110</v>
      </c>
      <c r="E3" s="29" t="s">
        <v>111</v>
      </c>
      <c r="F3" s="20" t="s">
        <v>109</v>
      </c>
      <c r="G3" s="20" t="s">
        <v>110</v>
      </c>
      <c r="H3" s="29" t="s">
        <v>111</v>
      </c>
      <c r="I3" s="20" t="s">
        <v>109</v>
      </c>
      <c r="J3" s="20" t="s">
        <v>110</v>
      </c>
      <c r="K3" s="29" t="s">
        <v>111</v>
      </c>
      <c r="M3" s="21"/>
    </row>
    <row r="4" spans="1:72" x14ac:dyDescent="0.25">
      <c r="A4" s="1">
        <v>1</v>
      </c>
      <c r="B4" s="1">
        <v>70011</v>
      </c>
      <c r="C4" s="22">
        <v>0.104022</v>
      </c>
      <c r="D4" s="22">
        <v>0.104022</v>
      </c>
      <c r="E4" s="23">
        <f>(C4-D4)/C4</f>
        <v>0</v>
      </c>
      <c r="F4" s="21">
        <v>3.9324935897435999E-2</v>
      </c>
      <c r="G4" s="22">
        <v>3.9324935897435999E-2</v>
      </c>
      <c r="H4" s="23">
        <f>(F4-G4)/F4</f>
        <v>0</v>
      </c>
      <c r="I4" s="7">
        <v>2.1838698362420002</v>
      </c>
      <c r="J4" s="7">
        <v>2.1838698362420002</v>
      </c>
      <c r="K4" s="11">
        <f>(I4-J4)/I4</f>
        <v>0</v>
      </c>
      <c r="M4" s="21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</row>
    <row r="5" spans="1:72" x14ac:dyDescent="0.25">
      <c r="A5" s="1">
        <v>2</v>
      </c>
      <c r="B5" s="1">
        <v>70012</v>
      </c>
      <c r="C5" s="22">
        <v>0.10411244444444399</v>
      </c>
      <c r="D5" s="22">
        <v>0.10411244444444399</v>
      </c>
      <c r="E5" s="23">
        <f t="shared" ref="E5:E63" si="0">(C5-D5)/C5</f>
        <v>0</v>
      </c>
      <c r="F5" s="21">
        <v>6.4746777777778E-2</v>
      </c>
      <c r="G5" s="22">
        <v>6.4746777777778E-2</v>
      </c>
      <c r="H5" s="23">
        <f t="shared" ref="H5:H63" si="1">(F5-G5)/F5</f>
        <v>0</v>
      </c>
      <c r="I5" s="7">
        <v>2.2740035374557701</v>
      </c>
      <c r="J5" s="7">
        <v>2.2740035374557701</v>
      </c>
      <c r="K5" s="11">
        <f t="shared" ref="K5:K63" si="2">(I5-J5)/I5</f>
        <v>0</v>
      </c>
      <c r="M5" s="21"/>
    </row>
    <row r="6" spans="1:72" x14ac:dyDescent="0.25">
      <c r="A6" s="1">
        <v>3</v>
      </c>
      <c r="B6" s="1">
        <v>70021</v>
      </c>
      <c r="C6" s="22">
        <v>7.3042564102564003E-2</v>
      </c>
      <c r="D6" s="22">
        <v>7.3138205128205E-2</v>
      </c>
      <c r="E6" s="23">
        <f t="shared" si="0"/>
        <v>-1.3093875716999846E-3</v>
      </c>
      <c r="F6" s="21">
        <v>6.6656025641026004E-2</v>
      </c>
      <c r="G6" s="22">
        <v>6.5797692307692002E-2</v>
      </c>
      <c r="H6" s="23">
        <f t="shared" si="1"/>
        <v>1.287705537615654E-2</v>
      </c>
      <c r="I6" s="7">
        <v>1.72492936144258</v>
      </c>
      <c r="J6" s="7">
        <v>2.4762036412481101</v>
      </c>
      <c r="K6" s="11">
        <f t="shared" si="2"/>
        <v>-0.43553915690624573</v>
      </c>
      <c r="M6" s="21"/>
    </row>
    <row r="7" spans="1:72" x14ac:dyDescent="0.25">
      <c r="A7" s="1">
        <v>4</v>
      </c>
      <c r="B7" s="1">
        <v>70022</v>
      </c>
      <c r="C7" s="22">
        <v>5.5721538461538003E-2</v>
      </c>
      <c r="D7" s="22">
        <v>5.5724358974358998E-2</v>
      </c>
      <c r="E7" s="23">
        <f t="shared" si="0"/>
        <v>-5.0617999769361577E-5</v>
      </c>
      <c r="F7" s="21">
        <v>1.2490230769231E-2</v>
      </c>
      <c r="G7" s="22">
        <v>1.3455384615385001E-2</v>
      </c>
      <c r="H7" s="23">
        <f t="shared" si="1"/>
        <v>-7.7272699278831944E-2</v>
      </c>
      <c r="I7" s="7">
        <v>1.64008751421943</v>
      </c>
      <c r="J7" s="7">
        <v>2.4214257397106702</v>
      </c>
      <c r="K7" s="11">
        <f t="shared" si="2"/>
        <v>-0.47640032541989324</v>
      </c>
      <c r="M7" s="21"/>
    </row>
    <row r="8" spans="1:72" x14ac:dyDescent="0.25">
      <c r="A8" s="1">
        <v>5</v>
      </c>
      <c r="B8" s="1">
        <v>70031</v>
      </c>
      <c r="C8" s="22">
        <v>0.11014410256410299</v>
      </c>
      <c r="D8" s="22">
        <v>0.110146153846154</v>
      </c>
      <c r="E8" s="23">
        <f t="shared" si="0"/>
        <v>-1.8623621267572009E-5</v>
      </c>
      <c r="F8" s="21">
        <v>9.3543444444443999E-2</v>
      </c>
      <c r="G8" s="22">
        <v>9.2749666666666994E-2</v>
      </c>
      <c r="H8" s="23">
        <f t="shared" si="1"/>
        <v>8.4856590698713721E-3</v>
      </c>
      <c r="I8" s="7">
        <v>3.3060718823790101</v>
      </c>
      <c r="J8" s="7">
        <v>3.3785302919788598</v>
      </c>
      <c r="K8" s="11">
        <f t="shared" si="2"/>
        <v>-2.1916767746655744E-2</v>
      </c>
      <c r="M8" s="21"/>
    </row>
    <row r="9" spans="1:72" x14ac:dyDescent="0.25">
      <c r="A9" s="1">
        <v>6</v>
      </c>
      <c r="B9" s="1">
        <v>70032</v>
      </c>
      <c r="C9" s="22">
        <v>0.10088948717948699</v>
      </c>
      <c r="D9" s="22">
        <v>0.10164128205128201</v>
      </c>
      <c r="E9" s="23">
        <f t="shared" si="0"/>
        <v>-7.4516670944866029E-3</v>
      </c>
      <c r="F9" s="21">
        <v>9.6754615384614995E-2</v>
      </c>
      <c r="G9" s="22">
        <v>9.6198974358973996E-2</v>
      </c>
      <c r="H9" s="23">
        <f t="shared" si="1"/>
        <v>5.7427857413544286E-3</v>
      </c>
      <c r="I9" s="7">
        <v>2.4197413669649901</v>
      </c>
      <c r="J9" s="7">
        <v>2.5646611110796602</v>
      </c>
      <c r="K9" s="11">
        <f t="shared" si="2"/>
        <v>-5.989059247949241E-2</v>
      </c>
      <c r="M9" s="21"/>
    </row>
    <row r="10" spans="1:72" x14ac:dyDescent="0.25">
      <c r="A10" s="1">
        <v>7</v>
      </c>
      <c r="B10" s="1">
        <v>70041</v>
      </c>
      <c r="C10" s="22">
        <v>0.104157777777778</v>
      </c>
      <c r="D10" s="22">
        <v>0.104172666666667</v>
      </c>
      <c r="E10" s="23">
        <f t="shared" si="0"/>
        <v>-1.4294553135302479E-4</v>
      </c>
      <c r="F10" s="21">
        <v>6.2362333333332999E-2</v>
      </c>
      <c r="G10" s="22">
        <v>5.2130897435897001E-2</v>
      </c>
      <c r="H10" s="23">
        <f t="shared" si="1"/>
        <v>0.16406435344149062</v>
      </c>
      <c r="I10" s="7">
        <v>1.08602832889904</v>
      </c>
      <c r="J10" s="7">
        <v>1.0133089502261201</v>
      </c>
      <c r="K10" s="11">
        <f t="shared" si="2"/>
        <v>6.69590071804472E-2</v>
      </c>
      <c r="M10" s="21"/>
    </row>
    <row r="11" spans="1:72" x14ac:dyDescent="0.25">
      <c r="A11" s="1">
        <v>8</v>
      </c>
      <c r="B11" s="1">
        <v>70042</v>
      </c>
      <c r="C11" s="22">
        <v>7.6238461538462005E-2</v>
      </c>
      <c r="D11" s="22">
        <v>7.6361538461537995E-2</v>
      </c>
      <c r="E11" s="23">
        <f t="shared" si="0"/>
        <v>-1.614367874067062E-3</v>
      </c>
      <c r="F11" s="21">
        <v>4.9905888888889E-2</v>
      </c>
      <c r="G11" s="22">
        <v>4.9377555555556001E-2</v>
      </c>
      <c r="H11" s="23">
        <f t="shared" si="1"/>
        <v>1.0586592987238158E-2</v>
      </c>
      <c r="I11" s="7">
        <v>1.8680950896058801</v>
      </c>
      <c r="J11" s="7">
        <v>2.03814017527047</v>
      </c>
      <c r="K11" s="11">
        <f t="shared" si="2"/>
        <v>-9.1025926148365924E-2</v>
      </c>
      <c r="M11" s="21"/>
    </row>
    <row r="12" spans="1:72" x14ac:dyDescent="0.25">
      <c r="A12" s="1">
        <v>9</v>
      </c>
      <c r="B12" s="1">
        <v>70051</v>
      </c>
      <c r="C12" s="22">
        <v>6.2722820512821006E-2</v>
      </c>
      <c r="D12" s="22">
        <v>6.2722820512821006E-2</v>
      </c>
      <c r="E12" s="23">
        <f t="shared" si="0"/>
        <v>0</v>
      </c>
      <c r="F12" s="21">
        <v>2.116108974359E-2</v>
      </c>
      <c r="G12" s="22">
        <v>2.0970333333333001E-2</v>
      </c>
      <c r="H12" s="23">
        <f t="shared" si="1"/>
        <v>9.0144889780443202E-3</v>
      </c>
      <c r="I12" s="7">
        <v>1.9346491127859899</v>
      </c>
      <c r="J12" s="7">
        <v>1.9346491127859899</v>
      </c>
      <c r="K12" s="11">
        <f t="shared" si="2"/>
        <v>0</v>
      </c>
      <c r="M12" s="21"/>
    </row>
    <row r="13" spans="1:72" x14ac:dyDescent="0.25">
      <c r="A13" s="1">
        <v>10</v>
      </c>
      <c r="B13" s="1">
        <v>70052</v>
      </c>
      <c r="C13" s="22">
        <v>0.116864102564103</v>
      </c>
      <c r="D13" s="22">
        <v>0.116864102564103</v>
      </c>
      <c r="E13" s="23">
        <f t="shared" si="0"/>
        <v>0</v>
      </c>
      <c r="F13" s="21">
        <v>7.6251153846153996E-2</v>
      </c>
      <c r="G13" s="22">
        <v>7.6245384615385006E-2</v>
      </c>
      <c r="H13" s="23">
        <f t="shared" si="1"/>
        <v>7.5660897940378293E-5</v>
      </c>
      <c r="I13" s="7">
        <v>2.8936185170640201</v>
      </c>
      <c r="J13" s="7">
        <v>2.8936185170640201</v>
      </c>
      <c r="K13" s="11">
        <f t="shared" si="2"/>
        <v>0</v>
      </c>
      <c r="M13" s="21"/>
    </row>
    <row r="14" spans="1:72" x14ac:dyDescent="0.25">
      <c r="A14" s="1">
        <v>11</v>
      </c>
      <c r="B14" s="1">
        <v>70061</v>
      </c>
      <c r="C14" s="22">
        <v>0.10401933333333301</v>
      </c>
      <c r="D14" s="22">
        <v>0.104015555555556</v>
      </c>
      <c r="E14" s="23">
        <f t="shared" si="0"/>
        <v>3.6318034887802466E-5</v>
      </c>
      <c r="F14" s="21">
        <v>7.0354333333333005E-2</v>
      </c>
      <c r="G14" s="22">
        <v>7.0643888888889006E-2</v>
      </c>
      <c r="H14" s="23">
        <f t="shared" si="1"/>
        <v>-4.1156747827331489E-3</v>
      </c>
      <c r="I14" s="7">
        <v>1.62114389608052</v>
      </c>
      <c r="J14" s="7">
        <v>1.96271854483804</v>
      </c>
      <c r="K14" s="11">
        <f t="shared" si="2"/>
        <v>-0.21069977167563811</v>
      </c>
      <c r="M14" s="21"/>
    </row>
    <row r="15" spans="1:72" x14ac:dyDescent="0.25">
      <c r="A15" s="1">
        <v>12</v>
      </c>
      <c r="B15" s="1">
        <v>70062</v>
      </c>
      <c r="C15" s="22">
        <v>0.104053333333333</v>
      </c>
      <c r="D15" s="22">
        <v>0.104117777777778</v>
      </c>
      <c r="E15" s="23">
        <f t="shared" si="0"/>
        <v>-6.1934050914600478E-4</v>
      </c>
      <c r="F15" s="21" t="s">
        <v>112</v>
      </c>
      <c r="G15" s="22" t="s">
        <v>112</v>
      </c>
      <c r="H15" s="22" t="s">
        <v>112</v>
      </c>
      <c r="I15" s="7">
        <v>1.89741392653293</v>
      </c>
      <c r="J15" s="7">
        <v>1.7734045389062201</v>
      </c>
      <c r="K15" s="11">
        <f t="shared" si="2"/>
        <v>6.5357055670666103E-2</v>
      </c>
      <c r="M15" s="21"/>
    </row>
    <row r="16" spans="1:72" x14ac:dyDescent="0.25">
      <c r="A16" s="1">
        <v>13</v>
      </c>
      <c r="B16" s="1">
        <v>70071</v>
      </c>
      <c r="C16" s="22">
        <v>0.104039333333333</v>
      </c>
      <c r="D16" s="22">
        <v>0.104098</v>
      </c>
      <c r="E16" s="23">
        <f t="shared" si="0"/>
        <v>-5.6388929828140439E-4</v>
      </c>
      <c r="F16" s="21">
        <v>4.0636222222221997E-2</v>
      </c>
      <c r="G16" s="22" t="s">
        <v>112</v>
      </c>
      <c r="H16" s="22" t="s">
        <v>112</v>
      </c>
      <c r="I16" s="7">
        <v>1.4195102931855099</v>
      </c>
      <c r="J16" s="7">
        <v>1.42269119184335</v>
      </c>
      <c r="K16" s="11">
        <f t="shared" si="2"/>
        <v>-2.2408422630750199E-3</v>
      </c>
      <c r="M16" s="21"/>
    </row>
    <row r="17" spans="1:13" x14ac:dyDescent="0.25">
      <c r="A17" s="1">
        <v>14</v>
      </c>
      <c r="B17" s="1">
        <v>70072</v>
      </c>
      <c r="C17" s="22">
        <v>0.10412399999999999</v>
      </c>
      <c r="D17" s="22">
        <v>0.104128</v>
      </c>
      <c r="E17" s="23">
        <f t="shared" si="0"/>
        <v>-3.8415735085129272E-5</v>
      </c>
      <c r="F17" s="21">
        <v>2.8804111111110999E-2</v>
      </c>
      <c r="G17" s="22">
        <v>2.8670333333332999E-2</v>
      </c>
      <c r="H17" s="23">
        <f t="shared" si="1"/>
        <v>4.6443987548151046E-3</v>
      </c>
      <c r="I17" s="7">
        <v>1.11627875064999</v>
      </c>
      <c r="J17" s="7">
        <v>1.32870239048572</v>
      </c>
      <c r="K17" s="11">
        <f t="shared" si="2"/>
        <v>-0.19029623175397661</v>
      </c>
      <c r="M17" s="21"/>
    </row>
    <row r="18" spans="1:13" x14ac:dyDescent="0.25">
      <c r="A18" s="1">
        <v>15</v>
      </c>
      <c r="B18" s="1">
        <v>70081</v>
      </c>
      <c r="C18" s="22">
        <v>0.10405</v>
      </c>
      <c r="D18" s="22">
        <v>0.10405</v>
      </c>
      <c r="E18" s="23">
        <f t="shared" si="0"/>
        <v>0</v>
      </c>
      <c r="F18" s="21">
        <v>2.9021564102563999E-2</v>
      </c>
      <c r="G18" s="22">
        <v>2.9021564102563999E-2</v>
      </c>
      <c r="H18" s="23">
        <f t="shared" si="1"/>
        <v>0</v>
      </c>
      <c r="I18" s="7">
        <v>1.31187848561793</v>
      </c>
      <c r="J18" s="7">
        <v>1.31187848561793</v>
      </c>
      <c r="K18" s="11">
        <f t="shared" si="2"/>
        <v>0</v>
      </c>
      <c r="M18" s="21"/>
    </row>
    <row r="19" spans="1:13" x14ac:dyDescent="0.25">
      <c r="A19" s="1">
        <v>16</v>
      </c>
      <c r="B19" s="1">
        <v>70082</v>
      </c>
      <c r="C19" s="22">
        <v>0.10400022222222199</v>
      </c>
      <c r="D19" s="22">
        <v>0.10400022222222199</v>
      </c>
      <c r="E19" s="23">
        <f t="shared" si="0"/>
        <v>0</v>
      </c>
      <c r="F19" s="21">
        <v>1.3512944444444E-2</v>
      </c>
      <c r="G19" s="22">
        <v>1.3512944444444E-2</v>
      </c>
      <c r="H19" s="23">
        <f t="shared" si="1"/>
        <v>0</v>
      </c>
      <c r="I19" s="7">
        <v>1.3353587449472899</v>
      </c>
      <c r="J19" s="7">
        <v>1.3353587449472899</v>
      </c>
      <c r="K19" s="11">
        <f t="shared" si="2"/>
        <v>0</v>
      </c>
      <c r="M19" s="21"/>
    </row>
    <row r="20" spans="1:13" x14ac:dyDescent="0.25">
      <c r="A20" s="1">
        <v>17</v>
      </c>
      <c r="B20" s="1">
        <v>70091</v>
      </c>
      <c r="C20" s="22">
        <v>7.0645111111111006E-2</v>
      </c>
      <c r="D20" s="22">
        <v>7.1060888888889007E-2</v>
      </c>
      <c r="E20" s="23">
        <f t="shared" si="0"/>
        <v>-5.8854430439505339E-3</v>
      </c>
      <c r="F20" s="21">
        <v>7.1193333333330003E-3</v>
      </c>
      <c r="G20" s="22">
        <v>6.6056923076920002E-3</v>
      </c>
      <c r="H20" s="23">
        <f t="shared" si="1"/>
        <v>7.214734885865122E-2</v>
      </c>
      <c r="I20" s="7">
        <v>1.84650010939104</v>
      </c>
      <c r="J20" s="7">
        <v>2.5930285685308299</v>
      </c>
      <c r="K20" s="11">
        <f t="shared" si="2"/>
        <v>-0.40429375299955361</v>
      </c>
      <c r="M20" s="21"/>
    </row>
    <row r="21" spans="1:13" x14ac:dyDescent="0.25">
      <c r="A21" s="1">
        <v>18</v>
      </c>
      <c r="B21" s="1">
        <v>70092</v>
      </c>
      <c r="C21" s="22">
        <v>0.104344444444444</v>
      </c>
      <c r="D21" s="22">
        <v>0.104036</v>
      </c>
      <c r="E21" s="23">
        <f t="shared" si="0"/>
        <v>2.9560217229219633E-3</v>
      </c>
      <c r="F21" s="21">
        <v>1.9380666666667001E-2</v>
      </c>
      <c r="G21" s="22">
        <v>1.9127769230769E-2</v>
      </c>
      <c r="H21" s="23">
        <f t="shared" si="1"/>
        <v>1.3048954416669317E-2</v>
      </c>
      <c r="I21" s="7">
        <v>1.5211064059030399</v>
      </c>
      <c r="J21" s="7">
        <v>1.88498273453623</v>
      </c>
      <c r="K21" s="11">
        <f t="shared" si="2"/>
        <v>-0.23921819487517476</v>
      </c>
      <c r="M21" s="21"/>
    </row>
    <row r="22" spans="1:13" x14ac:dyDescent="0.25">
      <c r="A22" s="1">
        <v>19</v>
      </c>
      <c r="B22" s="1">
        <v>70101</v>
      </c>
      <c r="C22" s="22">
        <v>0.104177333333333</v>
      </c>
      <c r="D22" s="22">
        <v>0.104279111111111</v>
      </c>
      <c r="E22" s="23">
        <f t="shared" si="0"/>
        <v>-9.7696662528643148E-4</v>
      </c>
      <c r="F22" s="21">
        <v>1.493242333333E-3</v>
      </c>
      <c r="G22" s="22">
        <v>1.459031E-3</v>
      </c>
      <c r="H22" s="23">
        <f t="shared" si="1"/>
        <v>2.2910771124897332E-2</v>
      </c>
      <c r="I22" s="7">
        <v>1.7770237469732799</v>
      </c>
      <c r="J22" s="7">
        <v>1.9822925254803601</v>
      </c>
      <c r="K22" s="11">
        <f t="shared" si="2"/>
        <v>-0.1155126817279199</v>
      </c>
      <c r="M22" s="21"/>
    </row>
    <row r="23" spans="1:13" x14ac:dyDescent="0.25">
      <c r="A23" s="1">
        <v>20</v>
      </c>
      <c r="B23" s="1">
        <v>70102</v>
      </c>
      <c r="C23" s="22">
        <v>0.104176888888889</v>
      </c>
      <c r="D23" s="22">
        <v>0.104191111111111</v>
      </c>
      <c r="E23" s="23">
        <f t="shared" si="0"/>
        <v>-1.3651993617478679E-4</v>
      </c>
      <c r="F23" s="21">
        <v>1.0675962222222E-2</v>
      </c>
      <c r="G23" s="22">
        <v>1.0689663333333E-2</v>
      </c>
      <c r="H23" s="23">
        <f t="shared" si="1"/>
        <v>-1.2833607712175498E-3</v>
      </c>
      <c r="I23" s="7">
        <v>1.75071461836188</v>
      </c>
      <c r="J23" s="7">
        <v>2.0955184211525002</v>
      </c>
      <c r="K23" s="11">
        <f t="shared" si="2"/>
        <v>-0.19695031912925273</v>
      </c>
      <c r="M23" s="21"/>
    </row>
    <row r="24" spans="1:13" x14ac:dyDescent="0.25">
      <c r="A24" s="1">
        <v>21</v>
      </c>
      <c r="B24" s="1">
        <v>70111</v>
      </c>
      <c r="C24" s="22">
        <v>8.4859230769231006E-2</v>
      </c>
      <c r="D24" s="22">
        <v>8.6679743589743993E-2</v>
      </c>
      <c r="E24" s="23">
        <f t="shared" si="0"/>
        <v>-2.1453326927553112E-2</v>
      </c>
      <c r="F24" s="21">
        <v>6.1813333333332998E-2</v>
      </c>
      <c r="G24" s="22">
        <v>6.6582179487178997E-2</v>
      </c>
      <c r="H24" s="23">
        <f t="shared" si="1"/>
        <v>-7.7149150461270882E-2</v>
      </c>
      <c r="I24" s="7">
        <v>4.5515170569623997</v>
      </c>
      <c r="J24" s="7">
        <v>4.6183246685698798</v>
      </c>
      <c r="K24" s="11">
        <f t="shared" si="2"/>
        <v>-1.4678097603805586E-2</v>
      </c>
      <c r="M24" s="21"/>
    </row>
    <row r="25" spans="1:13" x14ac:dyDescent="0.25">
      <c r="A25" s="1">
        <v>22</v>
      </c>
      <c r="B25" s="1">
        <v>70112</v>
      </c>
      <c r="C25" s="22">
        <v>0.100514444444444</v>
      </c>
      <c r="D25" s="22">
        <v>9.9700222222221996E-2</v>
      </c>
      <c r="E25" s="23">
        <f t="shared" si="0"/>
        <v>8.1005493958835155E-3</v>
      </c>
      <c r="F25" s="21">
        <v>8.9359111111111E-2</v>
      </c>
      <c r="G25" s="22">
        <v>8.3421555555555998E-2</v>
      </c>
      <c r="H25" s="23">
        <f t="shared" si="1"/>
        <v>6.6446000656520857E-2</v>
      </c>
      <c r="I25" s="7">
        <v>5.0281870530882804</v>
      </c>
      <c r="J25" s="7">
        <v>4.17111568746631</v>
      </c>
      <c r="K25" s="11">
        <f t="shared" si="2"/>
        <v>0.17045335755668886</v>
      </c>
      <c r="M25" s="21"/>
    </row>
    <row r="26" spans="1:13" x14ac:dyDescent="0.25">
      <c r="A26" s="1">
        <v>23</v>
      </c>
      <c r="B26" s="1">
        <v>70121</v>
      </c>
      <c r="C26" s="22">
        <v>0.104020888888889</v>
      </c>
      <c r="D26" s="22">
        <v>0.104102666666667</v>
      </c>
      <c r="E26" s="23">
        <f t="shared" si="0"/>
        <v>-7.8616688101321337E-4</v>
      </c>
      <c r="F26" s="21">
        <v>5.1444777777777999E-2</v>
      </c>
      <c r="G26" s="22">
        <v>4.1850666666667001E-2</v>
      </c>
      <c r="H26" s="23">
        <f t="shared" si="1"/>
        <v>0.18649339205145238</v>
      </c>
      <c r="I26" s="7">
        <v>1.41192659540084</v>
      </c>
      <c r="J26" s="7">
        <v>1.4525204325198999</v>
      </c>
      <c r="K26" s="11">
        <f t="shared" si="2"/>
        <v>-2.8750671069791366E-2</v>
      </c>
      <c r="M26" s="21"/>
    </row>
    <row r="27" spans="1:13" x14ac:dyDescent="0.25">
      <c r="A27" s="1">
        <v>24</v>
      </c>
      <c r="B27" s="1">
        <v>70122</v>
      </c>
      <c r="C27" s="22">
        <v>7.5441025641026005E-2</v>
      </c>
      <c r="D27" s="22">
        <v>7.5495128205128006E-2</v>
      </c>
      <c r="E27" s="23">
        <f t="shared" si="0"/>
        <v>-7.1715043164232546E-4</v>
      </c>
      <c r="F27" s="21">
        <v>3.9110555555556002E-2</v>
      </c>
      <c r="G27" s="22">
        <v>3.9121222222222002E-2</v>
      </c>
      <c r="H27" s="23">
        <f t="shared" si="1"/>
        <v>-2.7273114673218544E-4</v>
      </c>
      <c r="I27" s="7">
        <v>1.17375786499302</v>
      </c>
      <c r="J27" s="7">
        <v>1.37214856256421</v>
      </c>
      <c r="K27" s="11">
        <f t="shared" si="2"/>
        <v>-0.16902182595587528</v>
      </c>
      <c r="M27" s="21"/>
    </row>
    <row r="28" spans="1:13" x14ac:dyDescent="0.25">
      <c r="A28" s="1">
        <v>25</v>
      </c>
      <c r="B28" s="1">
        <v>70131</v>
      </c>
      <c r="C28" s="22">
        <v>0.104162444444444</v>
      </c>
      <c r="D28" s="22">
        <v>0.10411688888888899</v>
      </c>
      <c r="E28" s="23">
        <f t="shared" si="0"/>
        <v>4.3735106062439737E-4</v>
      </c>
      <c r="F28" s="21">
        <v>2.7108717948718001E-2</v>
      </c>
      <c r="G28" s="22">
        <v>2.7050769230769E-2</v>
      </c>
      <c r="H28" s="23">
        <f t="shared" si="1"/>
        <v>2.1376414059352971E-3</v>
      </c>
      <c r="I28" s="7">
        <v>2.7181844065263299</v>
      </c>
      <c r="J28" s="7">
        <v>4.2197347770554501</v>
      </c>
      <c r="K28" s="11">
        <f t="shared" si="2"/>
        <v>-0.55240930928891907</v>
      </c>
      <c r="M28" s="21"/>
    </row>
    <row r="29" spans="1:13" x14ac:dyDescent="0.25">
      <c r="A29" s="1">
        <v>26</v>
      </c>
      <c r="B29" s="1">
        <v>70132</v>
      </c>
      <c r="C29" s="22">
        <v>7.5995897435897006E-2</v>
      </c>
      <c r="D29" s="22">
        <v>7.6897435897436001E-2</v>
      </c>
      <c r="E29" s="23">
        <f t="shared" si="0"/>
        <v>-1.186298855539469E-2</v>
      </c>
      <c r="F29" s="21">
        <v>5.7151794871795003E-2</v>
      </c>
      <c r="G29" s="22">
        <v>4.3554615384614997E-2</v>
      </c>
      <c r="H29" s="23">
        <f t="shared" si="1"/>
        <v>0.2379134289252279</v>
      </c>
      <c r="I29" s="7">
        <v>4.1606974018364902</v>
      </c>
      <c r="J29" s="7">
        <v>4.2697309953165599</v>
      </c>
      <c r="K29" s="11">
        <f t="shared" si="2"/>
        <v>-2.6205605202614196E-2</v>
      </c>
      <c r="M29" s="21"/>
    </row>
    <row r="30" spans="1:13" x14ac:dyDescent="0.25">
      <c r="A30" s="1">
        <v>27</v>
      </c>
      <c r="B30" s="1">
        <v>70141</v>
      </c>
      <c r="C30" s="22">
        <v>0.104192888888889</v>
      </c>
      <c r="D30" s="22">
        <v>0.104198222222222</v>
      </c>
      <c r="E30" s="23">
        <f t="shared" si="0"/>
        <v>-5.1187114493809646E-5</v>
      </c>
      <c r="F30" s="21">
        <v>1.5205822222222E-2</v>
      </c>
      <c r="G30" s="22">
        <v>1.5208444444444E-2</v>
      </c>
      <c r="H30" s="23">
        <f t="shared" si="1"/>
        <v>-1.7244856500874152E-4</v>
      </c>
      <c r="I30" s="7">
        <v>1.1651743159657499</v>
      </c>
      <c r="J30" s="7">
        <v>1.2242925908820299</v>
      </c>
      <c r="K30" s="11">
        <f t="shared" si="2"/>
        <v>-5.0737708603952561E-2</v>
      </c>
      <c r="M30" s="21"/>
    </row>
    <row r="31" spans="1:13" x14ac:dyDescent="0.25">
      <c r="A31" s="1">
        <v>28</v>
      </c>
      <c r="B31" s="1">
        <v>70142</v>
      </c>
      <c r="C31" s="22">
        <v>9.2318888888889006E-2</v>
      </c>
      <c r="D31" s="22">
        <v>9.2064444444444005E-2</v>
      </c>
      <c r="E31" s="23">
        <f t="shared" si="0"/>
        <v>2.7561471710436138E-3</v>
      </c>
      <c r="F31" s="21">
        <v>6.4213111111110999E-2</v>
      </c>
      <c r="G31" s="22">
        <v>6.2148111111111001E-2</v>
      </c>
      <c r="H31" s="23">
        <f t="shared" si="1"/>
        <v>3.2158541523191884E-2</v>
      </c>
      <c r="I31" s="7">
        <v>1.4296897000997399</v>
      </c>
      <c r="J31" s="7">
        <v>1.49891624237332</v>
      </c>
      <c r="K31" s="11">
        <f t="shared" si="2"/>
        <v>-4.8420676366872181E-2</v>
      </c>
      <c r="M31" s="21"/>
    </row>
    <row r="32" spans="1:13" x14ac:dyDescent="0.25">
      <c r="A32" s="1">
        <v>29</v>
      </c>
      <c r="B32" s="1">
        <v>70151</v>
      </c>
      <c r="C32" s="22">
        <v>6.0046153846153999E-2</v>
      </c>
      <c r="D32" s="22">
        <v>6.0025641025641001E-2</v>
      </c>
      <c r="E32" s="23">
        <f t="shared" si="0"/>
        <v>3.4161755914549711E-4</v>
      </c>
      <c r="F32" s="21">
        <v>1.7603769230768999E-2</v>
      </c>
      <c r="G32" s="22">
        <v>1.7778192307691999E-2</v>
      </c>
      <c r="H32" s="23">
        <f t="shared" si="1"/>
        <v>-9.9082801323100329E-3</v>
      </c>
      <c r="I32" s="7">
        <v>1.6788213190435699</v>
      </c>
      <c r="J32" s="7">
        <v>1.8107028616290599</v>
      </c>
      <c r="K32" s="11">
        <f t="shared" si="2"/>
        <v>-7.8556032788899388E-2</v>
      </c>
      <c r="M32" s="21"/>
    </row>
    <row r="33" spans="1:13" x14ac:dyDescent="0.25">
      <c r="A33" s="1">
        <v>30</v>
      </c>
      <c r="B33" s="1">
        <v>70152</v>
      </c>
      <c r="C33" s="22">
        <v>0.104184</v>
      </c>
      <c r="D33" s="22">
        <v>0.104103777777778</v>
      </c>
      <c r="E33" s="23">
        <f t="shared" si="0"/>
        <v>7.7000520446513475E-4</v>
      </c>
      <c r="F33" s="21">
        <v>1.2571577777778E-2</v>
      </c>
      <c r="G33" s="22">
        <v>1.25956E-2</v>
      </c>
      <c r="H33" s="23">
        <f t="shared" si="1"/>
        <v>-1.910835906727822E-3</v>
      </c>
      <c r="I33" s="7">
        <v>1.65731329562257</v>
      </c>
      <c r="J33" s="7">
        <v>1.5990810056517999</v>
      </c>
      <c r="K33" s="11">
        <f t="shared" si="2"/>
        <v>3.5136561158700626E-2</v>
      </c>
      <c r="M33" s="21"/>
    </row>
    <row r="34" spans="1:13" x14ac:dyDescent="0.25">
      <c r="A34" s="1">
        <v>31</v>
      </c>
      <c r="B34" s="1">
        <v>70161</v>
      </c>
      <c r="C34" s="22">
        <v>0.104052666666667</v>
      </c>
      <c r="D34" s="22">
        <v>0.10408933333333301</v>
      </c>
      <c r="E34" s="23">
        <f t="shared" si="0"/>
        <v>-3.5238565084993534E-4</v>
      </c>
      <c r="F34" s="21">
        <v>3.4828111111110997E-2</v>
      </c>
      <c r="G34" s="22">
        <v>3.4697777777778001E-2</v>
      </c>
      <c r="H34" s="23">
        <f t="shared" si="1"/>
        <v>3.7421878240022329E-3</v>
      </c>
      <c r="I34" s="7">
        <v>1.2933847527067901</v>
      </c>
      <c r="J34" s="7">
        <v>1.39219157172692</v>
      </c>
      <c r="K34" s="11">
        <f t="shared" si="2"/>
        <v>-7.6393987800882454E-2</v>
      </c>
      <c r="M34" s="21"/>
    </row>
    <row r="35" spans="1:13" x14ac:dyDescent="0.25">
      <c r="A35" s="1">
        <v>32</v>
      </c>
      <c r="B35" s="1">
        <v>70162</v>
      </c>
      <c r="C35" s="22">
        <v>0.11823589743589701</v>
      </c>
      <c r="D35" s="22">
        <v>0.118666666666667</v>
      </c>
      <c r="E35" s="23">
        <f t="shared" si="0"/>
        <v>-3.6433032616303733E-3</v>
      </c>
      <c r="F35" s="21">
        <v>7.6926888888889003E-2</v>
      </c>
      <c r="G35" s="22">
        <v>7.6874333333333003E-2</v>
      </c>
      <c r="H35" s="23">
        <f t="shared" si="1"/>
        <v>6.8318836644894762E-4</v>
      </c>
      <c r="I35" s="7">
        <v>1.24930895758254</v>
      </c>
      <c r="J35" s="7">
        <v>1.39246836724477</v>
      </c>
      <c r="K35" s="11">
        <f t="shared" si="2"/>
        <v>-0.11459087745536445</v>
      </c>
      <c r="M35" s="21"/>
    </row>
    <row r="36" spans="1:13" x14ac:dyDescent="0.25">
      <c r="A36" s="1">
        <v>33</v>
      </c>
      <c r="B36" s="1">
        <v>70171</v>
      </c>
      <c r="C36" s="22">
        <v>0.104086222222222</v>
      </c>
      <c r="D36" s="22">
        <v>0.104048666666667</v>
      </c>
      <c r="E36" s="23">
        <f t="shared" si="0"/>
        <v>3.6081197639029587E-4</v>
      </c>
      <c r="F36" s="21">
        <v>4.2286461538462002E-2</v>
      </c>
      <c r="G36" s="22">
        <v>4.2273999999999999E-2</v>
      </c>
      <c r="H36" s="23">
        <f t="shared" si="1"/>
        <v>2.9469333703100202E-4</v>
      </c>
      <c r="I36" s="7">
        <v>1.2830753043360501</v>
      </c>
      <c r="J36" s="7">
        <v>1.75730035444545</v>
      </c>
      <c r="K36" s="11">
        <f t="shared" si="2"/>
        <v>-0.36960032548892052</v>
      </c>
      <c r="M36" s="21"/>
    </row>
    <row r="37" spans="1:13" x14ac:dyDescent="0.25">
      <c r="A37" s="1">
        <v>34</v>
      </c>
      <c r="B37" s="1">
        <v>70172</v>
      </c>
      <c r="C37" s="22">
        <v>7.8403589743590005E-2</v>
      </c>
      <c r="D37" s="22">
        <v>7.8405384615385001E-2</v>
      </c>
      <c r="E37" s="23">
        <f t="shared" si="0"/>
        <v>-2.2892724693686019E-5</v>
      </c>
      <c r="F37" s="21">
        <v>5.0994999999999999E-2</v>
      </c>
      <c r="G37" s="22">
        <v>5.0962222222221999E-2</v>
      </c>
      <c r="H37" s="23">
        <f t="shared" si="1"/>
        <v>6.4276454119030198E-4</v>
      </c>
      <c r="I37" s="7">
        <v>1.0987305321683201</v>
      </c>
      <c r="J37" s="7">
        <v>1.4784673623084801</v>
      </c>
      <c r="K37" s="11">
        <f t="shared" si="2"/>
        <v>-0.34561416018062036</v>
      </c>
      <c r="M37" s="21"/>
    </row>
    <row r="38" spans="1:13" x14ac:dyDescent="0.25">
      <c r="A38" s="1">
        <v>35</v>
      </c>
      <c r="B38" s="1">
        <v>70181</v>
      </c>
      <c r="C38" s="22">
        <v>9.221E-2</v>
      </c>
      <c r="D38" s="22">
        <v>9.3145384615385005E-2</v>
      </c>
      <c r="E38" s="23">
        <f t="shared" si="0"/>
        <v>-1.0144069139843882E-2</v>
      </c>
      <c r="F38" s="21">
        <v>6.8851538461538006E-2</v>
      </c>
      <c r="G38" s="22">
        <v>6.8240384615384994E-2</v>
      </c>
      <c r="H38" s="23">
        <f t="shared" si="1"/>
        <v>8.8764007284225909E-3</v>
      </c>
      <c r="I38" s="7">
        <v>2.8269680638351402</v>
      </c>
      <c r="J38" s="7">
        <v>2.70775958413298</v>
      </c>
      <c r="K38" s="11">
        <f t="shared" si="2"/>
        <v>4.2168314961591326E-2</v>
      </c>
      <c r="M38" s="21"/>
    </row>
    <row r="39" spans="1:13" x14ac:dyDescent="0.25">
      <c r="A39" s="1">
        <v>36</v>
      </c>
      <c r="B39" s="1">
        <v>70182</v>
      </c>
      <c r="C39" s="22">
        <v>0.104117555555556</v>
      </c>
      <c r="D39" s="22">
        <v>0.104055555555556</v>
      </c>
      <c r="E39" s="23">
        <f t="shared" si="0"/>
        <v>5.9548074932400769E-4</v>
      </c>
      <c r="F39" s="21">
        <v>6.7896282051281995E-2</v>
      </c>
      <c r="G39" s="22">
        <v>6.7984871794872004E-2</v>
      </c>
      <c r="H39" s="23">
        <f t="shared" si="1"/>
        <v>-1.3047804815453266E-3</v>
      </c>
      <c r="I39" s="7">
        <v>1.54808250688823</v>
      </c>
      <c r="J39" s="7">
        <v>1.5017269718456701</v>
      </c>
      <c r="K39" s="11">
        <f t="shared" si="2"/>
        <v>2.9943840096571018E-2</v>
      </c>
      <c r="M39" s="21"/>
    </row>
    <row r="40" spans="1:13" x14ac:dyDescent="0.25">
      <c r="A40" s="1">
        <v>37</v>
      </c>
      <c r="B40" s="1">
        <v>70191</v>
      </c>
      <c r="C40" s="22">
        <v>0.103466222222222</v>
      </c>
      <c r="D40" s="22">
        <v>0.103538444444444</v>
      </c>
      <c r="E40" s="23">
        <f t="shared" si="0"/>
        <v>-6.9802705337868151E-4</v>
      </c>
      <c r="F40" s="21">
        <v>8.8600555555556001E-2</v>
      </c>
      <c r="G40" s="22">
        <v>8.8703222222222003E-2</v>
      </c>
      <c r="H40" s="23">
        <f t="shared" si="1"/>
        <v>-1.1587587236021951E-3</v>
      </c>
      <c r="I40" s="7">
        <v>2.4209910524764902</v>
      </c>
      <c r="J40" s="7">
        <v>2.41866571642029</v>
      </c>
      <c r="K40" s="11">
        <f t="shared" si="2"/>
        <v>9.6048932267695452E-4</v>
      </c>
      <c r="M40" s="21"/>
    </row>
    <row r="41" spans="1:13" x14ac:dyDescent="0.25">
      <c r="A41" s="1">
        <v>38</v>
      </c>
      <c r="B41" s="1">
        <v>70192</v>
      </c>
      <c r="C41" s="22">
        <v>0.104122666666667</v>
      </c>
      <c r="D41" s="22">
        <v>0.104110666666667</v>
      </c>
      <c r="E41" s="23">
        <f t="shared" si="0"/>
        <v>1.1524868104285412E-4</v>
      </c>
      <c r="F41" s="21">
        <v>1.4552888888890001E-3</v>
      </c>
      <c r="G41" s="22">
        <v>1.4584144444439999E-3</v>
      </c>
      <c r="H41" s="23">
        <f t="shared" si="1"/>
        <v>-2.1477217196277766E-3</v>
      </c>
      <c r="I41" s="7">
        <v>1.4086988725201699</v>
      </c>
      <c r="J41" s="7">
        <v>1.43453004370523</v>
      </c>
      <c r="K41" s="11">
        <f t="shared" si="2"/>
        <v>-1.8336900588873162E-2</v>
      </c>
      <c r="M41" s="21"/>
    </row>
    <row r="42" spans="1:13" x14ac:dyDescent="0.25">
      <c r="A42" s="1">
        <v>39</v>
      </c>
      <c r="B42" s="1">
        <v>70201</v>
      </c>
      <c r="C42" s="22">
        <v>0.104057555555556</v>
      </c>
      <c r="D42" s="22">
        <v>0.104057333333333</v>
      </c>
      <c r="E42" s="23">
        <f t="shared" si="0"/>
        <v>2.1355702794634153E-6</v>
      </c>
      <c r="F42" s="21">
        <v>2.1988888888888999E-2</v>
      </c>
      <c r="G42" s="22">
        <v>2.1989188888889E-2</v>
      </c>
      <c r="H42" s="23">
        <f t="shared" si="1"/>
        <v>-1.3643254168848796E-5</v>
      </c>
      <c r="I42" s="7">
        <v>1.58708467658437</v>
      </c>
      <c r="J42" s="7">
        <v>1.7053539762746699</v>
      </c>
      <c r="K42" s="11">
        <f t="shared" si="2"/>
        <v>-7.4519842220915442E-2</v>
      </c>
      <c r="M42" s="21"/>
    </row>
    <row r="43" spans="1:13" x14ac:dyDescent="0.25">
      <c r="A43" s="1">
        <v>40</v>
      </c>
      <c r="B43" s="1">
        <v>70202</v>
      </c>
      <c r="C43" s="22">
        <v>8.4445897435897005E-2</v>
      </c>
      <c r="D43" s="22">
        <v>8.4513846153845995E-2</v>
      </c>
      <c r="E43" s="23">
        <f t="shared" si="0"/>
        <v>-8.0464202539347893E-4</v>
      </c>
      <c r="F43" s="21">
        <v>3.6495307692308E-2</v>
      </c>
      <c r="G43" s="22">
        <v>3.9160871794872001E-2</v>
      </c>
      <c r="H43" s="23">
        <f t="shared" si="1"/>
        <v>-7.303854306524489E-2</v>
      </c>
      <c r="I43" s="7">
        <v>4.3628145809809098</v>
      </c>
      <c r="J43" s="7">
        <v>4.7681947309025396</v>
      </c>
      <c r="K43" s="11">
        <f t="shared" si="2"/>
        <v>-9.29171163241337E-2</v>
      </c>
      <c r="M43" s="21"/>
    </row>
    <row r="44" spans="1:13" x14ac:dyDescent="0.25">
      <c r="A44" s="1">
        <v>41</v>
      </c>
      <c r="B44" s="1">
        <v>70211</v>
      </c>
      <c r="C44" s="22">
        <v>9.8207435897435996E-2</v>
      </c>
      <c r="D44" s="22">
        <v>9.8131025641026007E-2</v>
      </c>
      <c r="E44" s="23">
        <f t="shared" si="0"/>
        <v>7.7804960196485855E-4</v>
      </c>
      <c r="F44" s="21">
        <v>6.4750256410256002E-2</v>
      </c>
      <c r="G44" s="22">
        <v>4.7820294871794997E-2</v>
      </c>
      <c r="H44" s="23">
        <f t="shared" si="1"/>
        <v>0.26146555206195932</v>
      </c>
      <c r="I44" s="7">
        <v>3.0251858292634402</v>
      </c>
      <c r="J44" s="7">
        <v>3.10690270036201</v>
      </c>
      <c r="K44" s="11">
        <f t="shared" si="2"/>
        <v>-2.7012182295745427E-2</v>
      </c>
      <c r="M44" s="21"/>
    </row>
    <row r="45" spans="1:13" x14ac:dyDescent="0.25">
      <c r="A45" s="1">
        <v>42</v>
      </c>
      <c r="B45" s="1">
        <v>70212</v>
      </c>
      <c r="C45" s="22">
        <v>0.104288222222222</v>
      </c>
      <c r="D45" s="22">
        <v>0.10416377777777799</v>
      </c>
      <c r="E45" s="23">
        <f t="shared" si="0"/>
        <v>1.1932741952282869E-3</v>
      </c>
      <c r="F45" s="21">
        <v>3.7656756410260001E-3</v>
      </c>
      <c r="G45" s="22">
        <v>3.7721461538459998E-3</v>
      </c>
      <c r="H45" s="23">
        <f t="shared" si="1"/>
        <v>-1.7182873504837457E-3</v>
      </c>
      <c r="I45" s="7">
        <v>2.25256742455722</v>
      </c>
      <c r="J45" s="7">
        <v>2.3604883216010601</v>
      </c>
      <c r="K45" s="11">
        <f t="shared" si="2"/>
        <v>-4.7910173905251152E-2</v>
      </c>
      <c r="M45" s="21"/>
    </row>
    <row r="46" spans="1:13" x14ac:dyDescent="0.25">
      <c r="A46" s="1">
        <v>43</v>
      </c>
      <c r="B46" s="1">
        <v>70221</v>
      </c>
      <c r="C46" s="22">
        <v>0.104118888888889</v>
      </c>
      <c r="D46" s="22">
        <v>0.104109555555556</v>
      </c>
      <c r="E46" s="23">
        <f t="shared" si="0"/>
        <v>8.9641115388394726E-5</v>
      </c>
      <c r="F46" s="21">
        <v>2.5215384615385E-2</v>
      </c>
      <c r="G46" s="22">
        <v>2.5216794871795001E-2</v>
      </c>
      <c r="H46" s="23">
        <f t="shared" si="1"/>
        <v>-5.5928411622986385E-5</v>
      </c>
      <c r="I46" s="7">
        <v>2.1563276454933602</v>
      </c>
      <c r="J46" s="7">
        <v>2.0840296606415301</v>
      </c>
      <c r="K46" s="11">
        <f t="shared" si="2"/>
        <v>3.35282928839363E-2</v>
      </c>
      <c r="M46" s="21"/>
    </row>
    <row r="47" spans="1:13" x14ac:dyDescent="0.25">
      <c r="A47" s="1">
        <v>44</v>
      </c>
      <c r="B47" s="1">
        <v>70222</v>
      </c>
      <c r="C47" s="22">
        <v>0.104115777777778</v>
      </c>
      <c r="D47" s="22">
        <v>0.104100444444444</v>
      </c>
      <c r="E47" s="23">
        <f t="shared" si="0"/>
        <v>1.4727194726175523E-4</v>
      </c>
      <c r="F47" s="21">
        <v>9.1032333333332993E-2</v>
      </c>
      <c r="G47" s="22">
        <v>9.1890555555556003E-2</v>
      </c>
      <c r="H47" s="23">
        <f t="shared" si="1"/>
        <v>-9.4276636750643111E-3</v>
      </c>
      <c r="I47" s="7">
        <v>2.1462294543016198</v>
      </c>
      <c r="J47" s="7">
        <v>2.1758491854143398</v>
      </c>
      <c r="K47" s="11">
        <f t="shared" si="2"/>
        <v>-1.3800822206290243E-2</v>
      </c>
      <c r="M47" s="21"/>
    </row>
    <row r="48" spans="1:13" x14ac:dyDescent="0.25">
      <c r="A48" s="1">
        <v>45</v>
      </c>
      <c r="B48" s="1">
        <v>70231</v>
      </c>
      <c r="C48" s="22">
        <v>0.118612564102564</v>
      </c>
      <c r="D48" s="22">
        <v>0.11889256410256401</v>
      </c>
      <c r="E48" s="23">
        <f t="shared" si="0"/>
        <v>-2.3606268199200813E-3</v>
      </c>
      <c r="F48" s="21">
        <v>8.4850769230768994E-2</v>
      </c>
      <c r="G48" s="22">
        <v>8.4316923076922998E-2</v>
      </c>
      <c r="H48" s="23">
        <f t="shared" si="1"/>
        <v>6.2915888528257457E-3</v>
      </c>
      <c r="I48" s="7">
        <v>2.67447829446118</v>
      </c>
      <c r="J48" s="7">
        <v>2.7587960319075102</v>
      </c>
      <c r="K48" s="11">
        <f t="shared" si="2"/>
        <v>-3.1526798187501266E-2</v>
      </c>
      <c r="M48" s="21"/>
    </row>
    <row r="49" spans="1:13" x14ac:dyDescent="0.25">
      <c r="A49" s="1">
        <v>46</v>
      </c>
      <c r="B49" s="1">
        <v>70232</v>
      </c>
      <c r="C49" s="22">
        <v>7.7195641025640999E-2</v>
      </c>
      <c r="D49" s="22">
        <v>7.7238974358974005E-2</v>
      </c>
      <c r="E49" s="23">
        <f t="shared" si="0"/>
        <v>-5.6134430334755776E-4</v>
      </c>
      <c r="F49" s="21">
        <v>5.5543846153845999E-2</v>
      </c>
      <c r="G49" s="22">
        <v>5.2518717948717999E-2</v>
      </c>
      <c r="H49" s="23">
        <f t="shared" si="1"/>
        <v>5.4463786982791293E-2</v>
      </c>
      <c r="I49" s="7">
        <v>2.81196514644573</v>
      </c>
      <c r="J49" s="7">
        <v>2.8565173591759501</v>
      </c>
      <c r="K49" s="11">
        <f t="shared" si="2"/>
        <v>-1.5843799766342471E-2</v>
      </c>
      <c r="M49" s="21"/>
    </row>
    <row r="50" spans="1:13" x14ac:dyDescent="0.25">
      <c r="A50" s="1">
        <v>47</v>
      </c>
      <c r="B50" s="1">
        <v>70241</v>
      </c>
      <c r="C50" s="22">
        <v>0.10406111111111099</v>
      </c>
      <c r="D50" s="22">
        <v>0.10406111111111099</v>
      </c>
      <c r="E50" s="23">
        <f t="shared" si="0"/>
        <v>0</v>
      </c>
      <c r="F50" s="21">
        <v>2.7184948717948999E-2</v>
      </c>
      <c r="G50" s="22">
        <v>2.7184948717948999E-2</v>
      </c>
      <c r="H50" s="23">
        <f t="shared" si="1"/>
        <v>0</v>
      </c>
      <c r="I50" s="7">
        <v>1.7855594267309201</v>
      </c>
      <c r="J50" s="7">
        <v>1.7855594267309201</v>
      </c>
      <c r="K50" s="11">
        <f t="shared" si="2"/>
        <v>0</v>
      </c>
      <c r="M50" s="21"/>
    </row>
    <row r="51" spans="1:13" x14ac:dyDescent="0.25">
      <c r="A51" s="1">
        <v>48</v>
      </c>
      <c r="B51" s="1">
        <v>70242</v>
      </c>
      <c r="C51" s="22">
        <v>0.104035777777778</v>
      </c>
      <c r="D51" s="22">
        <v>0.104035777777778</v>
      </c>
      <c r="E51" s="23">
        <f t="shared" si="0"/>
        <v>0</v>
      </c>
      <c r="F51" s="21">
        <v>2.5870128205128001E-2</v>
      </c>
      <c r="G51" s="22">
        <v>2.5870128205128001E-2</v>
      </c>
      <c r="H51" s="23">
        <f t="shared" si="1"/>
        <v>0</v>
      </c>
      <c r="I51" s="7">
        <v>3.5724723807982399</v>
      </c>
      <c r="J51" s="7">
        <v>3.5724723807982399</v>
      </c>
      <c r="K51" s="11">
        <f t="shared" si="2"/>
        <v>0</v>
      </c>
      <c r="M51" s="21"/>
    </row>
    <row r="52" spans="1:13" x14ac:dyDescent="0.25">
      <c r="A52" s="1">
        <v>49</v>
      </c>
      <c r="B52" s="1">
        <v>70251</v>
      </c>
      <c r="C52" s="22">
        <v>0.104045333333333</v>
      </c>
      <c r="D52" s="22">
        <v>0.104100444444444</v>
      </c>
      <c r="E52" s="23">
        <f t="shared" si="0"/>
        <v>-5.2968364217192661E-4</v>
      </c>
      <c r="F52" s="21">
        <v>3.7236666666667001E-2</v>
      </c>
      <c r="G52" s="22">
        <v>3.6252333333332998E-2</v>
      </c>
      <c r="H52" s="23">
        <f t="shared" si="1"/>
        <v>2.6434517948276635E-2</v>
      </c>
      <c r="I52" s="7">
        <v>2.9352113539645401</v>
      </c>
      <c r="J52" s="7">
        <v>3.48054468552297</v>
      </c>
      <c r="K52" s="11">
        <f t="shared" si="2"/>
        <v>-0.18579014108195563</v>
      </c>
      <c r="M52" s="21"/>
    </row>
    <row r="53" spans="1:13" x14ac:dyDescent="0.25">
      <c r="A53" s="1">
        <v>50</v>
      </c>
      <c r="B53" s="1">
        <v>70252</v>
      </c>
      <c r="C53" s="22">
        <v>8.5810512820512996E-2</v>
      </c>
      <c r="D53" s="22">
        <v>7.4828717948717996E-2</v>
      </c>
      <c r="E53" s="23">
        <f t="shared" si="0"/>
        <v>0.12797726654734318</v>
      </c>
      <c r="F53" s="21">
        <v>6.8521410256409995E-2</v>
      </c>
      <c r="G53" s="22">
        <v>2.9480769230769002E-2</v>
      </c>
      <c r="H53" s="23">
        <f t="shared" si="1"/>
        <v>0.56975828255065497</v>
      </c>
      <c r="I53" s="7">
        <v>3.33218410389139</v>
      </c>
      <c r="J53" s="7">
        <v>3.5583746277780102</v>
      </c>
      <c r="K53" s="11">
        <f t="shared" si="2"/>
        <v>-6.7880560267504567E-2</v>
      </c>
      <c r="M53" s="21"/>
    </row>
    <row r="54" spans="1:13" x14ac:dyDescent="0.25">
      <c r="A54" s="1">
        <v>51</v>
      </c>
      <c r="B54" s="1">
        <v>70261</v>
      </c>
      <c r="C54" s="22">
        <v>0.10400977777777801</v>
      </c>
      <c r="D54" s="22">
        <v>0.104028888888889</v>
      </c>
      <c r="E54" s="23">
        <f t="shared" si="0"/>
        <v>-1.8374340873825767E-4</v>
      </c>
      <c r="F54" s="21">
        <v>5.5959444444444E-2</v>
      </c>
      <c r="G54" s="22">
        <v>5.5861111111111E-2</v>
      </c>
      <c r="H54" s="23">
        <f t="shared" si="1"/>
        <v>1.7572249744298935E-3</v>
      </c>
      <c r="I54" s="7">
        <v>2.7834570059394301</v>
      </c>
      <c r="J54" s="7">
        <v>2.7186660719850901</v>
      </c>
      <c r="K54" s="11">
        <f t="shared" si="2"/>
        <v>2.3277145584101717E-2</v>
      </c>
      <c r="M54" s="21"/>
    </row>
    <row r="55" spans="1:13" x14ac:dyDescent="0.25">
      <c r="A55" s="1">
        <v>52</v>
      </c>
      <c r="B55" s="1">
        <v>70262</v>
      </c>
      <c r="C55" s="22">
        <v>0.104029777777778</v>
      </c>
      <c r="D55" s="22">
        <v>0.104017111111111</v>
      </c>
      <c r="E55" s="23">
        <f t="shared" si="0"/>
        <v>1.217600088894898E-4</v>
      </c>
      <c r="F55" s="21">
        <v>2.9756666666669999E-3</v>
      </c>
      <c r="G55" s="22">
        <v>2.9885384615379999E-3</v>
      </c>
      <c r="H55" s="23">
        <f t="shared" si="1"/>
        <v>-4.3256843971094024E-3</v>
      </c>
      <c r="I55" s="7">
        <v>1.92952983986335</v>
      </c>
      <c r="J55" s="7">
        <v>1.96887587770739</v>
      </c>
      <c r="K55" s="11">
        <f t="shared" si="2"/>
        <v>-2.0391515607152522E-2</v>
      </c>
      <c r="M55" s="21"/>
    </row>
    <row r="56" spans="1:13" x14ac:dyDescent="0.25">
      <c r="A56" s="1">
        <v>53</v>
      </c>
      <c r="B56" s="1">
        <v>70271</v>
      </c>
      <c r="C56" s="22">
        <v>0.104099555555556</v>
      </c>
      <c r="D56" s="22">
        <v>0.104041555555556</v>
      </c>
      <c r="E56" s="23">
        <f t="shared" si="0"/>
        <v>5.5715895894530476E-4</v>
      </c>
      <c r="F56" s="21">
        <v>4.3420769230768999E-2</v>
      </c>
      <c r="G56" s="22">
        <v>4.3399487179487002E-2</v>
      </c>
      <c r="H56" s="23">
        <f t="shared" si="1"/>
        <v>4.9013528914904569E-4</v>
      </c>
      <c r="I56" s="7">
        <v>1.75479913612602</v>
      </c>
      <c r="J56" s="7">
        <v>1.9458161882953899</v>
      </c>
      <c r="K56" s="11">
        <f t="shared" si="2"/>
        <v>-0.10885408377341037</v>
      </c>
      <c r="M56" s="21"/>
    </row>
    <row r="57" spans="1:13" x14ac:dyDescent="0.25">
      <c r="A57" s="1">
        <v>54</v>
      </c>
      <c r="B57" s="1">
        <v>70272</v>
      </c>
      <c r="C57" s="22">
        <v>8.6012666666667001E-2</v>
      </c>
      <c r="D57" s="22">
        <v>8.6013555555555996E-2</v>
      </c>
      <c r="E57" s="23">
        <f t="shared" si="0"/>
        <v>-1.033439519366871E-5</v>
      </c>
      <c r="F57" s="21">
        <v>5.6079555555556E-2</v>
      </c>
      <c r="G57" s="22">
        <v>5.5192777777778E-2</v>
      </c>
      <c r="H57" s="23">
        <f t="shared" si="1"/>
        <v>1.5812853168914672E-2</v>
      </c>
      <c r="I57" s="7">
        <v>1.5900691903550801</v>
      </c>
      <c r="J57" s="7">
        <v>1.8873953497237499</v>
      </c>
      <c r="K57" s="11">
        <f t="shared" si="2"/>
        <v>-0.18698944748578744</v>
      </c>
      <c r="M57" s="21"/>
    </row>
    <row r="58" spans="1:13" x14ac:dyDescent="0.25">
      <c r="A58" s="1">
        <v>55</v>
      </c>
      <c r="B58" s="1">
        <v>70281</v>
      </c>
      <c r="C58" s="22">
        <v>5.4812820512820999E-2</v>
      </c>
      <c r="D58" s="22">
        <v>5.4854358974359002E-2</v>
      </c>
      <c r="E58" s="23">
        <f t="shared" si="0"/>
        <v>-7.5782382934092745E-4</v>
      </c>
      <c r="F58" s="21">
        <v>1.7792188888889001E-2</v>
      </c>
      <c r="G58" s="22">
        <v>1.5368577777778E-2</v>
      </c>
      <c r="H58" s="23">
        <f t="shared" si="1"/>
        <v>0.13621770352407378</v>
      </c>
      <c r="I58" s="7">
        <v>2.0251484381691802</v>
      </c>
      <c r="J58" s="7">
        <v>2.3447700090975601</v>
      </c>
      <c r="K58" s="11">
        <f t="shared" si="2"/>
        <v>-0.1578262436986255</v>
      </c>
      <c r="M58" s="21"/>
    </row>
    <row r="59" spans="1:13" x14ac:dyDescent="0.25">
      <c r="A59" s="1">
        <v>56</v>
      </c>
      <c r="B59" s="1">
        <v>70282</v>
      </c>
      <c r="C59" s="22">
        <v>7.1399230769231006E-2</v>
      </c>
      <c r="D59" s="22">
        <v>7.1300512820513001E-2</v>
      </c>
      <c r="E59" s="23">
        <f t="shared" si="0"/>
        <v>1.3826192194853015E-3</v>
      </c>
      <c r="F59" s="21">
        <v>2.1565388888888998E-2</v>
      </c>
      <c r="G59" s="22">
        <v>2.1702366666667E-2</v>
      </c>
      <c r="H59" s="23">
        <f t="shared" si="1"/>
        <v>-6.3517416024236814E-3</v>
      </c>
      <c r="I59" s="7">
        <v>1.90741491367613</v>
      </c>
      <c r="J59" s="7">
        <v>1.8469760699683999</v>
      </c>
      <c r="K59" s="11">
        <f t="shared" si="2"/>
        <v>3.1686259384041043E-2</v>
      </c>
      <c r="M59" s="21"/>
    </row>
    <row r="60" spans="1:13" x14ac:dyDescent="0.25">
      <c r="A60" s="1">
        <v>57</v>
      </c>
      <c r="B60" s="1">
        <v>70291</v>
      </c>
      <c r="C60" s="22">
        <v>7.9769333333332998E-2</v>
      </c>
      <c r="D60" s="22">
        <v>7.9704307692308005E-2</v>
      </c>
      <c r="E60" s="23">
        <f t="shared" si="0"/>
        <v>8.1517092230506602E-4</v>
      </c>
      <c r="F60" s="21">
        <v>5.5251153846153998E-2</v>
      </c>
      <c r="G60" s="22">
        <v>5.6711333333333003E-2</v>
      </c>
      <c r="H60" s="23">
        <f t="shared" si="1"/>
        <v>-2.6428036077669113E-2</v>
      </c>
      <c r="I60" s="7">
        <v>2.7521958780463902</v>
      </c>
      <c r="J60" s="7">
        <v>2.5590781941048402</v>
      </c>
      <c r="K60" s="11">
        <f t="shared" si="2"/>
        <v>7.0168582651403452E-2</v>
      </c>
      <c r="M60" s="21"/>
    </row>
    <row r="61" spans="1:13" x14ac:dyDescent="0.25">
      <c r="A61" s="1">
        <v>58</v>
      </c>
      <c r="B61" s="1">
        <v>70292</v>
      </c>
      <c r="C61" s="22">
        <v>6.6579282051281996E-2</v>
      </c>
      <c r="D61" s="22">
        <v>6.6672384615384994E-2</v>
      </c>
      <c r="E61" s="23">
        <f t="shared" si="0"/>
        <v>-1.3983714037542013E-3</v>
      </c>
      <c r="F61" s="21">
        <v>3.9816794871795E-2</v>
      </c>
      <c r="G61" s="22">
        <v>3.1358589743590001E-2</v>
      </c>
      <c r="H61" s="23">
        <f t="shared" si="1"/>
        <v>0.21242807602769986</v>
      </c>
      <c r="I61" s="7">
        <v>3.3078875776989398</v>
      </c>
      <c r="J61" s="7">
        <v>3.37122785676203</v>
      </c>
      <c r="K61" s="11">
        <f t="shared" si="2"/>
        <v>-1.9148256273918304E-2</v>
      </c>
      <c r="M61" s="21"/>
    </row>
    <row r="62" spans="1:13" x14ac:dyDescent="0.25">
      <c r="A62" s="1">
        <v>59</v>
      </c>
      <c r="B62" s="1">
        <v>70301</v>
      </c>
      <c r="C62" s="22">
        <v>9.4591794871795004E-2</v>
      </c>
      <c r="D62" s="22">
        <v>9.4591794871795004E-2</v>
      </c>
      <c r="E62" s="23">
        <f t="shared" si="0"/>
        <v>0</v>
      </c>
      <c r="F62" s="21">
        <v>7.2442820512820999E-2</v>
      </c>
      <c r="G62" s="22">
        <v>7.2251282051282006E-2</v>
      </c>
      <c r="H62" s="23">
        <f t="shared" si="1"/>
        <v>2.6439950872025188E-3</v>
      </c>
      <c r="I62" s="7">
        <v>3.6217260352332801</v>
      </c>
      <c r="J62" s="7">
        <v>3.6217260352332801</v>
      </c>
      <c r="K62" s="11">
        <f t="shared" si="2"/>
        <v>0</v>
      </c>
      <c r="M62" s="21"/>
    </row>
    <row r="63" spans="1:13" x14ac:dyDescent="0.25">
      <c r="A63" s="1">
        <v>60</v>
      </c>
      <c r="B63" s="1">
        <v>70302</v>
      </c>
      <c r="C63" s="22">
        <v>7.3248461538461998E-2</v>
      </c>
      <c r="D63" s="22">
        <v>7.3248461538461998E-2</v>
      </c>
      <c r="E63" s="23">
        <f t="shared" si="0"/>
        <v>0</v>
      </c>
      <c r="F63" s="21">
        <v>2.9219102564103001E-2</v>
      </c>
      <c r="G63" s="22">
        <v>2.7529102564103E-2</v>
      </c>
      <c r="H63" s="23">
        <f t="shared" si="1"/>
        <v>5.7838874287543744E-2</v>
      </c>
      <c r="I63" s="7">
        <v>4.77625090434982</v>
      </c>
      <c r="J63" s="7">
        <v>4.77625090434982</v>
      </c>
      <c r="K63" s="11">
        <f t="shared" si="2"/>
        <v>0</v>
      </c>
    </row>
    <row r="65" spans="4:11" x14ac:dyDescent="0.25">
      <c r="D65" s="26" t="s">
        <v>113</v>
      </c>
      <c r="E65" s="27">
        <f>AVERAGE(E4:E63)</f>
        <v>1.2397941205649742E-3</v>
      </c>
      <c r="G65" s="26" t="s">
        <v>113</v>
      </c>
      <c r="H65" s="27">
        <f>AVERAGE(H4:H63)</f>
        <v>3.2940222930322054E-2</v>
      </c>
      <c r="J65" s="26" t="s">
        <v>113</v>
      </c>
      <c r="K65" s="27">
        <f>AVERAGE(K4:K63)</f>
        <v>-8.0301213636072413E-2</v>
      </c>
    </row>
    <row r="66" spans="4:11" x14ac:dyDescent="0.25">
      <c r="D66" s="26" t="s">
        <v>114</v>
      </c>
      <c r="E66" s="27">
        <f>STDEV(E4:E63)</f>
        <v>1.7073486746633802E-2</v>
      </c>
      <c r="G66" s="26" t="s">
        <v>114</v>
      </c>
      <c r="H66" s="27">
        <f>STDEV(H4:H63)</f>
        <v>9.8186653748025543E-2</v>
      </c>
      <c r="J66" s="26" t="s">
        <v>114</v>
      </c>
      <c r="K66" s="27">
        <f>STDEV(K4:K63)</f>
        <v>0.1424378049752193</v>
      </c>
    </row>
  </sheetData>
  <mergeCells count="6">
    <mergeCell ref="A1:K1"/>
    <mergeCell ref="A2:A3"/>
    <mergeCell ref="B2:B3"/>
    <mergeCell ref="C2:E2"/>
    <mergeCell ref="F2:H2"/>
    <mergeCell ref="I2:K2"/>
  </mergeCells>
  <pageMargins left="0.7" right="0.7" top="0.75" bottom="0.75" header="0.3" footer="0.3"/>
  <ignoredErrors>
    <ignoredError sqref="H66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F64C-314D-41C9-9D40-F07182D29B3B}">
  <dimension ref="A1:AD44"/>
  <sheetViews>
    <sheetView zoomScale="90" zoomScaleNormal="90" workbookViewId="0">
      <selection activeCell="B29" sqref="B29"/>
    </sheetView>
  </sheetViews>
  <sheetFormatPr defaultRowHeight="15" x14ac:dyDescent="0.25"/>
  <cols>
    <col min="1" max="1" width="12.7109375" bestFit="1" customWidth="1"/>
    <col min="2" max="2" width="10.5703125" customWidth="1"/>
    <col min="3" max="3" width="12" bestFit="1" customWidth="1"/>
    <col min="4" max="4" width="13" bestFit="1" customWidth="1"/>
    <col min="6" max="7" width="16.28515625" customWidth="1"/>
    <col min="8" max="8" width="13.28515625" customWidth="1"/>
    <col min="9" max="9" width="14.85546875" customWidth="1"/>
    <col min="10" max="10" width="14.28515625" customWidth="1"/>
    <col min="11" max="11" width="13.28515625" customWidth="1"/>
    <col min="12" max="12" width="14" customWidth="1"/>
    <col min="13" max="13" width="12.7109375" customWidth="1"/>
    <col min="17" max="17" width="10.28515625" customWidth="1"/>
    <col min="18" max="18" width="13.42578125" customWidth="1"/>
    <col min="19" max="19" width="15.140625" customWidth="1"/>
    <col min="20" max="20" width="11.5703125" bestFit="1" customWidth="1"/>
    <col min="21" max="21" width="12.7109375" bestFit="1" customWidth="1"/>
    <col min="22" max="22" width="16.5703125" customWidth="1"/>
    <col min="23" max="23" width="14.85546875" customWidth="1"/>
    <col min="24" max="24" width="12.7109375" bestFit="1" customWidth="1"/>
    <col min="25" max="25" width="18.7109375" customWidth="1"/>
    <col min="26" max="26" width="13" customWidth="1"/>
    <col min="27" max="27" width="18.5703125" customWidth="1"/>
    <col min="28" max="28" width="9.7109375" customWidth="1"/>
    <col min="29" max="29" width="13.7109375" customWidth="1"/>
    <col min="30" max="30" width="13.42578125" customWidth="1"/>
    <col min="31" max="31" width="12.4257812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0" x14ac:dyDescent="0.25">
      <c r="A2" s="45" t="s">
        <v>103</v>
      </c>
      <c r="B2" s="43" t="s">
        <v>137</v>
      </c>
      <c r="C2" s="44" t="s">
        <v>139</v>
      </c>
      <c r="D2" s="44"/>
      <c r="E2" s="44"/>
      <c r="F2" s="44" t="s">
        <v>161</v>
      </c>
      <c r="G2" s="44"/>
      <c r="H2" s="44"/>
      <c r="I2" s="44" t="s">
        <v>140</v>
      </c>
      <c r="J2" s="44"/>
      <c r="K2" s="44"/>
      <c r="L2" s="44" t="s">
        <v>162</v>
      </c>
      <c r="M2" s="44"/>
      <c r="N2" s="44"/>
      <c r="O2" s="1"/>
      <c r="P2" s="1"/>
      <c r="Q2" s="1"/>
    </row>
    <row r="3" spans="1:30" x14ac:dyDescent="0.25">
      <c r="A3" s="45"/>
      <c r="B3" s="43"/>
      <c r="C3" s="38" t="s">
        <v>109</v>
      </c>
      <c r="D3" s="38" t="s">
        <v>110</v>
      </c>
      <c r="E3" s="29" t="s">
        <v>111</v>
      </c>
      <c r="F3" s="38" t="s">
        <v>109</v>
      </c>
      <c r="G3" s="38" t="s">
        <v>110</v>
      </c>
      <c r="H3" s="29" t="s">
        <v>111</v>
      </c>
      <c r="I3" s="38" t="s">
        <v>109</v>
      </c>
      <c r="J3" s="38" t="s">
        <v>110</v>
      </c>
      <c r="K3" s="29" t="s">
        <v>111</v>
      </c>
      <c r="L3" s="38" t="s">
        <v>109</v>
      </c>
      <c r="M3" s="38" t="s">
        <v>110</v>
      </c>
      <c r="N3" s="29" t="s">
        <v>111</v>
      </c>
      <c r="O3" s="1"/>
      <c r="P3" s="1"/>
      <c r="Q3" s="1"/>
    </row>
    <row r="4" spans="1:30" ht="18" customHeight="1" x14ac:dyDescent="0.25">
      <c r="A4" s="43" t="s">
        <v>138</v>
      </c>
      <c r="C4" s="1">
        <v>0.31</v>
      </c>
      <c r="D4" s="1">
        <v>0.31</v>
      </c>
      <c r="E4" s="40">
        <f>(C4-D4)/C4</f>
        <v>0</v>
      </c>
      <c r="F4" s="1">
        <v>0.63</v>
      </c>
      <c r="G4" s="1">
        <v>0.63</v>
      </c>
      <c r="H4" s="40">
        <f>(F4-G4)/F4</f>
        <v>0</v>
      </c>
      <c r="I4" s="1">
        <v>1.35</v>
      </c>
      <c r="J4" s="1">
        <v>1.35</v>
      </c>
      <c r="K4" s="40">
        <f>(I4-J4)/I4</f>
        <v>0</v>
      </c>
      <c r="L4" s="1">
        <v>3.12</v>
      </c>
      <c r="M4" s="1">
        <v>3.12</v>
      </c>
      <c r="N4" s="40">
        <f>(L4-M4)/L4</f>
        <v>0</v>
      </c>
    </row>
    <row r="5" spans="1:30" ht="17.25" customHeight="1" x14ac:dyDescent="0.25">
      <c r="A5" s="43"/>
      <c r="C5" s="1">
        <v>0.49</v>
      </c>
      <c r="D5" s="1">
        <v>0.49</v>
      </c>
      <c r="E5" s="40">
        <f>(C5-D5)/C5</f>
        <v>0</v>
      </c>
      <c r="F5" s="1">
        <v>0.49</v>
      </c>
      <c r="G5" s="1">
        <v>0.49</v>
      </c>
      <c r="H5" s="40">
        <f t="shared" ref="H5:H8" si="0">(F5-G5)/F5</f>
        <v>0</v>
      </c>
      <c r="I5" s="1">
        <v>0.46</v>
      </c>
      <c r="J5" s="1">
        <v>0.46</v>
      </c>
      <c r="K5" s="40">
        <f t="shared" ref="K5:K8" si="1">(I5-J5)/I5</f>
        <v>0</v>
      </c>
      <c r="L5" s="1">
        <v>0.37</v>
      </c>
      <c r="M5" s="1">
        <v>0.37</v>
      </c>
      <c r="N5" s="40">
        <f t="shared" ref="N5:N8" si="2">(L5-M5)/L5</f>
        <v>0</v>
      </c>
    </row>
    <row r="6" spans="1:30" x14ac:dyDescent="0.25">
      <c r="A6" s="1"/>
      <c r="C6" s="1"/>
      <c r="D6" s="1"/>
      <c r="E6" s="1"/>
      <c r="F6" s="1"/>
      <c r="G6" s="1"/>
      <c r="I6" s="1"/>
      <c r="J6" s="1"/>
      <c r="L6" s="1"/>
      <c r="M6" s="1"/>
      <c r="O6" s="1"/>
      <c r="P6" s="1"/>
      <c r="Q6" s="1"/>
    </row>
    <row r="7" spans="1:30" x14ac:dyDescent="0.25">
      <c r="A7" s="43" t="s">
        <v>160</v>
      </c>
      <c r="B7" s="39"/>
      <c r="C7" s="1">
        <v>0.28000000000000003</v>
      </c>
      <c r="D7" s="1">
        <v>0.28000000000000003</v>
      </c>
      <c r="E7" s="40">
        <f t="shared" ref="E7:E8" si="3">(C7-D7)/C7</f>
        <v>0</v>
      </c>
      <c r="F7" s="1">
        <v>0.56000000000000005</v>
      </c>
      <c r="G7" s="1">
        <v>0.56000000000000005</v>
      </c>
      <c r="H7" s="40">
        <f t="shared" si="0"/>
        <v>0</v>
      </c>
      <c r="I7" s="1">
        <v>1.17</v>
      </c>
      <c r="J7" s="1">
        <v>1.17</v>
      </c>
      <c r="K7" s="40">
        <f t="shared" si="1"/>
        <v>0</v>
      </c>
      <c r="L7" s="1">
        <v>2.93</v>
      </c>
      <c r="M7" s="1">
        <v>2.93</v>
      </c>
      <c r="N7" s="40">
        <f t="shared" si="2"/>
        <v>0</v>
      </c>
    </row>
    <row r="8" spans="1:30" ht="17.25" customHeight="1" x14ac:dyDescent="0.25">
      <c r="A8" s="43"/>
      <c r="B8" s="39"/>
      <c r="C8" s="1">
        <v>0.46</v>
      </c>
      <c r="D8" s="1">
        <v>0.46</v>
      </c>
      <c r="E8" s="40">
        <f t="shared" si="3"/>
        <v>0</v>
      </c>
      <c r="F8" s="1">
        <v>0.46</v>
      </c>
      <c r="G8" s="1">
        <v>0.46</v>
      </c>
      <c r="H8" s="40">
        <f t="shared" si="0"/>
        <v>0</v>
      </c>
      <c r="I8" s="1">
        <v>0.45</v>
      </c>
      <c r="J8" s="1">
        <v>0.46</v>
      </c>
      <c r="K8" s="40">
        <f t="shared" si="1"/>
        <v>-2.222222222222224E-2</v>
      </c>
      <c r="L8" s="1">
        <v>0.38</v>
      </c>
      <c r="M8" s="1">
        <v>0.38</v>
      </c>
      <c r="N8" s="40">
        <f t="shared" si="2"/>
        <v>0</v>
      </c>
    </row>
    <row r="9" spans="1:30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U9" s="1"/>
      <c r="V9" s="1"/>
      <c r="W9" s="1"/>
      <c r="X9" s="1"/>
      <c r="Y9" s="1"/>
      <c r="Z9" s="1"/>
      <c r="AA9" s="1"/>
      <c r="AB9" s="1"/>
      <c r="AC9" s="1"/>
      <c r="AD9" s="1"/>
    </row>
    <row r="14" spans="1:30" x14ac:dyDescent="0.25">
      <c r="A14" s="45" t="s">
        <v>103</v>
      </c>
      <c r="B14" s="43" t="s">
        <v>171</v>
      </c>
      <c r="C14" s="44" t="s">
        <v>141</v>
      </c>
      <c r="D14" s="44"/>
      <c r="E14" s="44"/>
      <c r="F14" s="44" t="s">
        <v>142</v>
      </c>
      <c r="G14" s="44"/>
      <c r="H14" s="44"/>
      <c r="I14" s="44" t="s">
        <v>139</v>
      </c>
      <c r="J14" s="44"/>
      <c r="K14" s="44"/>
      <c r="L14" s="44" t="s">
        <v>159</v>
      </c>
      <c r="M14" s="44"/>
      <c r="N14" s="44"/>
    </row>
    <row r="15" spans="1:30" ht="18" customHeight="1" x14ac:dyDescent="0.25">
      <c r="A15" s="45"/>
      <c r="B15" s="43"/>
      <c r="C15" s="38" t="s">
        <v>109</v>
      </c>
      <c r="D15" s="38" t="s">
        <v>110</v>
      </c>
      <c r="E15" s="29" t="s">
        <v>111</v>
      </c>
      <c r="F15" s="38" t="s">
        <v>109</v>
      </c>
      <c r="G15" s="38" t="s">
        <v>110</v>
      </c>
      <c r="H15" s="29" t="s">
        <v>111</v>
      </c>
      <c r="I15" s="38" t="s">
        <v>109</v>
      </c>
      <c r="J15" s="38" t="s">
        <v>110</v>
      </c>
      <c r="K15" s="29" t="s">
        <v>111</v>
      </c>
      <c r="L15" s="38" t="s">
        <v>109</v>
      </c>
      <c r="M15" s="38" t="s">
        <v>110</v>
      </c>
      <c r="N15" s="29" t="s">
        <v>111</v>
      </c>
    </row>
    <row r="16" spans="1:30" x14ac:dyDescent="0.25">
      <c r="A16" s="43" t="s">
        <v>138</v>
      </c>
      <c r="C16" s="1">
        <v>0.83</v>
      </c>
      <c r="D16" s="1">
        <v>0.85</v>
      </c>
      <c r="E16" s="41">
        <f>(C16-D16)/C16</f>
        <v>-2.4096385542168697E-2</v>
      </c>
      <c r="F16" s="1">
        <v>1.33</v>
      </c>
      <c r="G16" s="1">
        <v>1.32</v>
      </c>
      <c r="H16" s="41">
        <f>(F16-G16)/F16</f>
        <v>7.5187969924812095E-3</v>
      </c>
      <c r="I16" s="1">
        <v>1.66</v>
      </c>
      <c r="J16" s="1">
        <v>1.69</v>
      </c>
      <c r="K16" s="41">
        <f>(I16-J16)/I16</f>
        <v>-1.8072289156626523E-2</v>
      </c>
      <c r="L16" s="1">
        <v>2.0699999999999998</v>
      </c>
      <c r="M16" s="1">
        <v>2.13</v>
      </c>
      <c r="N16" s="41">
        <f>(L16-M16)/L16</f>
        <v>-2.898550724637684E-2</v>
      </c>
    </row>
    <row r="17" spans="1:14" x14ac:dyDescent="0.25">
      <c r="A17" s="43"/>
      <c r="C17" s="1">
        <v>0.46</v>
      </c>
      <c r="D17" s="1">
        <v>0.46</v>
      </c>
      <c r="E17" s="41">
        <f t="shared" ref="E17:E20" si="4">(C17-D17)/C17</f>
        <v>0</v>
      </c>
      <c r="F17" s="1">
        <v>0.42</v>
      </c>
      <c r="G17" s="1">
        <v>0.43</v>
      </c>
      <c r="H17" s="41">
        <f t="shared" ref="H17:H20" si="5">(F17-G17)/F17</f>
        <v>-2.3809523809523832E-2</v>
      </c>
      <c r="I17" s="1">
        <v>0.45</v>
      </c>
      <c r="J17" s="1">
        <v>0.45</v>
      </c>
      <c r="K17" s="41">
        <f t="shared" ref="K17:K20" si="6">(I17-J17)/I17</f>
        <v>0</v>
      </c>
      <c r="L17" s="1">
        <v>0.43</v>
      </c>
      <c r="M17" s="1">
        <v>0.45</v>
      </c>
      <c r="N17" s="41">
        <f t="shared" ref="N17:N20" si="7">(L17-M17)/L17</f>
        <v>-4.6511627906976785E-2</v>
      </c>
    </row>
    <row r="18" spans="1:14" x14ac:dyDescent="0.25">
      <c r="A18" s="1"/>
      <c r="C18" s="1"/>
      <c r="D18" s="1"/>
      <c r="E18" s="23"/>
      <c r="F18" s="1"/>
      <c r="G18" s="1"/>
      <c r="H18" s="23"/>
      <c r="I18" s="1"/>
      <c r="J18" s="1"/>
      <c r="K18" s="23"/>
      <c r="L18" s="1"/>
      <c r="M18" s="1"/>
      <c r="N18" s="23"/>
    </row>
    <row r="19" spans="1:14" x14ac:dyDescent="0.25">
      <c r="A19" s="43" t="s">
        <v>160</v>
      </c>
      <c r="B19" s="39"/>
      <c r="C19" s="1">
        <v>0.75</v>
      </c>
      <c r="D19" s="1">
        <v>0.77</v>
      </c>
      <c r="E19" s="41">
        <f t="shared" si="4"/>
        <v>-2.6666666666666689E-2</v>
      </c>
      <c r="F19" s="1">
        <v>1.22</v>
      </c>
      <c r="G19" s="1">
        <v>1.21</v>
      </c>
      <c r="H19" s="41">
        <f t="shared" si="5"/>
        <v>8.1967213114754172E-3</v>
      </c>
      <c r="I19" s="1">
        <v>1.44</v>
      </c>
      <c r="J19" s="1">
        <v>1.45</v>
      </c>
      <c r="K19" s="41">
        <f t="shared" si="6"/>
        <v>-6.944444444444451E-3</v>
      </c>
      <c r="L19" s="1">
        <v>1.79</v>
      </c>
      <c r="M19" s="1">
        <v>1.87</v>
      </c>
      <c r="N19" s="41">
        <f t="shared" si="7"/>
        <v>-4.4692737430167634E-2</v>
      </c>
    </row>
    <row r="20" spans="1:14" x14ac:dyDescent="0.25">
      <c r="A20" s="43"/>
      <c r="B20" s="39"/>
      <c r="C20" s="1">
        <v>0.48</v>
      </c>
      <c r="D20" s="1">
        <v>0.48</v>
      </c>
      <c r="E20" s="41">
        <f t="shared" si="4"/>
        <v>0</v>
      </c>
      <c r="F20" s="1">
        <v>0.41</v>
      </c>
      <c r="G20" s="1">
        <v>0.44</v>
      </c>
      <c r="H20" s="41">
        <f t="shared" si="5"/>
        <v>-7.3170731707317138E-2</v>
      </c>
      <c r="I20" s="1">
        <v>0.43</v>
      </c>
      <c r="J20" s="1">
        <v>0.42</v>
      </c>
      <c r="K20" s="41">
        <f t="shared" si="6"/>
        <v>2.3255813953488393E-2</v>
      </c>
      <c r="L20" s="1">
        <v>0.43</v>
      </c>
      <c r="M20" s="1">
        <v>0.47</v>
      </c>
      <c r="N20" s="41">
        <f t="shared" si="7"/>
        <v>-9.3023255813953445E-2</v>
      </c>
    </row>
    <row r="21" spans="1:14" x14ac:dyDescent="0.25">
      <c r="D21" s="34"/>
      <c r="E21" s="1"/>
      <c r="F21" s="1"/>
      <c r="G21" s="1"/>
      <c r="H21" s="1"/>
      <c r="I21" s="1"/>
      <c r="J21" s="1"/>
      <c r="K21" s="1"/>
      <c r="L21" s="1"/>
      <c r="M21" s="1"/>
      <c r="N21" s="1"/>
    </row>
    <row r="27" spans="1:14" x14ac:dyDescent="0.25">
      <c r="A27" s="45" t="s">
        <v>103</v>
      </c>
      <c r="B27" s="43" t="s">
        <v>172</v>
      </c>
      <c r="C27" s="44" t="s">
        <v>163</v>
      </c>
      <c r="D27" s="44"/>
      <c r="E27" s="44"/>
      <c r="F27" s="44" t="s">
        <v>164</v>
      </c>
      <c r="G27" s="44"/>
      <c r="H27" s="44"/>
      <c r="I27" s="44" t="s">
        <v>165</v>
      </c>
      <c r="J27" s="44"/>
      <c r="K27" s="44"/>
      <c r="L27" s="44" t="s">
        <v>166</v>
      </c>
      <c r="M27" s="44"/>
      <c r="N27" s="44"/>
    </row>
    <row r="28" spans="1:14" x14ac:dyDescent="0.25">
      <c r="A28" s="45"/>
      <c r="B28" s="43"/>
      <c r="C28" s="38" t="s">
        <v>109</v>
      </c>
      <c r="D28" s="38" t="s">
        <v>110</v>
      </c>
      <c r="E28" s="29" t="s">
        <v>111</v>
      </c>
      <c r="F28" s="38" t="s">
        <v>109</v>
      </c>
      <c r="G28" s="38" t="s">
        <v>110</v>
      </c>
      <c r="H28" s="29" t="s">
        <v>111</v>
      </c>
      <c r="I28" s="38" t="s">
        <v>109</v>
      </c>
      <c r="J28" s="38" t="s">
        <v>110</v>
      </c>
      <c r="K28" s="29" t="s">
        <v>111</v>
      </c>
      <c r="L28" s="38" t="s">
        <v>109</v>
      </c>
      <c r="M28" s="38" t="s">
        <v>110</v>
      </c>
      <c r="N28" s="29" t="s">
        <v>111</v>
      </c>
    </row>
    <row r="29" spans="1:14" x14ac:dyDescent="0.25">
      <c r="A29" s="43" t="s">
        <v>138</v>
      </c>
      <c r="C29" s="1">
        <v>0.15</v>
      </c>
      <c r="D29" s="1">
        <v>0.13</v>
      </c>
      <c r="E29" s="40">
        <f>(C29-D29)/C29</f>
        <v>0.13333333333333328</v>
      </c>
      <c r="F29" s="1">
        <v>0.41</v>
      </c>
      <c r="G29" s="1">
        <v>0.37</v>
      </c>
      <c r="H29" s="40">
        <f>(F29-G29)/F29</f>
        <v>9.7560975609756059E-2</v>
      </c>
      <c r="I29" s="1">
        <v>1</v>
      </c>
      <c r="J29" s="1">
        <v>0.92</v>
      </c>
      <c r="K29" s="40">
        <f>(I29-J29)/I29</f>
        <v>7.999999999999996E-2</v>
      </c>
      <c r="L29" s="1">
        <v>2.38</v>
      </c>
      <c r="M29" s="1">
        <v>2.2400000000000002</v>
      </c>
      <c r="N29" s="40">
        <f>(L29-M29)/L29</f>
        <v>5.8823529411764573E-2</v>
      </c>
    </row>
    <row r="30" spans="1:14" x14ac:dyDescent="0.25">
      <c r="A30" s="43"/>
      <c r="C30" s="1">
        <v>0.4</v>
      </c>
      <c r="D30" s="1">
        <v>0.35</v>
      </c>
      <c r="E30" s="40">
        <f t="shared" ref="E30:E33" si="8">(C30-D30)/C30</f>
        <v>0.12500000000000011</v>
      </c>
      <c r="F30" s="1">
        <v>0.35</v>
      </c>
      <c r="G30" s="1">
        <v>0.31</v>
      </c>
      <c r="H30" s="40">
        <f t="shared" ref="H30:H33" si="9">(F30-G30)/F30</f>
        <v>0.11428571428571424</v>
      </c>
      <c r="I30" s="1">
        <v>0.36</v>
      </c>
      <c r="J30" s="1">
        <v>0.35</v>
      </c>
      <c r="K30" s="40">
        <f t="shared" ref="K30:K33" si="10">(I30-J30)/I30</f>
        <v>2.7777777777777804E-2</v>
      </c>
      <c r="L30" s="1">
        <v>0.34</v>
      </c>
      <c r="M30" s="1">
        <v>0.37</v>
      </c>
      <c r="N30" s="40">
        <f t="shared" ref="N30:N33" si="11">(L30-M30)/L30</f>
        <v>-8.8235294117646967E-2</v>
      </c>
    </row>
    <row r="31" spans="1:14" x14ac:dyDescent="0.25">
      <c r="A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43" t="s">
        <v>160</v>
      </c>
      <c r="B32" s="39"/>
      <c r="C32" s="1">
        <v>0.14000000000000001</v>
      </c>
      <c r="D32" s="1">
        <v>0.12</v>
      </c>
      <c r="E32" s="40">
        <f t="shared" si="8"/>
        <v>0.14285714285714296</v>
      </c>
      <c r="F32" s="1">
        <v>0.4</v>
      </c>
      <c r="G32" s="1">
        <v>0.35</v>
      </c>
      <c r="H32" s="40">
        <f t="shared" si="9"/>
        <v>0.12500000000000011</v>
      </c>
      <c r="I32" s="1">
        <v>0.93</v>
      </c>
      <c r="J32" s="1">
        <v>0.87</v>
      </c>
      <c r="K32" s="40">
        <f t="shared" si="10"/>
        <v>6.4516129032258118E-2</v>
      </c>
      <c r="L32" s="1">
        <v>2.17</v>
      </c>
      <c r="M32" s="1">
        <v>2.04</v>
      </c>
      <c r="N32" s="40">
        <f t="shared" si="11"/>
        <v>5.9907834101382444E-2</v>
      </c>
    </row>
    <row r="33" spans="1:14" x14ac:dyDescent="0.25">
      <c r="A33" s="43"/>
      <c r="B33" s="39"/>
      <c r="C33" s="1">
        <v>0.37</v>
      </c>
      <c r="D33" s="1">
        <v>0.28999999999999998</v>
      </c>
      <c r="E33" s="40">
        <f t="shared" si="8"/>
        <v>0.21621621621621626</v>
      </c>
      <c r="F33" s="1">
        <v>0.32</v>
      </c>
      <c r="G33" s="1">
        <v>0.24</v>
      </c>
      <c r="H33" s="40">
        <f t="shared" si="9"/>
        <v>0.25000000000000006</v>
      </c>
      <c r="I33" s="1">
        <v>0.32</v>
      </c>
      <c r="J33" s="1">
        <v>0.27</v>
      </c>
      <c r="K33" s="40">
        <f t="shared" si="10"/>
        <v>0.15624999999999997</v>
      </c>
      <c r="L33" s="1">
        <v>0.28999999999999998</v>
      </c>
      <c r="M33" s="1">
        <v>0.28000000000000003</v>
      </c>
      <c r="N33" s="40">
        <f t="shared" si="11"/>
        <v>3.4482758620689495E-2</v>
      </c>
    </row>
    <row r="34" spans="1:14" x14ac:dyDescent="0.25">
      <c r="D34" s="34"/>
      <c r="E34" s="1"/>
      <c r="F34" s="1"/>
      <c r="G34" s="1"/>
      <c r="H34" s="1"/>
      <c r="I34" s="1"/>
      <c r="J34" s="1"/>
      <c r="K34" s="1"/>
      <c r="L34" s="1"/>
      <c r="M34" s="1"/>
      <c r="N34" s="1"/>
    </row>
    <row r="39" spans="1:14" x14ac:dyDescent="0.25">
      <c r="A39" s="42" t="s">
        <v>8</v>
      </c>
    </row>
    <row r="40" spans="1:14" x14ac:dyDescent="0.25">
      <c r="A40" s="42" t="s">
        <v>106</v>
      </c>
      <c r="B40" t="s">
        <v>169</v>
      </c>
    </row>
    <row r="42" spans="1:14" x14ac:dyDescent="0.25">
      <c r="A42" s="42" t="s">
        <v>107</v>
      </c>
      <c r="B42" t="s">
        <v>170</v>
      </c>
    </row>
    <row r="44" spans="1:14" x14ac:dyDescent="0.25">
      <c r="A44" s="42" t="s">
        <v>167</v>
      </c>
      <c r="B44" t="s">
        <v>168</v>
      </c>
    </row>
  </sheetData>
  <mergeCells count="24">
    <mergeCell ref="F14:H14"/>
    <mergeCell ref="I14:K14"/>
    <mergeCell ref="I27:K27"/>
    <mergeCell ref="L27:N27"/>
    <mergeCell ref="L14:N14"/>
    <mergeCell ref="F27:H27"/>
    <mergeCell ref="A4:A5"/>
    <mergeCell ref="A7:A8"/>
    <mergeCell ref="A2:A3"/>
    <mergeCell ref="A14:A15"/>
    <mergeCell ref="A27:A28"/>
    <mergeCell ref="A16:A17"/>
    <mergeCell ref="A19:A20"/>
    <mergeCell ref="B2:B3"/>
    <mergeCell ref="C2:E2"/>
    <mergeCell ref="F2:H2"/>
    <mergeCell ref="I2:K2"/>
    <mergeCell ref="L2:N2"/>
    <mergeCell ref="B14:B15"/>
    <mergeCell ref="A29:A30"/>
    <mergeCell ref="A32:A33"/>
    <mergeCell ref="B27:B28"/>
    <mergeCell ref="C27:E27"/>
    <mergeCell ref="C14:E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E409-8975-4B38-94DB-0488B0DC3CF5}">
  <dimension ref="A1:AE10"/>
  <sheetViews>
    <sheetView workbookViewId="0">
      <selection activeCell="E22" sqref="E22"/>
    </sheetView>
  </sheetViews>
  <sheetFormatPr defaultRowHeight="15" x14ac:dyDescent="0.25"/>
  <cols>
    <col min="2" max="2" width="16.28515625" customWidth="1"/>
    <col min="3" max="3" width="36.42578125" customWidth="1"/>
    <col min="4" max="4" width="47.5703125" bestFit="1" customWidth="1"/>
    <col min="5" max="5" width="31.85546875" bestFit="1" customWidth="1"/>
  </cols>
  <sheetData>
    <row r="1" spans="1:31" x14ac:dyDescent="0.25">
      <c r="B1" t="s">
        <v>134</v>
      </c>
      <c r="C1" t="s">
        <v>135</v>
      </c>
      <c r="D1" s="32" t="s">
        <v>136</v>
      </c>
    </row>
    <row r="2" spans="1:31" x14ac:dyDescent="0.25">
      <c r="A2" t="s">
        <v>119</v>
      </c>
      <c r="B2" s="1">
        <v>1.1399999999999999</v>
      </c>
      <c r="C2" s="1">
        <v>226</v>
      </c>
      <c r="D2" s="33">
        <f>(B2/C2)*1024</f>
        <v>5.1653097345132739</v>
      </c>
    </row>
    <row r="3" spans="1:31" x14ac:dyDescent="0.25">
      <c r="A3" t="s">
        <v>120</v>
      </c>
      <c r="B3" s="1">
        <v>1.17</v>
      </c>
      <c r="C3" s="1">
        <v>233</v>
      </c>
      <c r="D3" s="33">
        <f t="shared" ref="D3:D5" si="0">(B3/C3)*1024</f>
        <v>5.1419742489270384</v>
      </c>
    </row>
    <row r="4" spans="1:31" x14ac:dyDescent="0.25">
      <c r="A4" t="s">
        <v>121</v>
      </c>
      <c r="B4" s="1">
        <v>4.1900000000000004</v>
      </c>
      <c r="C4" s="1">
        <v>587</v>
      </c>
      <c r="D4" s="33">
        <f t="shared" si="0"/>
        <v>7.3093015332197622</v>
      </c>
    </row>
    <row r="5" spans="1:31" x14ac:dyDescent="0.25">
      <c r="A5" t="s">
        <v>122</v>
      </c>
      <c r="B5" s="1">
        <v>3.28</v>
      </c>
      <c r="C5" s="1">
        <v>456</v>
      </c>
      <c r="D5" s="33">
        <f t="shared" si="0"/>
        <v>7.3656140350877193</v>
      </c>
    </row>
    <row r="7" spans="1:31" x14ac:dyDescent="0.25">
      <c r="C7" t="s">
        <v>123</v>
      </c>
      <c r="D7" t="s">
        <v>129</v>
      </c>
      <c r="E7" t="s">
        <v>130</v>
      </c>
      <c r="F7">
        <v>30501</v>
      </c>
      <c r="G7">
        <v>30502</v>
      </c>
      <c r="H7">
        <v>30503</v>
      </c>
      <c r="I7">
        <v>30504</v>
      </c>
      <c r="J7">
        <v>5051</v>
      </c>
      <c r="K7">
        <v>30401</v>
      </c>
      <c r="L7">
        <v>30402</v>
      </c>
      <c r="M7">
        <v>30403</v>
      </c>
      <c r="N7">
        <v>30404</v>
      </c>
      <c r="O7">
        <v>5041</v>
      </c>
      <c r="P7">
        <v>30301</v>
      </c>
      <c r="Q7">
        <v>30302</v>
      </c>
      <c r="R7">
        <v>30303</v>
      </c>
      <c r="S7">
        <v>30304</v>
      </c>
      <c r="T7">
        <v>5031</v>
      </c>
      <c r="U7">
        <v>30201</v>
      </c>
      <c r="V7">
        <v>30202</v>
      </c>
      <c r="W7">
        <v>30203</v>
      </c>
      <c r="X7">
        <v>30204</v>
      </c>
      <c r="Y7">
        <v>5021</v>
      </c>
      <c r="Z7">
        <v>30101</v>
      </c>
      <c r="AA7">
        <v>30102</v>
      </c>
      <c r="AB7">
        <v>30103</v>
      </c>
      <c r="AC7">
        <v>30104</v>
      </c>
      <c r="AD7">
        <v>5011</v>
      </c>
      <c r="AE7" t="s">
        <v>131</v>
      </c>
    </row>
    <row r="8" spans="1:31" x14ac:dyDescent="0.25">
      <c r="C8" t="s">
        <v>124</v>
      </c>
      <c r="D8" t="s">
        <v>129</v>
      </c>
      <c r="E8" t="s">
        <v>130</v>
      </c>
      <c r="F8">
        <v>30501</v>
      </c>
      <c r="G8">
        <v>30502</v>
      </c>
      <c r="H8">
        <v>30503</v>
      </c>
      <c r="I8">
        <v>30504</v>
      </c>
      <c r="J8">
        <v>5051</v>
      </c>
      <c r="K8">
        <v>30401</v>
      </c>
      <c r="L8">
        <v>30402</v>
      </c>
      <c r="M8">
        <v>30403</v>
      </c>
      <c r="N8">
        <v>30404</v>
      </c>
      <c r="O8">
        <v>5041</v>
      </c>
      <c r="P8">
        <v>30301</v>
      </c>
      <c r="Q8">
        <v>30302</v>
      </c>
      <c r="R8">
        <v>30303</v>
      </c>
      <c r="S8">
        <v>30304</v>
      </c>
      <c r="T8">
        <v>5031</v>
      </c>
      <c r="U8">
        <v>30201</v>
      </c>
      <c r="V8">
        <v>30202</v>
      </c>
      <c r="W8">
        <v>30203</v>
      </c>
      <c r="X8">
        <v>30204</v>
      </c>
      <c r="Y8">
        <v>5021</v>
      </c>
      <c r="Z8">
        <v>30101</v>
      </c>
      <c r="AA8">
        <v>30102</v>
      </c>
      <c r="AB8">
        <v>30103</v>
      </c>
      <c r="AC8">
        <v>30104</v>
      </c>
      <c r="AD8">
        <v>5011</v>
      </c>
      <c r="AE8" t="s">
        <v>131</v>
      </c>
    </row>
    <row r="9" spans="1:31" x14ac:dyDescent="0.25">
      <c r="C9" t="s">
        <v>125</v>
      </c>
      <c r="D9" t="s">
        <v>127</v>
      </c>
      <c r="E9" t="s">
        <v>132</v>
      </c>
      <c r="F9">
        <v>6011</v>
      </c>
      <c r="G9">
        <v>6012</v>
      </c>
      <c r="H9">
        <v>6021</v>
      </c>
      <c r="I9">
        <v>6022</v>
      </c>
      <c r="J9">
        <v>6031</v>
      </c>
      <c r="K9">
        <v>6032</v>
      </c>
      <c r="L9">
        <v>6041</v>
      </c>
      <c r="M9">
        <v>6042</v>
      </c>
      <c r="N9" t="s">
        <v>131</v>
      </c>
    </row>
    <row r="10" spans="1:31" x14ac:dyDescent="0.25">
      <c r="C10" t="s">
        <v>126</v>
      </c>
      <c r="D10" t="s">
        <v>128</v>
      </c>
      <c r="E10" t="s">
        <v>133</v>
      </c>
      <c r="F10">
        <v>40601</v>
      </c>
      <c r="G10">
        <v>40602</v>
      </c>
      <c r="H10">
        <v>40603</v>
      </c>
      <c r="I10">
        <v>40604</v>
      </c>
      <c r="J10">
        <v>40501</v>
      </c>
      <c r="K10">
        <v>40502</v>
      </c>
      <c r="L10">
        <v>40503</v>
      </c>
      <c r="M10">
        <v>40504</v>
      </c>
      <c r="N10">
        <v>40401</v>
      </c>
      <c r="O10">
        <v>40402</v>
      </c>
      <c r="P10">
        <v>40403</v>
      </c>
      <c r="Q10">
        <v>40404</v>
      </c>
      <c r="R10">
        <v>40301</v>
      </c>
      <c r="S10">
        <v>40302</v>
      </c>
      <c r="T10">
        <v>40303</v>
      </c>
      <c r="U10">
        <v>40304</v>
      </c>
      <c r="V10">
        <v>40201</v>
      </c>
      <c r="W10">
        <v>40202</v>
      </c>
      <c r="X10">
        <v>40203</v>
      </c>
      <c r="Y10">
        <v>40204</v>
      </c>
      <c r="Z10" t="s">
        <v>131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FF1D-E816-4B42-B22F-2A4022E2054D}">
  <dimension ref="A2:S56"/>
  <sheetViews>
    <sheetView tabSelected="1" workbookViewId="0">
      <selection activeCell="J9" sqref="J9"/>
    </sheetView>
  </sheetViews>
  <sheetFormatPr defaultRowHeight="15" x14ac:dyDescent="0.25"/>
  <cols>
    <col min="1" max="1" width="9.140625" customWidth="1"/>
    <col min="3" max="3" width="17.5703125" bestFit="1" customWidth="1"/>
    <col min="4" max="4" width="11.85546875" customWidth="1"/>
    <col min="5" max="5" width="12.5703125" customWidth="1"/>
    <col min="12" max="12" width="13.5703125" customWidth="1"/>
    <col min="14" max="14" width="14.5703125" customWidth="1"/>
    <col min="16" max="16" width="10.85546875" customWidth="1"/>
    <col min="17" max="17" width="11" customWidth="1"/>
  </cols>
  <sheetData>
    <row r="2" spans="1:19" x14ac:dyDescent="0.25">
      <c r="A2" s="35" t="s">
        <v>143</v>
      </c>
      <c r="B2" s="1" t="s">
        <v>144</v>
      </c>
      <c r="C2" s="1" t="s">
        <v>145</v>
      </c>
      <c r="D2" s="37" t="s">
        <v>146</v>
      </c>
      <c r="E2" s="1" t="s">
        <v>147</v>
      </c>
    </row>
    <row r="3" spans="1:19" x14ac:dyDescent="0.25">
      <c r="A3" s="35" t="s">
        <v>148</v>
      </c>
      <c r="B3" s="1">
        <v>1.84</v>
      </c>
      <c r="C3" s="1">
        <v>0.11799999999999999</v>
      </c>
      <c r="D3" s="37">
        <v>0.56299999999999994</v>
      </c>
      <c r="E3" s="1">
        <v>2.7349999999999999</v>
      </c>
    </row>
    <row r="4" spans="1:19" x14ac:dyDescent="0.25">
      <c r="A4" s="35" t="s">
        <v>149</v>
      </c>
      <c r="B4" s="1">
        <v>1.84</v>
      </c>
      <c r="C4" s="1">
        <v>0.13900000000000001</v>
      </c>
      <c r="D4" s="37">
        <v>0.63400000000000001</v>
      </c>
      <c r="E4" s="1">
        <v>2.173</v>
      </c>
    </row>
    <row r="5" spans="1:19" x14ac:dyDescent="0.25">
      <c r="A5" s="35" t="s">
        <v>150</v>
      </c>
      <c r="B5" s="1">
        <v>1.84</v>
      </c>
      <c r="C5" s="1">
        <v>7.4999999999999997E-2</v>
      </c>
      <c r="D5" s="37">
        <v>0.69699999999999995</v>
      </c>
      <c r="E5" s="1">
        <v>2.867</v>
      </c>
      <c r="J5" s="36"/>
    </row>
    <row r="6" spans="1:19" x14ac:dyDescent="0.25">
      <c r="A6" s="35" t="s">
        <v>151</v>
      </c>
      <c r="B6" s="1">
        <v>1.84</v>
      </c>
      <c r="C6" s="1">
        <v>0.22</v>
      </c>
      <c r="D6" s="37">
        <v>0.47399999999999998</v>
      </c>
      <c r="E6" s="1">
        <v>1.9330000000000001</v>
      </c>
      <c r="J6" s="36"/>
    </row>
    <row r="7" spans="1:19" x14ac:dyDescent="0.25">
      <c r="A7" s="35" t="s">
        <v>152</v>
      </c>
      <c r="B7" s="1">
        <v>1.84</v>
      </c>
      <c r="C7" s="1">
        <v>0.19700000000000001</v>
      </c>
      <c r="D7" s="37">
        <v>0.32</v>
      </c>
      <c r="E7" s="1">
        <v>3.2160000000000002</v>
      </c>
      <c r="J7" s="36"/>
      <c r="S7" s="36"/>
    </row>
    <row r="8" spans="1:19" x14ac:dyDescent="0.25">
      <c r="A8" s="35" t="s">
        <v>153</v>
      </c>
      <c r="B8" s="1">
        <v>1.84</v>
      </c>
      <c r="C8" s="1">
        <v>6.5000000000000002E-2</v>
      </c>
      <c r="D8" s="37">
        <v>0.69899999999999995</v>
      </c>
      <c r="E8" s="1">
        <v>3.0590000000000002</v>
      </c>
      <c r="J8" s="36"/>
      <c r="L8" s="36"/>
      <c r="S8" s="36"/>
    </row>
    <row r="9" spans="1:19" x14ac:dyDescent="0.25">
      <c r="A9" s="35" t="s">
        <v>154</v>
      </c>
      <c r="B9" s="1">
        <v>1.84</v>
      </c>
      <c r="C9" s="1">
        <v>7.1999999999999995E-2</v>
      </c>
      <c r="D9" s="37">
        <v>0.71499999999999997</v>
      </c>
      <c r="E9" s="1">
        <v>2.8479999999999999</v>
      </c>
      <c r="J9" s="36"/>
      <c r="L9" s="36"/>
      <c r="S9" s="36"/>
    </row>
    <row r="10" spans="1:19" x14ac:dyDescent="0.25">
      <c r="A10" s="35" t="s">
        <v>103</v>
      </c>
      <c r="B10" s="1">
        <v>1.84</v>
      </c>
      <c r="C10" s="1">
        <v>0.09</v>
      </c>
      <c r="D10" s="37">
        <v>0.73799999999999999</v>
      </c>
      <c r="E10" s="1">
        <v>2.4470000000000001</v>
      </c>
      <c r="J10" s="36"/>
      <c r="L10" s="36"/>
      <c r="S10" s="36"/>
    </row>
    <row r="11" spans="1:19" x14ac:dyDescent="0.25">
      <c r="A11" s="35" t="s">
        <v>155</v>
      </c>
      <c r="B11" s="1">
        <v>1.84</v>
      </c>
      <c r="C11" s="1">
        <v>7.6999999999999999E-2</v>
      </c>
      <c r="D11" s="37">
        <v>0.78500000000000003</v>
      </c>
      <c r="E11" s="1">
        <v>2.5070000000000001</v>
      </c>
      <c r="J11" s="36"/>
      <c r="L11" s="36"/>
      <c r="S11" s="36"/>
    </row>
    <row r="12" spans="1:19" x14ac:dyDescent="0.25">
      <c r="A12" s="35" t="s">
        <v>156</v>
      </c>
      <c r="B12" s="1">
        <v>1.84</v>
      </c>
      <c r="C12" s="1">
        <v>0.14599999999999999</v>
      </c>
      <c r="D12" s="37">
        <v>0.72799999999999998</v>
      </c>
      <c r="E12" s="1">
        <v>1.825</v>
      </c>
      <c r="J12" s="36"/>
      <c r="L12" s="36"/>
      <c r="S12" s="36"/>
    </row>
    <row r="13" spans="1:19" x14ac:dyDescent="0.25">
      <c r="A13" s="35" t="s">
        <v>7</v>
      </c>
      <c r="B13" s="1">
        <v>1.84</v>
      </c>
      <c r="C13" s="1">
        <v>7.2999999999999995E-2</v>
      </c>
      <c r="D13" s="37">
        <v>0.74099999999999999</v>
      </c>
      <c r="E13" s="1">
        <v>2.734</v>
      </c>
      <c r="J13" s="36"/>
      <c r="L13" s="36"/>
      <c r="S13" s="36"/>
    </row>
    <row r="14" spans="1:19" x14ac:dyDescent="0.25">
      <c r="A14" s="35" t="s">
        <v>3</v>
      </c>
      <c r="B14" s="1">
        <v>1.84</v>
      </c>
      <c r="C14" s="1">
        <v>6.5000000000000002E-2</v>
      </c>
      <c r="D14" s="1">
        <v>0.69599999999999995</v>
      </c>
      <c r="E14" s="1">
        <v>3.0750000000000002</v>
      </c>
      <c r="J14" s="36"/>
      <c r="L14" s="36"/>
      <c r="S14" s="36"/>
    </row>
    <row r="15" spans="1:19" x14ac:dyDescent="0.25">
      <c r="J15" s="36"/>
      <c r="L15" s="36"/>
      <c r="S15" s="36"/>
    </row>
    <row r="16" spans="1:19" x14ac:dyDescent="0.25">
      <c r="J16" s="36"/>
      <c r="L16" s="36"/>
      <c r="S16" s="36"/>
    </row>
    <row r="17" spans="1:19" x14ac:dyDescent="0.25">
      <c r="A17" s="36" t="s">
        <v>143</v>
      </c>
      <c r="B17" t="s">
        <v>144</v>
      </c>
      <c r="C17" t="s">
        <v>158</v>
      </c>
      <c r="E17" t="s">
        <v>157</v>
      </c>
      <c r="J17" s="36"/>
      <c r="L17" s="36"/>
      <c r="S17" s="36"/>
    </row>
    <row r="18" spans="1:19" x14ac:dyDescent="0.25">
      <c r="A18" s="36" t="s">
        <v>103</v>
      </c>
      <c r="B18" s="1">
        <v>1.84</v>
      </c>
      <c r="C18" s="1">
        <v>0.55000000000000004</v>
      </c>
      <c r="E18" s="1">
        <v>2.4470000000000001</v>
      </c>
      <c r="L18" s="36"/>
      <c r="S18" s="36"/>
    </row>
    <row r="19" spans="1:19" x14ac:dyDescent="0.25">
      <c r="L19" s="36"/>
      <c r="S19" s="36"/>
    </row>
    <row r="20" spans="1:19" x14ac:dyDescent="0.25">
      <c r="L20" s="36"/>
      <c r="S20" s="36"/>
    </row>
    <row r="21" spans="1:19" x14ac:dyDescent="0.25">
      <c r="S21" s="36"/>
    </row>
    <row r="22" spans="1:19" x14ac:dyDescent="0.25">
      <c r="S22" s="36"/>
    </row>
    <row r="23" spans="1:19" x14ac:dyDescent="0.25">
      <c r="S23" s="36"/>
    </row>
    <row r="24" spans="1:19" x14ac:dyDescent="0.25">
      <c r="E24" s="36"/>
      <c r="S24" s="36"/>
    </row>
    <row r="25" spans="1:19" x14ac:dyDescent="0.25">
      <c r="E25" s="36"/>
      <c r="S25" s="36"/>
    </row>
    <row r="26" spans="1:19" x14ac:dyDescent="0.25">
      <c r="E26" s="36"/>
      <c r="S26" s="36"/>
    </row>
    <row r="27" spans="1:19" x14ac:dyDescent="0.25">
      <c r="E27" s="36"/>
      <c r="S27" s="36"/>
    </row>
    <row r="28" spans="1:19" x14ac:dyDescent="0.25">
      <c r="E28" s="36"/>
      <c r="S28" s="36"/>
    </row>
    <row r="29" spans="1:19" x14ac:dyDescent="0.25">
      <c r="E29" s="36"/>
      <c r="S29" s="36"/>
    </row>
    <row r="30" spans="1:19" x14ac:dyDescent="0.25">
      <c r="E30" s="36"/>
      <c r="S30" s="36"/>
    </row>
    <row r="31" spans="1:19" x14ac:dyDescent="0.25">
      <c r="E31" s="36"/>
    </row>
    <row r="32" spans="1:19" x14ac:dyDescent="0.25">
      <c r="E32" s="36"/>
    </row>
    <row r="33" spans="5:12" x14ac:dyDescent="0.25">
      <c r="E33" s="36"/>
    </row>
    <row r="34" spans="5:12" x14ac:dyDescent="0.25">
      <c r="E34" s="36"/>
    </row>
    <row r="35" spans="5:12" x14ac:dyDescent="0.25">
      <c r="E35" s="36"/>
    </row>
    <row r="36" spans="5:12" x14ac:dyDescent="0.25">
      <c r="E36" s="36"/>
    </row>
    <row r="44" spans="5:12" x14ac:dyDescent="0.25">
      <c r="L44" s="36"/>
    </row>
    <row r="45" spans="5:12" x14ac:dyDescent="0.25">
      <c r="L45" s="36"/>
    </row>
    <row r="46" spans="5:12" x14ac:dyDescent="0.25">
      <c r="L46" s="36"/>
    </row>
    <row r="47" spans="5:12" x14ac:dyDescent="0.25">
      <c r="L47" s="36"/>
    </row>
    <row r="48" spans="5:12" x14ac:dyDescent="0.25">
      <c r="L48" s="36"/>
    </row>
    <row r="49" spans="12:12" x14ac:dyDescent="0.25">
      <c r="L49" s="36"/>
    </row>
    <row r="50" spans="12:12" x14ac:dyDescent="0.25">
      <c r="L50" s="36"/>
    </row>
    <row r="51" spans="12:12" x14ac:dyDescent="0.25">
      <c r="L51" s="36"/>
    </row>
    <row r="52" spans="12:12" x14ac:dyDescent="0.25">
      <c r="L52" s="36"/>
    </row>
    <row r="53" spans="12:12" x14ac:dyDescent="0.25">
      <c r="L53" s="36"/>
    </row>
    <row r="54" spans="12:12" x14ac:dyDescent="0.25">
      <c r="L54" s="36"/>
    </row>
    <row r="55" spans="12:12" x14ac:dyDescent="0.25">
      <c r="L55" s="36"/>
    </row>
    <row r="56" spans="12:12" x14ac:dyDescent="0.25">
      <c r="L56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GMSel_ΔM (±)</vt:lpstr>
      <vt:lpstr>EQ-Infor_Guw-BCH</vt:lpstr>
      <vt:lpstr>CY14-effectOnMIDR_RDR_PFA</vt:lpstr>
      <vt:lpstr>BCH16-effectOnMIDR_RDR_PFA</vt:lpstr>
      <vt:lpstr>effectOnMIDR_RDR_PFA</vt:lpstr>
      <vt:lpstr>OutputMemorySize</vt:lpstr>
      <vt:lpstr>epsilon_bar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sks</dc:creator>
  <cp:lastModifiedBy>Shivakumar K S</cp:lastModifiedBy>
  <dcterms:created xsi:type="dcterms:W3CDTF">2026-08-26T21:48:54Z</dcterms:created>
  <dcterms:modified xsi:type="dcterms:W3CDTF">2026-10-07T08:50:32Z</dcterms:modified>
</cp:coreProperties>
</file>