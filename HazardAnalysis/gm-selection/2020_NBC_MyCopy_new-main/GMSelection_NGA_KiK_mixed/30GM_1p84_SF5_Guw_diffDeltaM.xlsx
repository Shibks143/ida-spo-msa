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StaticDynamicAnalysis\ida-spo-msa\HazardAnalysis\gm-selection\2020_NBC_MyCopy_new-main\GMSelection_NGA_KiK_mixed\"/>
    </mc:Choice>
  </mc:AlternateContent>
  <xr:revisionPtr revIDLastSave="0" documentId="13_ncr:1_{EF958599-258A-461E-B668-ADC8B2EA4EC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MSel_ΔM (±)" sheetId="1" r:id="rId1"/>
    <sheet name="EQ-Infor_Guw-B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03" i="1" l="1"/>
  <c r="T103" i="1"/>
  <c r="P103" i="1"/>
  <c r="O103" i="1"/>
  <c r="K103" i="1"/>
  <c r="J103" i="1"/>
  <c r="L100" i="1"/>
  <c r="L101" i="1"/>
  <c r="V101" i="1"/>
  <c r="Q101" i="1"/>
  <c r="V100" i="1"/>
  <c r="Q100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39" i="1"/>
</calcChain>
</file>

<file path=xl/sharedStrings.xml><?xml version="1.0" encoding="utf-8"?>
<sst xmlns="http://schemas.openxmlformats.org/spreadsheetml/2006/main" count="90" uniqueCount="43">
  <si>
    <t>SNo</t>
  </si>
  <si>
    <t>RSN</t>
  </si>
  <si>
    <t>SF</t>
  </si>
  <si>
    <t>CY14</t>
  </si>
  <si>
    <t>ΔM (±)= 1.5</t>
  </si>
  <si>
    <t>ΔM (±) = 1.5</t>
  </si>
  <si>
    <t>ΔM (±) = 4</t>
  </si>
  <si>
    <t>ASK14</t>
  </si>
  <si>
    <t xml:space="preserve">Note: </t>
  </si>
  <si>
    <t>1) RSN 5663 is not selected in CY14 and ASK14</t>
  </si>
  <si>
    <t xml:space="preserve"> Magnitude</t>
  </si>
  <si>
    <t xml:space="preserve"> Rjb (km)</t>
  </si>
  <si>
    <t xml:space="preserve"> Vs30 (m/sec)</t>
  </si>
  <si>
    <t xml:space="preserve"> RSN</t>
  </si>
  <si>
    <t xml:space="preserve"> Earthquake Name</t>
  </si>
  <si>
    <t xml:space="preserve"> "Kern County"</t>
  </si>
  <si>
    <t xml:space="preserve"> "San Fernando"</t>
  </si>
  <si>
    <t xml:space="preserve"> "Northridge-01"</t>
  </si>
  <si>
    <t xml:space="preserve"> "Kocaeli_ Turkey"</t>
  </si>
  <si>
    <t xml:space="preserve"> "Chi-Chi_ Taiwan"</t>
  </si>
  <si>
    <t xml:space="preserve"> "Chi-Chi_ Taiwan-03"</t>
  </si>
  <si>
    <t xml:space="preserve"> "Chi-Chi_ Taiwan-06"</t>
  </si>
  <si>
    <t xml:space="preserve"> "Cape Mendocino"</t>
  </si>
  <si>
    <t xml:space="preserve"> "Umbria Marche_ Italy"</t>
  </si>
  <si>
    <t xml:space="preserve"> "Chuetsu-oki_ Japan"</t>
  </si>
  <si>
    <t xml:space="preserve"> "Iwate_ Japan"</t>
  </si>
  <si>
    <t xml:space="preserve"> Year</t>
  </si>
  <si>
    <t>PGV (m/s)</t>
  </si>
  <si>
    <t>unscaled spectra, PGA (g)</t>
  </si>
  <si>
    <t>UnscaledAccRecord6262</t>
  </si>
  <si>
    <t>UnscaledAccRecord6263</t>
  </si>
  <si>
    <t>UnscaledAccRecord6283</t>
  </si>
  <si>
    <t>8 RSNs newly added</t>
  </si>
  <si>
    <t>Duration Before Trim</t>
  </si>
  <si>
    <t>Duration After 5% Trim</t>
  </si>
  <si>
    <t>EQID</t>
  </si>
  <si>
    <t>% Reduction</t>
  </si>
  <si>
    <t xml:space="preserve">BCH16 </t>
  </si>
  <si>
    <t>(UnscaledAccRecord4673)</t>
  </si>
  <si>
    <t>BCH16 (Sa_1&amp;Sa_2 = 0 for RSN = 5663,)</t>
  </si>
  <si>
    <t>Avg</t>
  </si>
  <si>
    <t>Max</t>
  </si>
  <si>
    <t>TotalDuration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</si>
</sst>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6"/>
      <color rgb="FF3F3F76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2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7" fillId="4" borderId="5" applyNumberFormat="0" applyFont="0" applyAlignment="0" applyProtection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1" applyAlignment="1">
      <alignment horizontal="center" vertical="center"/>
    </xf>
    <xf numFmtId="0" fontId="2" fillId="0" borderId="0" xfId="0" applyFont="1"/>
    <xf numFmtId="0" fontId="1" fillId="2" borderId="1" xfId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5" fillId="0" borderId="0" xfId="0" applyFont="1"/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2" borderId="1" xfId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2" fillId="4" borderId="5" xfId="2" applyNumberFormat="1" applyFont="1" applyAlignment="1">
      <alignment horizontal="center" vertical="center"/>
    </xf>
    <xf numFmtId="0" fontId="8" fillId="4" borderId="5" xfId="2" applyFont="1"/>
    <xf numFmtId="0" fontId="8" fillId="4" borderId="5" xfId="2" applyFont="1" applyAlignment="1">
      <alignment horizontal="right"/>
    </xf>
    <xf numFmtId="9" fontId="8" fillId="4" borderId="5" xfId="2" applyNumberFormat="1" applyFont="1" applyAlignment="1">
      <alignment horizontal="center" vertical="center"/>
    </xf>
    <xf numFmtId="0" fontId="8" fillId="4" borderId="5" xfId="2" applyFont="1" applyAlignment="1">
      <alignment horizontal="center" vertical="center"/>
    </xf>
    <xf numFmtId="0" fontId="4" fillId="2" borderId="1" xfId="1" applyFont="1" applyAlignment="1">
      <alignment horizont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</cellXfs>
  <cellStyles count="3"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76676137132343"/>
          <c:y val="0.11501737958430872"/>
          <c:w val="0.82992688800497871"/>
          <c:h val="0.77769017957994335"/>
        </c:manualLayout>
      </c:layout>
      <c:scatterChart>
        <c:scatterStyle val="lineMarker"/>
        <c:varyColors val="0"/>
        <c:ser>
          <c:idx val="0"/>
          <c:order val="0"/>
          <c:tx>
            <c:v>BCH16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'GMSel_ΔM (±)'!$I$39:$I$98</c:f>
              <c:numCache>
                <c:formatCode>General</c:formatCode>
                <c:ptCount val="60"/>
                <c:pt idx="0">
                  <c:v>70011</c:v>
                </c:pt>
                <c:pt idx="1">
                  <c:v>70012</c:v>
                </c:pt>
                <c:pt idx="2">
                  <c:v>70021</c:v>
                </c:pt>
                <c:pt idx="3">
                  <c:v>70022</c:v>
                </c:pt>
                <c:pt idx="4">
                  <c:v>70031</c:v>
                </c:pt>
                <c:pt idx="5">
                  <c:v>70032</c:v>
                </c:pt>
                <c:pt idx="6">
                  <c:v>70041</c:v>
                </c:pt>
                <c:pt idx="7">
                  <c:v>70042</c:v>
                </c:pt>
                <c:pt idx="8">
                  <c:v>70051</c:v>
                </c:pt>
                <c:pt idx="9">
                  <c:v>70052</c:v>
                </c:pt>
                <c:pt idx="10">
                  <c:v>70061</c:v>
                </c:pt>
                <c:pt idx="11">
                  <c:v>70062</c:v>
                </c:pt>
                <c:pt idx="12">
                  <c:v>70071</c:v>
                </c:pt>
                <c:pt idx="13">
                  <c:v>70072</c:v>
                </c:pt>
                <c:pt idx="14">
                  <c:v>70081</c:v>
                </c:pt>
                <c:pt idx="15">
                  <c:v>70082</c:v>
                </c:pt>
                <c:pt idx="16">
                  <c:v>70091</c:v>
                </c:pt>
                <c:pt idx="17">
                  <c:v>70092</c:v>
                </c:pt>
                <c:pt idx="18">
                  <c:v>70101</c:v>
                </c:pt>
                <c:pt idx="19">
                  <c:v>70102</c:v>
                </c:pt>
                <c:pt idx="20">
                  <c:v>70111</c:v>
                </c:pt>
                <c:pt idx="21">
                  <c:v>70112</c:v>
                </c:pt>
                <c:pt idx="22">
                  <c:v>70121</c:v>
                </c:pt>
                <c:pt idx="23">
                  <c:v>70122</c:v>
                </c:pt>
                <c:pt idx="24">
                  <c:v>70131</c:v>
                </c:pt>
                <c:pt idx="25">
                  <c:v>70132</c:v>
                </c:pt>
                <c:pt idx="26">
                  <c:v>70141</c:v>
                </c:pt>
                <c:pt idx="27">
                  <c:v>70142</c:v>
                </c:pt>
                <c:pt idx="28">
                  <c:v>70151</c:v>
                </c:pt>
                <c:pt idx="29">
                  <c:v>70152</c:v>
                </c:pt>
                <c:pt idx="30">
                  <c:v>70161</c:v>
                </c:pt>
                <c:pt idx="31">
                  <c:v>70162</c:v>
                </c:pt>
                <c:pt idx="32">
                  <c:v>70171</c:v>
                </c:pt>
                <c:pt idx="33">
                  <c:v>70172</c:v>
                </c:pt>
                <c:pt idx="34">
                  <c:v>70181</c:v>
                </c:pt>
                <c:pt idx="35">
                  <c:v>70182</c:v>
                </c:pt>
                <c:pt idx="36">
                  <c:v>70191</c:v>
                </c:pt>
                <c:pt idx="37">
                  <c:v>70192</c:v>
                </c:pt>
                <c:pt idx="38">
                  <c:v>70201</c:v>
                </c:pt>
                <c:pt idx="39">
                  <c:v>70202</c:v>
                </c:pt>
                <c:pt idx="40">
                  <c:v>70211</c:v>
                </c:pt>
                <c:pt idx="41">
                  <c:v>70212</c:v>
                </c:pt>
                <c:pt idx="42">
                  <c:v>70221</c:v>
                </c:pt>
                <c:pt idx="43">
                  <c:v>70222</c:v>
                </c:pt>
                <c:pt idx="44">
                  <c:v>70231</c:v>
                </c:pt>
                <c:pt idx="45">
                  <c:v>70232</c:v>
                </c:pt>
                <c:pt idx="46">
                  <c:v>70241</c:v>
                </c:pt>
                <c:pt idx="47">
                  <c:v>70242</c:v>
                </c:pt>
                <c:pt idx="48">
                  <c:v>70251</c:v>
                </c:pt>
                <c:pt idx="49">
                  <c:v>70252</c:v>
                </c:pt>
                <c:pt idx="50">
                  <c:v>70261</c:v>
                </c:pt>
                <c:pt idx="51">
                  <c:v>70262</c:v>
                </c:pt>
                <c:pt idx="52">
                  <c:v>70271</c:v>
                </c:pt>
                <c:pt idx="53">
                  <c:v>70272</c:v>
                </c:pt>
                <c:pt idx="54">
                  <c:v>70281</c:v>
                </c:pt>
                <c:pt idx="55">
                  <c:v>70282</c:v>
                </c:pt>
                <c:pt idx="56">
                  <c:v>70291</c:v>
                </c:pt>
                <c:pt idx="57">
                  <c:v>70292</c:v>
                </c:pt>
                <c:pt idx="58">
                  <c:v>70301</c:v>
                </c:pt>
                <c:pt idx="59">
                  <c:v>70302</c:v>
                </c:pt>
              </c:numCache>
            </c:numRef>
          </c:xVal>
          <c:yVal>
            <c:numRef>
              <c:f>'GMSel_ΔM (±)'!$L$39:$L$98</c:f>
              <c:numCache>
                <c:formatCode>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0.3</c:v>
                </c:pt>
                <c:pt idx="3">
                  <c:v>0.31111111111111112</c:v>
                </c:pt>
                <c:pt idx="4">
                  <c:v>0.63492063492063489</c:v>
                </c:pt>
                <c:pt idx="5">
                  <c:v>0.61904761904761907</c:v>
                </c:pt>
                <c:pt idx="6">
                  <c:v>0.27777777777777779</c:v>
                </c:pt>
                <c:pt idx="7">
                  <c:v>0.27777777777777779</c:v>
                </c:pt>
                <c:pt idx="8">
                  <c:v>9.3333333333333338E-2</c:v>
                </c:pt>
                <c:pt idx="9">
                  <c:v>0.08</c:v>
                </c:pt>
                <c:pt idx="10">
                  <c:v>0.21590909090909091</c:v>
                </c:pt>
                <c:pt idx="11">
                  <c:v>0.375</c:v>
                </c:pt>
                <c:pt idx="12">
                  <c:v>0.26923076923076922</c:v>
                </c:pt>
                <c:pt idx="13">
                  <c:v>0.32051282051282054</c:v>
                </c:pt>
                <c:pt idx="14">
                  <c:v>0</c:v>
                </c:pt>
                <c:pt idx="15">
                  <c:v>3.3333333333333333E-2</c:v>
                </c:pt>
                <c:pt idx="16">
                  <c:v>0.37777777777777777</c:v>
                </c:pt>
                <c:pt idx="17">
                  <c:v>0.3888888888888889</c:v>
                </c:pt>
                <c:pt idx="18">
                  <c:v>0.43333333333333335</c:v>
                </c:pt>
                <c:pt idx="19">
                  <c:v>0.41111111111111109</c:v>
                </c:pt>
                <c:pt idx="20">
                  <c:v>0.66666666666666663</c:v>
                </c:pt>
                <c:pt idx="21">
                  <c:v>0.72222222222222221</c:v>
                </c:pt>
                <c:pt idx="22">
                  <c:v>0.27777777777777779</c:v>
                </c:pt>
                <c:pt idx="23">
                  <c:v>0.3</c:v>
                </c:pt>
                <c:pt idx="24">
                  <c:v>0.4777777777777778</c:v>
                </c:pt>
                <c:pt idx="25">
                  <c:v>0.66666666666666663</c:v>
                </c:pt>
                <c:pt idx="26">
                  <c:v>0.33333333333333331</c:v>
                </c:pt>
                <c:pt idx="27">
                  <c:v>0.35555555555555557</c:v>
                </c:pt>
                <c:pt idx="28">
                  <c:v>0.2890625</c:v>
                </c:pt>
                <c:pt idx="29">
                  <c:v>0.3203125</c:v>
                </c:pt>
                <c:pt idx="30">
                  <c:v>0.18888888888888888</c:v>
                </c:pt>
                <c:pt idx="31">
                  <c:v>0.18888888888888888</c:v>
                </c:pt>
                <c:pt idx="32">
                  <c:v>0.31111111111111112</c:v>
                </c:pt>
                <c:pt idx="33">
                  <c:v>0.32222222222222224</c:v>
                </c:pt>
                <c:pt idx="34">
                  <c:v>0.73394495412844041</c:v>
                </c:pt>
                <c:pt idx="35">
                  <c:v>0.30275229357798167</c:v>
                </c:pt>
                <c:pt idx="36">
                  <c:v>0.45</c:v>
                </c:pt>
                <c:pt idx="37">
                  <c:v>0.56666666666666665</c:v>
                </c:pt>
                <c:pt idx="38">
                  <c:v>0.53086419753086422</c:v>
                </c:pt>
                <c:pt idx="39">
                  <c:v>0.44444444444444442</c:v>
                </c:pt>
                <c:pt idx="40">
                  <c:v>0.61250000000000004</c:v>
                </c:pt>
                <c:pt idx="41">
                  <c:v>0.52500000000000002</c:v>
                </c:pt>
                <c:pt idx="42">
                  <c:v>0.54651162790697672</c:v>
                </c:pt>
                <c:pt idx="43">
                  <c:v>0.37209302325581395</c:v>
                </c:pt>
                <c:pt idx="44">
                  <c:v>0.5</c:v>
                </c:pt>
                <c:pt idx="45">
                  <c:v>0.4</c:v>
                </c:pt>
                <c:pt idx="46">
                  <c:v>0</c:v>
                </c:pt>
                <c:pt idx="47">
                  <c:v>6.8965517241379309E-2</c:v>
                </c:pt>
                <c:pt idx="48">
                  <c:v>0.10714285714285714</c:v>
                </c:pt>
                <c:pt idx="49">
                  <c:v>3.5714285714285712E-2</c:v>
                </c:pt>
                <c:pt idx="50">
                  <c:v>0.44897959183673469</c:v>
                </c:pt>
                <c:pt idx="51">
                  <c:v>0.59183673469387754</c:v>
                </c:pt>
                <c:pt idx="52">
                  <c:v>0.27272727272727271</c:v>
                </c:pt>
                <c:pt idx="53">
                  <c:v>0.21212121212121213</c:v>
                </c:pt>
                <c:pt idx="54">
                  <c:v>0.32500000000000001</c:v>
                </c:pt>
                <c:pt idx="55">
                  <c:v>0.22500000000000001</c:v>
                </c:pt>
                <c:pt idx="56">
                  <c:v>0.33333333333333331</c:v>
                </c:pt>
                <c:pt idx="57">
                  <c:v>0.5</c:v>
                </c:pt>
                <c:pt idx="58">
                  <c:v>0.1206896551724138</c:v>
                </c:pt>
                <c:pt idx="59">
                  <c:v>0.27586206896551724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4D-41FF-B14B-99C1DEC83C8A}"/>
            </c:ext>
          </c:extLst>
        </c:ser>
        <c:ser>
          <c:idx val="1"/>
          <c:order val="1"/>
          <c:tx>
            <c:v>CY14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'GMSel_ΔM (±)'!$N$39:$N$98</c:f>
              <c:numCache>
                <c:formatCode>General</c:formatCode>
                <c:ptCount val="60"/>
              </c:numCache>
            </c:numRef>
          </c:xVal>
          <c:yVal>
            <c:numRef>
              <c:f>'GMSel_ΔM (±)'!$Q$39:$Q$98</c:f>
              <c:numCache>
                <c:formatCode>0%</c:formatCode>
                <c:ptCount val="6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4D-41FF-B14B-99C1DEC83C8A}"/>
            </c:ext>
          </c:extLst>
        </c:ser>
        <c:ser>
          <c:idx val="2"/>
          <c:order val="2"/>
          <c:tx>
            <c:v>ASK14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xVal>
            <c:numRef>
              <c:f>'GMSel_ΔM (±)'!$S$39:$S$98</c:f>
              <c:numCache>
                <c:formatCode>General</c:formatCode>
                <c:ptCount val="60"/>
                <c:pt idx="0">
                  <c:v>70011</c:v>
                </c:pt>
                <c:pt idx="1">
                  <c:v>70012</c:v>
                </c:pt>
                <c:pt idx="2">
                  <c:v>70021</c:v>
                </c:pt>
                <c:pt idx="3">
                  <c:v>70022</c:v>
                </c:pt>
                <c:pt idx="4">
                  <c:v>70031</c:v>
                </c:pt>
                <c:pt idx="5">
                  <c:v>70032</c:v>
                </c:pt>
                <c:pt idx="6">
                  <c:v>70041</c:v>
                </c:pt>
                <c:pt idx="7">
                  <c:v>70042</c:v>
                </c:pt>
                <c:pt idx="8">
                  <c:v>70051</c:v>
                </c:pt>
                <c:pt idx="9">
                  <c:v>70052</c:v>
                </c:pt>
                <c:pt idx="10">
                  <c:v>70061</c:v>
                </c:pt>
                <c:pt idx="11">
                  <c:v>70062</c:v>
                </c:pt>
                <c:pt idx="12">
                  <c:v>70071</c:v>
                </c:pt>
                <c:pt idx="13">
                  <c:v>70072</c:v>
                </c:pt>
                <c:pt idx="14">
                  <c:v>70081</c:v>
                </c:pt>
                <c:pt idx="15">
                  <c:v>70082</c:v>
                </c:pt>
                <c:pt idx="16">
                  <c:v>70091</c:v>
                </c:pt>
                <c:pt idx="17">
                  <c:v>70092</c:v>
                </c:pt>
                <c:pt idx="18">
                  <c:v>70101</c:v>
                </c:pt>
                <c:pt idx="19">
                  <c:v>70102</c:v>
                </c:pt>
                <c:pt idx="20">
                  <c:v>70111</c:v>
                </c:pt>
                <c:pt idx="21">
                  <c:v>70112</c:v>
                </c:pt>
                <c:pt idx="22">
                  <c:v>70121</c:v>
                </c:pt>
                <c:pt idx="23">
                  <c:v>70122</c:v>
                </c:pt>
                <c:pt idx="24">
                  <c:v>70131</c:v>
                </c:pt>
                <c:pt idx="25">
                  <c:v>70132</c:v>
                </c:pt>
                <c:pt idx="26">
                  <c:v>70141</c:v>
                </c:pt>
                <c:pt idx="27">
                  <c:v>70142</c:v>
                </c:pt>
                <c:pt idx="28">
                  <c:v>70151</c:v>
                </c:pt>
                <c:pt idx="29">
                  <c:v>70152</c:v>
                </c:pt>
                <c:pt idx="30">
                  <c:v>70161</c:v>
                </c:pt>
                <c:pt idx="31">
                  <c:v>70162</c:v>
                </c:pt>
                <c:pt idx="32">
                  <c:v>70171</c:v>
                </c:pt>
                <c:pt idx="33">
                  <c:v>70172</c:v>
                </c:pt>
                <c:pt idx="34">
                  <c:v>70181</c:v>
                </c:pt>
                <c:pt idx="35">
                  <c:v>70182</c:v>
                </c:pt>
                <c:pt idx="36">
                  <c:v>70191</c:v>
                </c:pt>
                <c:pt idx="37">
                  <c:v>70192</c:v>
                </c:pt>
                <c:pt idx="38">
                  <c:v>70201</c:v>
                </c:pt>
                <c:pt idx="39">
                  <c:v>70202</c:v>
                </c:pt>
                <c:pt idx="40">
                  <c:v>70211</c:v>
                </c:pt>
                <c:pt idx="41">
                  <c:v>70212</c:v>
                </c:pt>
                <c:pt idx="42">
                  <c:v>70221</c:v>
                </c:pt>
                <c:pt idx="43">
                  <c:v>70222</c:v>
                </c:pt>
                <c:pt idx="44">
                  <c:v>70231</c:v>
                </c:pt>
                <c:pt idx="45">
                  <c:v>70232</c:v>
                </c:pt>
                <c:pt idx="46">
                  <c:v>70241</c:v>
                </c:pt>
                <c:pt idx="47">
                  <c:v>70242</c:v>
                </c:pt>
                <c:pt idx="48">
                  <c:v>70251</c:v>
                </c:pt>
                <c:pt idx="49">
                  <c:v>70252</c:v>
                </c:pt>
                <c:pt idx="50">
                  <c:v>70261</c:v>
                </c:pt>
                <c:pt idx="51">
                  <c:v>70262</c:v>
                </c:pt>
                <c:pt idx="52">
                  <c:v>70271</c:v>
                </c:pt>
                <c:pt idx="53">
                  <c:v>70272</c:v>
                </c:pt>
                <c:pt idx="54">
                  <c:v>70281</c:v>
                </c:pt>
                <c:pt idx="55">
                  <c:v>70282</c:v>
                </c:pt>
                <c:pt idx="56">
                  <c:v>70291</c:v>
                </c:pt>
                <c:pt idx="57">
                  <c:v>70292</c:v>
                </c:pt>
                <c:pt idx="58">
                  <c:v>70301</c:v>
                </c:pt>
                <c:pt idx="59">
                  <c:v>70302</c:v>
                </c:pt>
              </c:numCache>
            </c:numRef>
          </c:xVal>
          <c:yVal>
            <c:numRef>
              <c:f>'GMSel_ΔM (±)'!$V$39:$V$98</c:f>
              <c:numCache>
                <c:formatCode>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0.28409090909090912</c:v>
                </c:pt>
                <c:pt idx="3">
                  <c:v>0.28409090909090912</c:v>
                </c:pt>
                <c:pt idx="4">
                  <c:v>9.3333333333333338E-2</c:v>
                </c:pt>
                <c:pt idx="5">
                  <c:v>0.08</c:v>
                </c:pt>
                <c:pt idx="6">
                  <c:v>0.21590909090909091</c:v>
                </c:pt>
                <c:pt idx="7">
                  <c:v>0.375</c:v>
                </c:pt>
                <c:pt idx="8">
                  <c:v>0.26923076923076922</c:v>
                </c:pt>
                <c:pt idx="9">
                  <c:v>0.32051282051282054</c:v>
                </c:pt>
                <c:pt idx="10">
                  <c:v>0.27966101694915252</c:v>
                </c:pt>
                <c:pt idx="11">
                  <c:v>0.3559322033898305</c:v>
                </c:pt>
                <c:pt idx="12">
                  <c:v>0.42222222222222222</c:v>
                </c:pt>
                <c:pt idx="13">
                  <c:v>0.42222222222222222</c:v>
                </c:pt>
                <c:pt idx="14">
                  <c:v>0.22222222222222221</c:v>
                </c:pt>
                <c:pt idx="15">
                  <c:v>0.31111111111111112</c:v>
                </c:pt>
                <c:pt idx="16">
                  <c:v>0</c:v>
                </c:pt>
                <c:pt idx="17">
                  <c:v>3.3333333333333333E-2</c:v>
                </c:pt>
                <c:pt idx="18">
                  <c:v>0.24444444444444444</c:v>
                </c:pt>
                <c:pt idx="19">
                  <c:v>0.28888888888888886</c:v>
                </c:pt>
                <c:pt idx="20">
                  <c:v>0.33333333333333331</c:v>
                </c:pt>
                <c:pt idx="21">
                  <c:v>0.37777777777777777</c:v>
                </c:pt>
                <c:pt idx="22">
                  <c:v>0.26666666666666666</c:v>
                </c:pt>
                <c:pt idx="23">
                  <c:v>0.32222222222222224</c:v>
                </c:pt>
                <c:pt idx="24">
                  <c:v>0.27777777777777779</c:v>
                </c:pt>
                <c:pt idx="25">
                  <c:v>0.3</c:v>
                </c:pt>
                <c:pt idx="26">
                  <c:v>0.32222222222222224</c:v>
                </c:pt>
                <c:pt idx="27">
                  <c:v>0.32222222222222224</c:v>
                </c:pt>
                <c:pt idx="28">
                  <c:v>0.4777777777777778</c:v>
                </c:pt>
                <c:pt idx="29">
                  <c:v>0.66666666666666663</c:v>
                </c:pt>
                <c:pt idx="30">
                  <c:v>0.24444444444444444</c:v>
                </c:pt>
                <c:pt idx="31">
                  <c:v>0.35555555555555557</c:v>
                </c:pt>
                <c:pt idx="32">
                  <c:v>0.33333333333333331</c:v>
                </c:pt>
                <c:pt idx="33">
                  <c:v>0.35555555555555557</c:v>
                </c:pt>
                <c:pt idx="34">
                  <c:v>0.2890625</c:v>
                </c:pt>
                <c:pt idx="35">
                  <c:v>0.3203125</c:v>
                </c:pt>
                <c:pt idx="36">
                  <c:v>0.18888888888888888</c:v>
                </c:pt>
                <c:pt idx="37">
                  <c:v>0.18888888888888888</c:v>
                </c:pt>
                <c:pt idx="38">
                  <c:v>0.31111111111111112</c:v>
                </c:pt>
                <c:pt idx="39">
                  <c:v>0.32222222222222224</c:v>
                </c:pt>
                <c:pt idx="40">
                  <c:v>0.5679012345679012</c:v>
                </c:pt>
                <c:pt idx="41">
                  <c:v>0.65432098765432101</c:v>
                </c:pt>
                <c:pt idx="42">
                  <c:v>0.74683544303797467</c:v>
                </c:pt>
                <c:pt idx="43">
                  <c:v>0.46835443037974683</c:v>
                </c:pt>
                <c:pt idx="44">
                  <c:v>0.54651162790697672</c:v>
                </c:pt>
                <c:pt idx="45">
                  <c:v>0.37209302325581395</c:v>
                </c:pt>
                <c:pt idx="46">
                  <c:v>0.5</c:v>
                </c:pt>
                <c:pt idx="47">
                  <c:v>0.4</c:v>
                </c:pt>
                <c:pt idx="48">
                  <c:v>0</c:v>
                </c:pt>
                <c:pt idx="49">
                  <c:v>6.8965517241379309E-2</c:v>
                </c:pt>
                <c:pt idx="50">
                  <c:v>0.27272727272727271</c:v>
                </c:pt>
                <c:pt idx="51">
                  <c:v>0.21212121212121213</c:v>
                </c:pt>
                <c:pt idx="52">
                  <c:v>0.32500000000000001</c:v>
                </c:pt>
                <c:pt idx="53">
                  <c:v>0.22500000000000001</c:v>
                </c:pt>
                <c:pt idx="54">
                  <c:v>0.41666666666666669</c:v>
                </c:pt>
                <c:pt idx="55">
                  <c:v>0.36666666666666664</c:v>
                </c:pt>
                <c:pt idx="56">
                  <c:v>7.6923076923076927E-2</c:v>
                </c:pt>
                <c:pt idx="57">
                  <c:v>5.128205128205128E-2</c:v>
                </c:pt>
                <c:pt idx="58">
                  <c:v>0.1206896551724138</c:v>
                </c:pt>
                <c:pt idx="59">
                  <c:v>0.27586206896551724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D4D-41FF-B14B-99C1DEC83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0227680"/>
        <c:axId val="685713072"/>
      </c:scatterChart>
      <c:valAx>
        <c:axId val="890227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EQID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5713072"/>
        <c:crosses val="autoZero"/>
        <c:crossBetween val="midCat"/>
      </c:valAx>
      <c:valAx>
        <c:axId val="68571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Reduction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227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152400</xdr:colOff>
      <xdr:row>7</xdr:row>
      <xdr:rowOff>95250</xdr:rowOff>
    </xdr:from>
    <xdr:to>
      <xdr:col>17</xdr:col>
      <xdr:colOff>523874</xdr:colOff>
      <xdr:row>26</xdr:row>
      <xdr:rowOff>66676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FA6E8F-E41D-793F-1544-6148089288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3"/>
  <sheetViews>
    <sheetView tabSelected="1" topLeftCell="H21" workbookViewId="0">
      <selection activeCell="M44" sqref="M44"/>
    </sheetView>
  </sheetViews>
  <sheetFormatPr defaultRowHeight="15" x14ac:dyDescent="0.25"/>
  <cols>
    <col min="1" max="1" width="7.28515625" hidden="1" customWidth="1"/>
    <col min="2" max="2" width="10.28515625" hidden="1" customWidth="1"/>
    <col min="3" max="3" width="22.140625" hidden="1" customWidth="1"/>
    <col min="4" max="4" width="24" hidden="1" customWidth="1"/>
    <col min="5" max="5" width="14.5703125" hidden="1" customWidth="1"/>
    <col min="6" max="6" width="13" hidden="1" customWidth="1"/>
    <col min="7" max="7" width="12.85546875" hidden="1" customWidth="1"/>
    <col min="8" max="8" width="25.28515625" customWidth="1"/>
    <col min="9" max="9" width="23.28515625" customWidth="1"/>
    <col min="10" max="10" width="26.5703125" customWidth="1"/>
    <col min="11" max="12" width="24.5703125" customWidth="1"/>
    <col min="13" max="13" width="25" customWidth="1"/>
    <col min="14" max="14" width="20.7109375" bestFit="1" customWidth="1"/>
    <col min="15" max="15" width="21.85546875" customWidth="1"/>
    <col min="16" max="16" width="23" bestFit="1" customWidth="1"/>
    <col min="17" max="17" width="14.7109375" customWidth="1"/>
    <col min="18" max="18" width="22.42578125" customWidth="1"/>
    <col min="19" max="19" width="24.7109375" customWidth="1"/>
    <col min="20" max="20" width="22.7109375" customWidth="1"/>
    <col min="21" max="21" width="25" customWidth="1"/>
    <col min="22" max="22" width="14.85546875" customWidth="1"/>
  </cols>
  <sheetData>
    <row r="1" spans="1:25" ht="21" x14ac:dyDescent="0.35">
      <c r="A1" s="17" t="s">
        <v>37</v>
      </c>
      <c r="B1" s="17"/>
      <c r="C1" s="17"/>
      <c r="D1" s="17"/>
      <c r="E1" s="17"/>
      <c r="F1" s="17"/>
      <c r="G1" s="17"/>
      <c r="I1" s="17" t="s">
        <v>39</v>
      </c>
      <c r="J1" s="17"/>
      <c r="K1" s="17"/>
      <c r="L1" s="1"/>
      <c r="M1" s="1"/>
      <c r="N1" s="17" t="s">
        <v>3</v>
      </c>
      <c r="O1" s="17"/>
      <c r="P1" s="17"/>
      <c r="S1" s="17" t="s">
        <v>7</v>
      </c>
      <c r="T1" s="17"/>
      <c r="U1" s="17"/>
    </row>
    <row r="2" spans="1:25" x14ac:dyDescent="0.25">
      <c r="A2" s="18" t="s">
        <v>5</v>
      </c>
      <c r="B2" s="19"/>
      <c r="C2" s="20"/>
      <c r="D2" s="1"/>
      <c r="E2" s="18" t="s">
        <v>6</v>
      </c>
      <c r="F2" s="19"/>
      <c r="G2" s="20"/>
      <c r="I2" s="18" t="s">
        <v>5</v>
      </c>
      <c r="J2" s="19"/>
      <c r="K2" s="20"/>
      <c r="L2" s="1"/>
      <c r="M2" s="1"/>
      <c r="N2" s="18" t="s">
        <v>4</v>
      </c>
      <c r="O2" s="19"/>
      <c r="P2" s="20"/>
      <c r="S2" s="18" t="s">
        <v>4</v>
      </c>
      <c r="T2" s="19"/>
      <c r="U2" s="20"/>
    </row>
    <row r="3" spans="1:25" x14ac:dyDescent="0.25">
      <c r="A3" s="2" t="s">
        <v>0</v>
      </c>
      <c r="B3" s="2" t="s">
        <v>1</v>
      </c>
      <c r="C3" s="2" t="s">
        <v>2</v>
      </c>
      <c r="E3" s="2" t="s">
        <v>0</v>
      </c>
      <c r="F3" s="4" t="s">
        <v>1</v>
      </c>
      <c r="G3" s="4" t="s">
        <v>2</v>
      </c>
      <c r="I3" s="2" t="s">
        <v>0</v>
      </c>
      <c r="J3" s="2" t="s">
        <v>1</v>
      </c>
      <c r="K3" s="2" t="s">
        <v>2</v>
      </c>
      <c r="L3" s="1"/>
      <c r="M3" s="1"/>
      <c r="N3" s="2" t="s">
        <v>0</v>
      </c>
      <c r="O3" s="2" t="s">
        <v>1</v>
      </c>
      <c r="P3" s="2" t="s">
        <v>2</v>
      </c>
      <c r="S3" s="2" t="s">
        <v>0</v>
      </c>
      <c r="T3" s="2" t="s">
        <v>1</v>
      </c>
      <c r="U3" s="2" t="s">
        <v>2</v>
      </c>
    </row>
    <row r="4" spans="1:25" ht="21" x14ac:dyDescent="0.35">
      <c r="A4" s="1">
        <v>1</v>
      </c>
      <c r="B4" s="1">
        <v>1524</v>
      </c>
      <c r="C4" s="1">
        <v>4.7073</v>
      </c>
      <c r="E4" s="1">
        <v>1</v>
      </c>
      <c r="F4" s="1">
        <v>1524</v>
      </c>
      <c r="G4" s="1">
        <v>4.7487000000000004</v>
      </c>
      <c r="I4" s="1">
        <v>1</v>
      </c>
      <c r="J4" s="1">
        <v>1575</v>
      </c>
      <c r="K4" s="1">
        <v>4.0995999999999997</v>
      </c>
      <c r="L4" s="1"/>
      <c r="M4" s="1"/>
      <c r="N4" s="1">
        <v>1</v>
      </c>
      <c r="O4" s="1">
        <v>1524</v>
      </c>
      <c r="P4" s="1">
        <v>4.7487000000000004</v>
      </c>
      <c r="S4" s="1">
        <v>1</v>
      </c>
      <c r="T4" s="1">
        <v>1524</v>
      </c>
      <c r="U4" s="1">
        <v>4.7487000000000004</v>
      </c>
      <c r="Y4" s="6" t="s">
        <v>8</v>
      </c>
    </row>
    <row r="5" spans="1:25" x14ac:dyDescent="0.25">
      <c r="A5" s="1">
        <v>2</v>
      </c>
      <c r="B5" s="1">
        <v>1581</v>
      </c>
      <c r="C5" s="1">
        <v>3.2749000000000001</v>
      </c>
      <c r="E5" s="1">
        <v>2</v>
      </c>
      <c r="F5" s="1">
        <v>1581</v>
      </c>
      <c r="G5" s="1">
        <v>3.3037999999999998</v>
      </c>
      <c r="I5" s="1">
        <v>2</v>
      </c>
      <c r="J5" s="1">
        <v>1524</v>
      </c>
      <c r="K5" s="1">
        <v>4.7487000000000004</v>
      </c>
      <c r="L5" s="1"/>
      <c r="M5" s="1"/>
      <c r="N5" s="1">
        <v>2</v>
      </c>
      <c r="O5" s="1">
        <v>1472</v>
      </c>
      <c r="P5" s="1">
        <v>2.7484000000000002</v>
      </c>
      <c r="S5" s="1">
        <v>2</v>
      </c>
      <c r="T5" s="1">
        <v>1575</v>
      </c>
      <c r="U5" s="1">
        <v>4.0995999999999997</v>
      </c>
      <c r="Y5" t="s">
        <v>9</v>
      </c>
    </row>
    <row r="6" spans="1:25" x14ac:dyDescent="0.25">
      <c r="A6" s="1">
        <v>3</v>
      </c>
      <c r="B6" s="1">
        <v>1485</v>
      </c>
      <c r="C6" s="1">
        <v>4.1017999999999999</v>
      </c>
      <c r="E6" s="1">
        <v>3</v>
      </c>
      <c r="F6" s="1">
        <v>1472</v>
      </c>
      <c r="G6" s="1">
        <v>2.7484000000000002</v>
      </c>
      <c r="I6" s="1">
        <v>3</v>
      </c>
      <c r="J6" s="1">
        <v>3307</v>
      </c>
      <c r="K6" s="1">
        <v>4.5038999999999998</v>
      </c>
      <c r="L6" s="1"/>
      <c r="M6" s="1"/>
      <c r="N6" s="1">
        <v>3</v>
      </c>
      <c r="O6" s="1">
        <v>1469</v>
      </c>
      <c r="P6" s="1">
        <v>4.2964000000000002</v>
      </c>
      <c r="S6" s="1">
        <v>3</v>
      </c>
      <c r="T6" s="1">
        <v>1436</v>
      </c>
      <c r="U6" s="1">
        <v>3.3534999999999999</v>
      </c>
    </row>
    <row r="7" spans="1:25" x14ac:dyDescent="0.25">
      <c r="A7" s="1">
        <v>4</v>
      </c>
      <c r="B7" s="1">
        <v>4350</v>
      </c>
      <c r="C7" s="1">
        <v>3.1004999999999998</v>
      </c>
      <c r="E7" s="1">
        <v>4</v>
      </c>
      <c r="F7" s="5">
        <v>5663</v>
      </c>
      <c r="G7" s="1">
        <v>2.3342000000000001</v>
      </c>
      <c r="I7" s="1">
        <v>4</v>
      </c>
      <c r="J7" s="1">
        <v>4884</v>
      </c>
      <c r="K7" s="1">
        <v>3.6293000000000002</v>
      </c>
      <c r="L7" s="1"/>
      <c r="M7" s="1"/>
      <c r="N7" s="1">
        <v>4</v>
      </c>
      <c r="O7" s="5">
        <v>4884</v>
      </c>
      <c r="P7" s="1">
        <v>3.6293000000000002</v>
      </c>
      <c r="S7" s="1">
        <v>4</v>
      </c>
      <c r="T7" s="5">
        <v>4884</v>
      </c>
      <c r="U7" s="1">
        <v>3.6293000000000002</v>
      </c>
    </row>
    <row r="8" spans="1:25" x14ac:dyDescent="0.25">
      <c r="A8" s="1">
        <v>5</v>
      </c>
      <c r="B8" s="5">
        <v>5663</v>
      </c>
      <c r="C8" s="1">
        <v>2.3138999999999998</v>
      </c>
      <c r="E8" s="1">
        <v>5</v>
      </c>
      <c r="F8" s="1">
        <v>3307</v>
      </c>
      <c r="G8" s="1">
        <v>4.5038999999999998</v>
      </c>
      <c r="I8" s="1">
        <v>5</v>
      </c>
      <c r="J8" s="1">
        <v>3281</v>
      </c>
      <c r="K8" s="1">
        <v>4.5603999999999996</v>
      </c>
      <c r="L8" s="1"/>
      <c r="M8" s="1"/>
      <c r="N8" s="1">
        <v>5</v>
      </c>
      <c r="O8" s="1">
        <v>1436</v>
      </c>
      <c r="P8" s="1">
        <v>3.3534999999999999</v>
      </c>
      <c r="S8" s="1">
        <v>5</v>
      </c>
      <c r="T8" s="1">
        <v>1472</v>
      </c>
      <c r="U8" s="1">
        <v>2.7484000000000002</v>
      </c>
    </row>
    <row r="9" spans="1:25" x14ac:dyDescent="0.25">
      <c r="A9" s="1">
        <v>6</v>
      </c>
      <c r="B9" s="1">
        <v>1166</v>
      </c>
      <c r="C9" s="1">
        <v>2.7006999999999999</v>
      </c>
      <c r="E9" s="1">
        <v>6</v>
      </c>
      <c r="F9" s="1">
        <v>1469</v>
      </c>
      <c r="G9" s="1">
        <v>4.2964000000000002</v>
      </c>
      <c r="I9" s="1">
        <v>6</v>
      </c>
      <c r="J9" s="9">
        <v>1522</v>
      </c>
      <c r="K9" s="1">
        <v>3.8698000000000001</v>
      </c>
      <c r="L9" s="1"/>
      <c r="M9" s="1"/>
      <c r="N9" s="1">
        <v>6</v>
      </c>
      <c r="O9" s="1">
        <v>1166</v>
      </c>
      <c r="P9" s="1">
        <v>2.7244999999999999</v>
      </c>
      <c r="S9" s="1">
        <v>6</v>
      </c>
      <c r="T9" s="1">
        <v>1469</v>
      </c>
      <c r="U9" s="1">
        <v>4.2964000000000002</v>
      </c>
    </row>
    <row r="10" spans="1:25" x14ac:dyDescent="0.25">
      <c r="A10" s="1">
        <v>7</v>
      </c>
      <c r="B10" s="5">
        <v>1557</v>
      </c>
      <c r="C10" s="1">
        <v>4.6609999999999996</v>
      </c>
      <c r="E10" s="1">
        <v>7</v>
      </c>
      <c r="F10" s="5">
        <v>1557</v>
      </c>
      <c r="G10" s="1">
        <v>4.702</v>
      </c>
      <c r="I10" s="1">
        <v>7</v>
      </c>
      <c r="J10" s="1">
        <v>1166</v>
      </c>
      <c r="K10" s="1">
        <v>2.7244999999999999</v>
      </c>
      <c r="L10" s="1"/>
      <c r="M10" s="1"/>
      <c r="N10" s="1">
        <v>7</v>
      </c>
      <c r="O10" s="1">
        <v>1525</v>
      </c>
      <c r="P10" s="1">
        <v>4.9107000000000003</v>
      </c>
      <c r="S10" s="1">
        <v>7</v>
      </c>
      <c r="T10" s="1">
        <v>3307</v>
      </c>
      <c r="U10" s="1">
        <v>4.5038999999999998</v>
      </c>
    </row>
    <row r="11" spans="1:25" x14ac:dyDescent="0.25">
      <c r="A11" s="1">
        <v>8</v>
      </c>
      <c r="B11" s="1">
        <v>1436</v>
      </c>
      <c r="C11" s="1">
        <v>3.3241999999999998</v>
      </c>
      <c r="E11" s="1">
        <v>8</v>
      </c>
      <c r="F11" s="1">
        <v>963</v>
      </c>
      <c r="G11" s="1">
        <v>1.8362000000000001</v>
      </c>
      <c r="I11" s="1">
        <v>8</v>
      </c>
      <c r="J11" s="1">
        <v>1286</v>
      </c>
      <c r="K11" s="1">
        <v>3.7660999999999998</v>
      </c>
      <c r="L11" s="1"/>
      <c r="M11" s="1"/>
      <c r="N11" s="1">
        <v>8</v>
      </c>
      <c r="O11" s="1">
        <v>1522</v>
      </c>
      <c r="P11" s="1">
        <v>3.8698000000000001</v>
      </c>
      <c r="S11" s="1">
        <v>8</v>
      </c>
      <c r="T11" s="1">
        <v>1470</v>
      </c>
      <c r="U11" s="1">
        <v>4.4584999999999999</v>
      </c>
    </row>
    <row r="12" spans="1:25" x14ac:dyDescent="0.25">
      <c r="A12" s="1">
        <v>9</v>
      </c>
      <c r="B12" s="1">
        <v>3751</v>
      </c>
      <c r="C12" s="1">
        <v>3.4788999999999999</v>
      </c>
      <c r="E12" s="1">
        <v>9</v>
      </c>
      <c r="F12" s="1">
        <v>1166</v>
      </c>
      <c r="G12" s="1">
        <v>2.7244999999999999</v>
      </c>
      <c r="I12" s="1">
        <v>9</v>
      </c>
      <c r="J12" s="1">
        <v>1581</v>
      </c>
      <c r="K12" s="1">
        <v>3.3037999999999998</v>
      </c>
      <c r="L12" s="1"/>
      <c r="M12" s="1"/>
      <c r="N12" s="1">
        <v>9</v>
      </c>
      <c r="O12" s="1">
        <v>1455</v>
      </c>
      <c r="P12" s="1">
        <v>4.0294999999999996</v>
      </c>
      <c r="S12" s="1">
        <v>9</v>
      </c>
      <c r="T12" s="1">
        <v>78</v>
      </c>
      <c r="U12" s="1">
        <v>4.4333</v>
      </c>
    </row>
    <row r="13" spans="1:25" x14ac:dyDescent="0.25">
      <c r="A13" s="1">
        <v>10</v>
      </c>
      <c r="B13" s="1">
        <v>1575</v>
      </c>
      <c r="C13" s="1">
        <v>4.0639000000000003</v>
      </c>
      <c r="E13" s="1">
        <v>10</v>
      </c>
      <c r="F13" s="1">
        <v>3281</v>
      </c>
      <c r="G13" s="1">
        <v>4.5603999999999996</v>
      </c>
      <c r="I13" s="1">
        <v>10</v>
      </c>
      <c r="J13" s="1">
        <v>1469</v>
      </c>
      <c r="K13" s="1">
        <v>4.2964000000000002</v>
      </c>
      <c r="L13" s="1"/>
      <c r="M13" s="1"/>
      <c r="N13" s="1">
        <v>10</v>
      </c>
      <c r="O13" s="1">
        <v>1465</v>
      </c>
      <c r="P13" s="1">
        <v>4.2470999999999997</v>
      </c>
      <c r="S13" s="1">
        <v>10</v>
      </c>
      <c r="T13" s="1">
        <v>1460</v>
      </c>
      <c r="U13" s="1">
        <v>4.5625999999999998</v>
      </c>
    </row>
    <row r="14" spans="1:25" x14ac:dyDescent="0.25">
      <c r="A14" s="1">
        <v>11</v>
      </c>
      <c r="B14" s="1">
        <v>1292</v>
      </c>
      <c r="C14" s="1">
        <v>4.6813000000000002</v>
      </c>
      <c r="E14" s="1">
        <v>11</v>
      </c>
      <c r="F14" s="1">
        <v>1292</v>
      </c>
      <c r="G14" s="1">
        <v>4.7225000000000001</v>
      </c>
      <c r="I14" s="1">
        <v>11</v>
      </c>
      <c r="J14" s="1">
        <v>1555</v>
      </c>
      <c r="K14" s="1">
        <v>3.1690999999999998</v>
      </c>
      <c r="L14" s="1"/>
      <c r="M14" s="1"/>
      <c r="N14" s="1">
        <v>11</v>
      </c>
      <c r="O14" s="1">
        <v>1575</v>
      </c>
      <c r="P14" s="1">
        <v>4.0995999999999997</v>
      </c>
      <c r="S14" s="1">
        <v>11</v>
      </c>
      <c r="T14" s="5">
        <v>1557</v>
      </c>
      <c r="U14" s="1">
        <v>4.702</v>
      </c>
    </row>
    <row r="15" spans="1:25" x14ac:dyDescent="0.25">
      <c r="A15" s="1">
        <v>12</v>
      </c>
      <c r="B15" s="1">
        <v>14</v>
      </c>
      <c r="C15" s="1">
        <v>4.1645000000000003</v>
      </c>
      <c r="E15" s="1">
        <v>12</v>
      </c>
      <c r="F15" s="1">
        <v>1575</v>
      </c>
      <c r="G15" s="1">
        <v>4.0995999999999997</v>
      </c>
      <c r="I15" s="1">
        <v>12</v>
      </c>
      <c r="J15" s="1">
        <v>3751</v>
      </c>
      <c r="K15" s="1">
        <v>3.5095999999999998</v>
      </c>
      <c r="L15" s="1"/>
      <c r="M15" s="1"/>
      <c r="N15" s="1">
        <v>12</v>
      </c>
      <c r="O15" s="1">
        <v>4350</v>
      </c>
      <c r="P15" s="1">
        <v>3.1278000000000001</v>
      </c>
      <c r="S15" s="1">
        <v>12</v>
      </c>
      <c r="T15" s="1">
        <v>1514</v>
      </c>
      <c r="U15" s="1">
        <v>3.9205999999999999</v>
      </c>
    </row>
    <row r="16" spans="1:25" x14ac:dyDescent="0.25">
      <c r="A16" s="1">
        <v>13</v>
      </c>
      <c r="B16" s="1">
        <v>3307</v>
      </c>
      <c r="C16" s="1">
        <v>4.4645999999999999</v>
      </c>
      <c r="E16" s="1">
        <v>13</v>
      </c>
      <c r="F16" s="1">
        <v>78</v>
      </c>
      <c r="G16" s="1">
        <v>4.4333</v>
      </c>
      <c r="I16" s="1">
        <v>13</v>
      </c>
      <c r="J16" s="1">
        <v>1557</v>
      </c>
      <c r="K16" s="1">
        <v>4.702</v>
      </c>
      <c r="L16" s="1"/>
      <c r="M16" s="1"/>
      <c r="N16" s="1">
        <v>13</v>
      </c>
      <c r="O16" s="1">
        <v>1470</v>
      </c>
      <c r="P16" s="1">
        <v>4.4584999999999999</v>
      </c>
      <c r="S16" s="1">
        <v>13</v>
      </c>
      <c r="T16" s="1">
        <v>5778</v>
      </c>
      <c r="U16" s="1">
        <v>4.0232000000000001</v>
      </c>
    </row>
    <row r="17" spans="1:21" x14ac:dyDescent="0.25">
      <c r="A17" s="1">
        <v>14</v>
      </c>
      <c r="B17" s="1">
        <v>1472</v>
      </c>
      <c r="C17" s="1">
        <v>2.7244000000000002</v>
      </c>
      <c r="E17" s="1">
        <v>14</v>
      </c>
      <c r="F17" s="1">
        <v>4350</v>
      </c>
      <c r="G17" s="1">
        <v>3.1278000000000001</v>
      </c>
      <c r="I17" s="1">
        <v>14</v>
      </c>
      <c r="J17" s="1">
        <v>1436</v>
      </c>
      <c r="K17" s="1">
        <v>3.3534999999999999</v>
      </c>
      <c r="L17" s="1"/>
      <c r="M17" s="1"/>
      <c r="N17" s="1">
        <v>14</v>
      </c>
      <c r="O17" s="1">
        <v>3307</v>
      </c>
      <c r="P17" s="1">
        <v>4.5038999999999998</v>
      </c>
      <c r="S17" s="1">
        <v>14</v>
      </c>
      <c r="T17" s="1">
        <v>1581</v>
      </c>
      <c r="U17" s="1">
        <v>3.3037999999999998</v>
      </c>
    </row>
    <row r="18" spans="1:21" x14ac:dyDescent="0.25">
      <c r="A18" s="1">
        <v>15</v>
      </c>
      <c r="B18" s="1">
        <v>3750</v>
      </c>
      <c r="C18" s="1">
        <v>2.234</v>
      </c>
      <c r="E18" s="1">
        <v>15</v>
      </c>
      <c r="F18" s="1">
        <v>1555</v>
      </c>
      <c r="G18" s="1">
        <v>3.1690999999999998</v>
      </c>
      <c r="I18" s="1">
        <v>15</v>
      </c>
      <c r="J18" s="1">
        <v>1485</v>
      </c>
      <c r="K18" s="1">
        <v>4.1379000000000001</v>
      </c>
      <c r="L18" s="1"/>
      <c r="M18" s="1"/>
      <c r="N18" s="1">
        <v>15</v>
      </c>
      <c r="O18" s="1">
        <v>1581</v>
      </c>
      <c r="P18" s="1">
        <v>3.3037999999999998</v>
      </c>
      <c r="S18" s="1">
        <v>15</v>
      </c>
      <c r="T18" s="1">
        <v>1455</v>
      </c>
      <c r="U18" s="1">
        <v>4.0294999999999996</v>
      </c>
    </row>
    <row r="19" spans="1:21" x14ac:dyDescent="0.25">
      <c r="A19" s="1">
        <v>16</v>
      </c>
      <c r="B19" s="1">
        <v>3274</v>
      </c>
      <c r="C19" s="1">
        <v>4.0513000000000003</v>
      </c>
      <c r="E19" s="1">
        <v>16</v>
      </c>
      <c r="F19" s="1">
        <v>1286</v>
      </c>
      <c r="G19" s="1">
        <v>3.7660999999999998</v>
      </c>
      <c r="I19" s="1">
        <v>16</v>
      </c>
      <c r="J19" s="1">
        <v>1292</v>
      </c>
      <c r="K19" s="1">
        <v>4.7225000000000001</v>
      </c>
      <c r="L19" s="1"/>
      <c r="M19" s="1"/>
      <c r="N19" s="1">
        <v>16</v>
      </c>
      <c r="O19" s="1">
        <v>1263</v>
      </c>
      <c r="P19" s="1">
        <v>4.3055000000000003</v>
      </c>
      <c r="S19" s="1">
        <v>16</v>
      </c>
      <c r="T19" s="1">
        <v>4350</v>
      </c>
      <c r="U19" s="1">
        <v>3.1278000000000001</v>
      </c>
    </row>
    <row r="20" spans="1:21" x14ac:dyDescent="0.25">
      <c r="A20" s="1">
        <v>17</v>
      </c>
      <c r="B20" s="1">
        <v>1555</v>
      </c>
      <c r="C20" s="1">
        <v>3.1414</v>
      </c>
      <c r="E20" s="1">
        <v>17</v>
      </c>
      <c r="F20" s="1">
        <v>3750</v>
      </c>
      <c r="G20" s="1">
        <v>2.2536999999999998</v>
      </c>
      <c r="I20" s="1">
        <v>17</v>
      </c>
      <c r="J20" s="1">
        <v>78</v>
      </c>
      <c r="K20" s="1">
        <v>4.4333</v>
      </c>
      <c r="L20" s="1"/>
      <c r="M20" s="1"/>
      <c r="N20" s="1">
        <v>17</v>
      </c>
      <c r="O20" s="1">
        <v>3750</v>
      </c>
      <c r="P20" s="1">
        <v>2.2536999999999998</v>
      </c>
      <c r="S20" s="1">
        <v>17</v>
      </c>
      <c r="T20" s="1">
        <v>1166</v>
      </c>
      <c r="U20" s="1">
        <v>2.7244999999999999</v>
      </c>
    </row>
    <row r="21" spans="1:21" x14ac:dyDescent="0.25">
      <c r="A21" s="1">
        <v>18</v>
      </c>
      <c r="B21" s="1">
        <v>963</v>
      </c>
      <c r="C21" s="1">
        <v>1.8202</v>
      </c>
      <c r="E21" s="1">
        <v>18</v>
      </c>
      <c r="F21" s="1">
        <v>14</v>
      </c>
      <c r="G21" s="1">
        <v>4.2011000000000003</v>
      </c>
      <c r="I21" s="1">
        <v>18</v>
      </c>
      <c r="J21" s="9">
        <v>1484</v>
      </c>
      <c r="K21" s="1">
        <v>3.8065000000000002</v>
      </c>
      <c r="L21" s="1"/>
      <c r="M21" s="1"/>
      <c r="N21" s="1">
        <v>18</v>
      </c>
      <c r="O21" s="1">
        <v>78</v>
      </c>
      <c r="P21" s="1">
        <v>4.4333</v>
      </c>
      <c r="S21" s="1">
        <v>18</v>
      </c>
      <c r="T21" s="1">
        <v>1465</v>
      </c>
      <c r="U21" s="1">
        <v>4.2470999999999997</v>
      </c>
    </row>
    <row r="22" spans="1:21" x14ac:dyDescent="0.25">
      <c r="A22" s="1">
        <v>19</v>
      </c>
      <c r="B22" s="5">
        <v>4884</v>
      </c>
      <c r="C22" s="1">
        <v>3.5975999999999999</v>
      </c>
      <c r="E22" s="1">
        <v>19</v>
      </c>
      <c r="F22" s="1">
        <v>3751</v>
      </c>
      <c r="G22" s="1">
        <v>3.5095999999999998</v>
      </c>
      <c r="I22" s="1">
        <v>19</v>
      </c>
      <c r="J22" s="1">
        <v>14</v>
      </c>
      <c r="K22" s="1">
        <v>4.2011000000000003</v>
      </c>
      <c r="L22" s="1"/>
      <c r="M22" s="1"/>
      <c r="N22" s="1">
        <v>19</v>
      </c>
      <c r="O22" s="1">
        <v>736</v>
      </c>
      <c r="P22" s="1">
        <v>3.79</v>
      </c>
      <c r="S22" s="1">
        <v>19</v>
      </c>
      <c r="T22" s="1">
        <v>1263</v>
      </c>
      <c r="U22" s="1">
        <v>4.3055000000000003</v>
      </c>
    </row>
    <row r="23" spans="1:21" x14ac:dyDescent="0.25">
      <c r="A23" s="1">
        <v>20</v>
      </c>
      <c r="B23" s="1">
        <v>2466</v>
      </c>
      <c r="C23" s="1">
        <v>4.3377999999999997</v>
      </c>
      <c r="E23" s="1">
        <v>20</v>
      </c>
      <c r="F23" s="1">
        <v>1485</v>
      </c>
      <c r="G23" s="1">
        <v>4.1379000000000001</v>
      </c>
      <c r="I23" s="1">
        <v>20</v>
      </c>
      <c r="J23" s="1">
        <v>3274</v>
      </c>
      <c r="K23" s="1">
        <v>4.0869999999999997</v>
      </c>
      <c r="L23" s="1"/>
      <c r="M23" s="1"/>
      <c r="N23" s="1">
        <v>20</v>
      </c>
      <c r="O23" s="1">
        <v>5778</v>
      </c>
      <c r="P23" s="1">
        <v>4.0232000000000001</v>
      </c>
      <c r="S23" s="1">
        <v>20</v>
      </c>
      <c r="T23" s="1">
        <v>1523</v>
      </c>
      <c r="U23" s="1">
        <v>3.9708999999999999</v>
      </c>
    </row>
    <row r="24" spans="1:21" x14ac:dyDescent="0.25">
      <c r="A24" s="1">
        <v>21</v>
      </c>
      <c r="B24" s="1">
        <v>1286</v>
      </c>
      <c r="C24" s="1">
        <v>3.7332000000000001</v>
      </c>
      <c r="E24" s="1">
        <v>21</v>
      </c>
      <c r="F24" s="1">
        <v>3865</v>
      </c>
      <c r="G24" s="1">
        <v>4.3784000000000001</v>
      </c>
      <c r="I24" s="1">
        <v>21</v>
      </c>
      <c r="J24" s="9">
        <v>2661</v>
      </c>
      <c r="K24" s="1">
        <v>3.4771999999999998</v>
      </c>
      <c r="L24" s="1"/>
      <c r="M24" s="1"/>
      <c r="N24" s="1">
        <v>21</v>
      </c>
      <c r="O24" s="1">
        <v>14</v>
      </c>
      <c r="P24" s="1">
        <v>4.2011000000000003</v>
      </c>
      <c r="S24" s="1">
        <v>21</v>
      </c>
      <c r="T24" s="1">
        <v>1453</v>
      </c>
      <c r="U24" s="1">
        <v>4.6933999999999996</v>
      </c>
    </row>
    <row r="25" spans="1:21" x14ac:dyDescent="0.25">
      <c r="A25" s="1">
        <v>22</v>
      </c>
      <c r="B25" s="1">
        <v>1470</v>
      </c>
      <c r="C25" s="1">
        <v>4.4196</v>
      </c>
      <c r="E25" s="1">
        <v>22</v>
      </c>
      <c r="F25" s="5">
        <v>4884</v>
      </c>
      <c r="G25" s="1">
        <v>3.6293000000000002</v>
      </c>
      <c r="I25" s="1">
        <v>22</v>
      </c>
      <c r="J25" s="9">
        <v>4891</v>
      </c>
      <c r="K25" s="1">
        <v>3.794</v>
      </c>
      <c r="L25" s="1"/>
      <c r="M25" s="1"/>
      <c r="N25" s="1">
        <v>22</v>
      </c>
      <c r="O25" s="1">
        <v>2661</v>
      </c>
      <c r="P25" s="1">
        <v>3.4771999999999998</v>
      </c>
      <c r="S25" s="1">
        <v>22</v>
      </c>
      <c r="T25" s="1">
        <v>2650</v>
      </c>
      <c r="U25" s="1">
        <v>3.3233000000000001</v>
      </c>
    </row>
    <row r="26" spans="1:21" x14ac:dyDescent="0.25">
      <c r="A26" s="1">
        <v>23</v>
      </c>
      <c r="B26" s="1">
        <v>1297</v>
      </c>
      <c r="C26" s="1">
        <v>4.9916</v>
      </c>
      <c r="E26" s="1">
        <v>23</v>
      </c>
      <c r="F26" s="1">
        <v>1465</v>
      </c>
      <c r="G26" s="1">
        <v>4.2470999999999997</v>
      </c>
      <c r="I26" s="1">
        <v>23</v>
      </c>
      <c r="J26" s="1">
        <v>3750</v>
      </c>
      <c r="K26" s="1">
        <v>2.2536999999999998</v>
      </c>
      <c r="L26" s="1"/>
      <c r="M26" s="1"/>
      <c r="N26" s="1">
        <v>23</v>
      </c>
      <c r="O26" s="1">
        <v>1292</v>
      </c>
      <c r="P26" s="1">
        <v>4.7225000000000001</v>
      </c>
      <c r="S26" s="1">
        <v>23</v>
      </c>
      <c r="T26" s="1">
        <v>3750</v>
      </c>
      <c r="U26" s="1">
        <v>2.2536999999999998</v>
      </c>
    </row>
    <row r="27" spans="1:21" x14ac:dyDescent="0.25">
      <c r="A27" s="1">
        <v>24</v>
      </c>
      <c r="B27" s="1">
        <v>1465</v>
      </c>
      <c r="C27" s="1">
        <v>4.21</v>
      </c>
      <c r="E27" s="1">
        <v>24</v>
      </c>
      <c r="F27" s="1">
        <v>1487</v>
      </c>
      <c r="G27" s="1">
        <v>3.8294999999999999</v>
      </c>
      <c r="I27" s="1">
        <v>24</v>
      </c>
      <c r="J27" s="9">
        <v>1453</v>
      </c>
      <c r="K27" s="1">
        <v>4.6933999999999996</v>
      </c>
      <c r="L27" s="1"/>
      <c r="M27" s="1"/>
      <c r="N27" s="1">
        <v>24</v>
      </c>
      <c r="O27" s="1">
        <v>1453</v>
      </c>
      <c r="P27" s="1">
        <v>4.6933999999999996</v>
      </c>
      <c r="S27" s="1">
        <v>24</v>
      </c>
      <c r="T27" s="1">
        <v>3269</v>
      </c>
      <c r="U27" s="1">
        <v>4.3053999999999997</v>
      </c>
    </row>
    <row r="28" spans="1:21" x14ac:dyDescent="0.25">
      <c r="A28" s="1">
        <v>25</v>
      </c>
      <c r="B28" s="1">
        <v>1487</v>
      </c>
      <c r="C28" s="1">
        <v>3.7961</v>
      </c>
      <c r="E28" s="1">
        <v>25</v>
      </c>
      <c r="F28" s="1">
        <v>2466</v>
      </c>
      <c r="G28" s="1">
        <v>4.3760000000000003</v>
      </c>
      <c r="I28" s="1">
        <v>25</v>
      </c>
      <c r="J28" s="1">
        <v>1478</v>
      </c>
      <c r="K28" s="1">
        <v>2.8592</v>
      </c>
      <c r="L28" s="1"/>
      <c r="M28" s="1"/>
      <c r="N28" s="1">
        <v>25</v>
      </c>
      <c r="O28" s="1">
        <v>3281</v>
      </c>
      <c r="P28" s="1">
        <v>4.5603999999999996</v>
      </c>
      <c r="S28" s="1">
        <v>25</v>
      </c>
      <c r="T28" s="1">
        <v>1522</v>
      </c>
      <c r="U28" s="1">
        <v>3.8698000000000001</v>
      </c>
    </row>
    <row r="29" spans="1:21" x14ac:dyDescent="0.25">
      <c r="A29" s="1">
        <v>26</v>
      </c>
      <c r="B29" s="1">
        <v>1478</v>
      </c>
      <c r="C29" s="1">
        <v>2.8342999999999998</v>
      </c>
      <c r="E29" s="1">
        <v>26</v>
      </c>
      <c r="F29" s="1">
        <v>2650</v>
      </c>
      <c r="G29" s="1">
        <v>3.3233000000000001</v>
      </c>
      <c r="I29" s="1">
        <v>26</v>
      </c>
      <c r="J29" s="9">
        <v>3264</v>
      </c>
      <c r="K29" s="1">
        <v>4.9166999999999996</v>
      </c>
      <c r="L29" s="1"/>
      <c r="M29" s="1"/>
      <c r="N29" s="1">
        <v>26</v>
      </c>
      <c r="O29" s="5">
        <v>1557</v>
      </c>
      <c r="P29" s="1">
        <v>4.702</v>
      </c>
      <c r="S29" s="1">
        <v>26</v>
      </c>
      <c r="T29" s="1">
        <v>1555</v>
      </c>
      <c r="U29" s="1">
        <v>3.1690999999999998</v>
      </c>
    </row>
    <row r="30" spans="1:21" x14ac:dyDescent="0.25">
      <c r="A30" s="1">
        <v>27</v>
      </c>
      <c r="B30" s="1">
        <v>5778</v>
      </c>
      <c r="C30" s="1">
        <v>3.9881000000000002</v>
      </c>
      <c r="E30" s="1">
        <v>27</v>
      </c>
      <c r="F30" s="1">
        <v>3274</v>
      </c>
      <c r="G30" s="1">
        <v>4.0869999999999997</v>
      </c>
      <c r="I30" s="1">
        <v>27</v>
      </c>
      <c r="J30" s="1">
        <v>4350</v>
      </c>
      <c r="K30" s="1">
        <v>3.1278000000000001</v>
      </c>
      <c r="L30" s="1"/>
      <c r="M30" s="1"/>
      <c r="N30" s="1">
        <v>27</v>
      </c>
      <c r="O30" s="1">
        <v>1555</v>
      </c>
      <c r="P30" s="1">
        <v>3.1690999999999998</v>
      </c>
      <c r="S30" s="1">
        <v>27</v>
      </c>
      <c r="T30" s="1">
        <v>14</v>
      </c>
      <c r="U30" s="1">
        <v>4.2011000000000003</v>
      </c>
    </row>
    <row r="31" spans="1:21" x14ac:dyDescent="0.25">
      <c r="A31" s="1">
        <v>28</v>
      </c>
      <c r="B31" s="1">
        <v>78</v>
      </c>
      <c r="C31" s="1">
        <v>4.3945999999999996</v>
      </c>
      <c r="E31" s="1">
        <v>28</v>
      </c>
      <c r="F31" s="1">
        <v>2495</v>
      </c>
      <c r="G31" s="1">
        <v>3.3016999999999999</v>
      </c>
      <c r="I31" s="1">
        <v>28</v>
      </c>
      <c r="J31" s="9">
        <v>1295</v>
      </c>
      <c r="K31" s="1">
        <v>3.9836999999999998</v>
      </c>
      <c r="L31" s="1"/>
      <c r="M31" s="1"/>
      <c r="N31" s="1">
        <v>28</v>
      </c>
      <c r="O31" s="1">
        <v>1286</v>
      </c>
      <c r="P31" s="1">
        <v>3.7660999999999998</v>
      </c>
      <c r="S31" s="1">
        <v>28</v>
      </c>
      <c r="T31" s="1">
        <v>3281</v>
      </c>
      <c r="U31" s="1">
        <v>4.5603999999999996</v>
      </c>
    </row>
    <row r="32" spans="1:21" x14ac:dyDescent="0.25">
      <c r="A32" s="1">
        <v>29</v>
      </c>
      <c r="B32" s="1">
        <v>3281</v>
      </c>
      <c r="C32" s="1">
        <v>4.5206</v>
      </c>
      <c r="E32" s="1">
        <v>29</v>
      </c>
      <c r="F32" s="1">
        <v>1523</v>
      </c>
      <c r="G32" s="1">
        <v>3.9708999999999999</v>
      </c>
      <c r="I32" s="1">
        <v>29</v>
      </c>
      <c r="J32" s="9">
        <v>3865</v>
      </c>
      <c r="K32" s="1">
        <v>4.3784000000000001</v>
      </c>
      <c r="L32" s="1"/>
      <c r="M32" s="1"/>
      <c r="N32" s="1">
        <v>29</v>
      </c>
      <c r="O32" s="1">
        <v>1460</v>
      </c>
      <c r="P32" s="1">
        <v>4.5625999999999998</v>
      </c>
      <c r="S32" s="1">
        <v>29</v>
      </c>
      <c r="T32" s="1">
        <v>736</v>
      </c>
      <c r="U32" s="1">
        <v>3.79</v>
      </c>
    </row>
    <row r="33" spans="1:38" x14ac:dyDescent="0.25">
      <c r="A33" s="1">
        <v>30</v>
      </c>
      <c r="B33" s="1">
        <v>1469</v>
      </c>
      <c r="C33" s="1">
        <v>4.2588999999999997</v>
      </c>
      <c r="D33" s="1"/>
      <c r="E33" s="1">
        <v>30</v>
      </c>
      <c r="F33" s="1">
        <v>1436</v>
      </c>
      <c r="G33" s="1">
        <v>3.3534999999999999</v>
      </c>
      <c r="I33" s="1">
        <v>30</v>
      </c>
      <c r="J33" s="1">
        <v>2466</v>
      </c>
      <c r="K33" s="1">
        <v>4.3760000000000003</v>
      </c>
      <c r="L33" s="1"/>
      <c r="M33" s="1"/>
      <c r="N33" s="1">
        <v>30</v>
      </c>
      <c r="O33" s="1">
        <v>1523</v>
      </c>
      <c r="P33" s="1">
        <v>3.9708999999999999</v>
      </c>
      <c r="S33" s="1">
        <v>30</v>
      </c>
      <c r="T33" s="1">
        <v>1525</v>
      </c>
      <c r="U33" s="1">
        <v>4.9107000000000003</v>
      </c>
    </row>
    <row r="35" spans="1:38" x14ac:dyDescent="0.25">
      <c r="B35" s="3"/>
      <c r="D35" s="3" t="s">
        <v>38</v>
      </c>
      <c r="J35" s="3" t="s">
        <v>31</v>
      </c>
      <c r="O35" s="3" t="s">
        <v>29</v>
      </c>
      <c r="T35" s="3" t="s">
        <v>30</v>
      </c>
    </row>
    <row r="36" spans="1:38" x14ac:dyDescent="0.25">
      <c r="J36" t="s">
        <v>32</v>
      </c>
    </row>
    <row r="38" spans="1:38" ht="15.75" x14ac:dyDescent="0.25">
      <c r="A38" s="1"/>
      <c r="B38" s="1"/>
      <c r="C38" s="1"/>
      <c r="D38" s="1"/>
      <c r="E38" s="1"/>
      <c r="I38" s="10" t="s">
        <v>35</v>
      </c>
      <c r="J38" s="10" t="s">
        <v>33</v>
      </c>
      <c r="K38" s="10" t="s">
        <v>34</v>
      </c>
      <c r="L38" s="10" t="s">
        <v>36</v>
      </c>
      <c r="N38" s="10" t="s">
        <v>35</v>
      </c>
      <c r="O38" s="10" t="s">
        <v>33</v>
      </c>
      <c r="P38" s="10" t="s">
        <v>34</v>
      </c>
      <c r="Q38" s="10" t="s">
        <v>36</v>
      </c>
      <c r="S38" s="10" t="s">
        <v>35</v>
      </c>
      <c r="T38" s="10" t="s">
        <v>33</v>
      </c>
      <c r="U38" s="10" t="s">
        <v>34</v>
      </c>
      <c r="V38" s="10" t="s">
        <v>36</v>
      </c>
    </row>
    <row r="39" spans="1:38" ht="19.149999999999999" customHeight="1" x14ac:dyDescent="0.25">
      <c r="A39" s="1"/>
      <c r="B39" s="1"/>
      <c r="C39" s="1"/>
      <c r="D39" s="1"/>
      <c r="E39" s="11"/>
      <c r="I39" s="1">
        <v>70011</v>
      </c>
      <c r="J39" s="1">
        <v>30</v>
      </c>
      <c r="K39" s="1">
        <v>30</v>
      </c>
      <c r="L39" s="11">
        <f>(J39-K39)/J39</f>
        <v>0</v>
      </c>
      <c r="N39" s="1"/>
      <c r="O39" s="1"/>
      <c r="P39" s="1"/>
      <c r="Q39" s="11"/>
      <c r="S39" s="1">
        <v>70011</v>
      </c>
      <c r="T39" s="1">
        <v>30</v>
      </c>
      <c r="U39" s="1">
        <v>30</v>
      </c>
      <c r="V39" s="11">
        <f>(T39-U39)/T39</f>
        <v>0</v>
      </c>
    </row>
    <row r="40" spans="1:38" x14ac:dyDescent="0.25">
      <c r="A40" s="1"/>
      <c r="B40" s="1"/>
      <c r="C40" s="1"/>
      <c r="D40" s="1"/>
      <c r="E40" s="11"/>
      <c r="I40" s="1">
        <v>70012</v>
      </c>
      <c r="J40" s="1">
        <v>30</v>
      </c>
      <c r="K40" s="1">
        <v>30</v>
      </c>
      <c r="L40" s="11">
        <f t="shared" ref="L40:L98" si="0">(J40-K40)/J40</f>
        <v>0</v>
      </c>
      <c r="N40" s="1"/>
      <c r="O40" s="1"/>
      <c r="P40" s="1"/>
      <c r="Q40" s="11"/>
      <c r="S40" s="1">
        <v>70012</v>
      </c>
      <c r="T40" s="1">
        <v>30</v>
      </c>
      <c r="U40" s="1">
        <v>30</v>
      </c>
      <c r="V40" s="11">
        <f t="shared" ref="V40:V98" si="1">(T40-U40)/T40</f>
        <v>0</v>
      </c>
    </row>
    <row r="41" spans="1:38" x14ac:dyDescent="0.25">
      <c r="A41" s="1"/>
      <c r="B41" s="1"/>
      <c r="C41" s="1"/>
      <c r="D41" s="1"/>
      <c r="E41" s="11"/>
      <c r="I41" s="1">
        <v>70021</v>
      </c>
      <c r="J41" s="1">
        <v>90</v>
      </c>
      <c r="K41" s="1">
        <v>63</v>
      </c>
      <c r="L41" s="11">
        <f t="shared" si="0"/>
        <v>0.3</v>
      </c>
      <c r="N41" s="1"/>
      <c r="O41" s="1"/>
      <c r="P41" s="1"/>
      <c r="Q41" s="11"/>
      <c r="S41" s="1">
        <v>70021</v>
      </c>
      <c r="T41" s="1">
        <v>88</v>
      </c>
      <c r="U41" s="1">
        <v>63</v>
      </c>
      <c r="V41" s="11">
        <f t="shared" si="1"/>
        <v>0.28409090909090912</v>
      </c>
    </row>
    <row r="42" spans="1:38" x14ac:dyDescent="0.25">
      <c r="A42" s="1"/>
      <c r="B42" s="1"/>
      <c r="C42" s="1"/>
      <c r="D42" s="1"/>
      <c r="E42" s="11"/>
      <c r="G42" s="1"/>
      <c r="H42" s="1"/>
      <c r="I42" s="1">
        <v>70022</v>
      </c>
      <c r="J42" s="1">
        <v>90</v>
      </c>
      <c r="K42" s="1">
        <v>62</v>
      </c>
      <c r="L42" s="11">
        <f t="shared" si="0"/>
        <v>0.31111111111111112</v>
      </c>
      <c r="N42" s="1"/>
      <c r="O42" s="1"/>
      <c r="P42" s="1"/>
      <c r="Q42" s="11"/>
      <c r="R42" s="1"/>
      <c r="S42" s="1">
        <v>70022</v>
      </c>
      <c r="T42" s="1">
        <v>88</v>
      </c>
      <c r="U42" s="1">
        <v>63</v>
      </c>
      <c r="V42" s="11">
        <f t="shared" si="1"/>
        <v>0.28409090909090912</v>
      </c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</row>
    <row r="43" spans="1:38" x14ac:dyDescent="0.25">
      <c r="A43" s="1"/>
      <c r="B43" s="1"/>
      <c r="C43" s="1"/>
      <c r="D43" s="1"/>
      <c r="E43" s="11"/>
      <c r="I43" s="1">
        <v>70031</v>
      </c>
      <c r="J43" s="1">
        <v>126</v>
      </c>
      <c r="K43" s="1">
        <v>46</v>
      </c>
      <c r="L43" s="11">
        <f t="shared" si="0"/>
        <v>0.63492063492063489</v>
      </c>
      <c r="N43" s="1"/>
      <c r="O43" s="1"/>
      <c r="P43" s="1"/>
      <c r="Q43" s="11"/>
      <c r="R43" s="1"/>
      <c r="S43" s="1">
        <v>70031</v>
      </c>
      <c r="T43" s="1">
        <v>75</v>
      </c>
      <c r="U43" s="1">
        <v>68</v>
      </c>
      <c r="V43" s="11">
        <f t="shared" si="1"/>
        <v>9.3333333333333338E-2</v>
      </c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x14ac:dyDescent="0.25">
      <c r="A44" s="1"/>
      <c r="B44" s="1"/>
      <c r="C44" s="1"/>
      <c r="D44" s="1"/>
      <c r="E44" s="11"/>
      <c r="G44" s="1"/>
      <c r="H44" s="1"/>
      <c r="I44" s="1">
        <v>70032</v>
      </c>
      <c r="J44" s="1">
        <v>126</v>
      </c>
      <c r="K44" s="1">
        <v>48</v>
      </c>
      <c r="L44" s="11">
        <f t="shared" si="0"/>
        <v>0.61904761904761907</v>
      </c>
      <c r="N44" s="1"/>
      <c r="O44" s="1"/>
      <c r="P44" s="1"/>
      <c r="Q44" s="11"/>
      <c r="R44" s="1"/>
      <c r="S44" s="1">
        <v>70032</v>
      </c>
      <c r="T44" s="1">
        <v>75</v>
      </c>
      <c r="U44" s="1">
        <v>69</v>
      </c>
      <c r="V44" s="11">
        <f t="shared" si="1"/>
        <v>0.08</v>
      </c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</row>
    <row r="45" spans="1:38" x14ac:dyDescent="0.25">
      <c r="A45" s="1"/>
      <c r="B45" s="1"/>
      <c r="C45" s="1"/>
      <c r="D45" s="1"/>
      <c r="E45" s="11"/>
      <c r="I45" s="1">
        <v>70041</v>
      </c>
      <c r="J45" s="1">
        <v>90</v>
      </c>
      <c r="K45" s="1">
        <v>65</v>
      </c>
      <c r="L45" s="11">
        <f t="shared" si="0"/>
        <v>0.27777777777777779</v>
      </c>
      <c r="N45" s="1"/>
      <c r="O45" s="1"/>
      <c r="P45" s="1"/>
      <c r="Q45" s="11"/>
      <c r="S45" s="1">
        <v>70041</v>
      </c>
      <c r="T45" s="1">
        <v>88</v>
      </c>
      <c r="U45" s="1">
        <v>69</v>
      </c>
      <c r="V45" s="11">
        <f t="shared" si="1"/>
        <v>0.21590909090909091</v>
      </c>
    </row>
    <row r="46" spans="1:38" x14ac:dyDescent="0.25">
      <c r="A46" s="1"/>
      <c r="B46" s="1"/>
      <c r="C46" s="1"/>
      <c r="D46" s="1"/>
      <c r="E46" s="11"/>
      <c r="I46" s="1">
        <v>70042</v>
      </c>
      <c r="J46" s="1">
        <v>90</v>
      </c>
      <c r="K46" s="1">
        <v>65</v>
      </c>
      <c r="L46" s="11">
        <f t="shared" si="0"/>
        <v>0.27777777777777779</v>
      </c>
      <c r="N46" s="1"/>
      <c r="O46" s="1"/>
      <c r="P46" s="1"/>
      <c r="Q46" s="11"/>
      <c r="S46" s="1">
        <v>70042</v>
      </c>
      <c r="T46" s="1">
        <v>88</v>
      </c>
      <c r="U46" s="1">
        <v>55</v>
      </c>
      <c r="V46" s="11">
        <f t="shared" si="1"/>
        <v>0.375</v>
      </c>
    </row>
    <row r="47" spans="1:38" x14ac:dyDescent="0.25">
      <c r="A47" s="1"/>
      <c r="B47" s="1"/>
      <c r="C47" s="1"/>
      <c r="D47" s="1"/>
      <c r="E47" s="11"/>
      <c r="I47" s="1">
        <v>70051</v>
      </c>
      <c r="J47" s="1">
        <v>75</v>
      </c>
      <c r="K47" s="1">
        <v>68</v>
      </c>
      <c r="L47" s="11">
        <f t="shared" si="0"/>
        <v>9.3333333333333338E-2</v>
      </c>
      <c r="N47" s="1"/>
      <c r="O47" s="1"/>
      <c r="P47" s="1"/>
      <c r="Q47" s="11"/>
      <c r="S47" s="1">
        <v>70051</v>
      </c>
      <c r="T47" s="1">
        <v>78</v>
      </c>
      <c r="U47" s="1">
        <v>57</v>
      </c>
      <c r="V47" s="11">
        <f t="shared" si="1"/>
        <v>0.26923076923076922</v>
      </c>
    </row>
    <row r="48" spans="1:38" x14ac:dyDescent="0.25">
      <c r="A48" s="1"/>
      <c r="B48" s="1"/>
      <c r="C48" s="1"/>
      <c r="D48" s="1"/>
      <c r="E48" s="11"/>
      <c r="I48" s="1">
        <v>70052</v>
      </c>
      <c r="J48" s="1">
        <v>75</v>
      </c>
      <c r="K48" s="1">
        <v>69</v>
      </c>
      <c r="L48" s="11">
        <f t="shared" si="0"/>
        <v>0.08</v>
      </c>
      <c r="N48" s="1"/>
      <c r="O48" s="1"/>
      <c r="P48" s="1"/>
      <c r="Q48" s="11"/>
      <c r="S48" s="1">
        <v>70052</v>
      </c>
      <c r="T48" s="1">
        <v>78</v>
      </c>
      <c r="U48" s="1">
        <v>53</v>
      </c>
      <c r="V48" s="11">
        <f t="shared" si="1"/>
        <v>0.32051282051282054</v>
      </c>
    </row>
    <row r="49" spans="1:22" x14ac:dyDescent="0.25">
      <c r="A49" s="1"/>
      <c r="B49" s="1"/>
      <c r="C49" s="1"/>
      <c r="D49" s="1"/>
      <c r="E49" s="11"/>
      <c r="I49" s="1">
        <v>70061</v>
      </c>
      <c r="J49" s="1">
        <v>88</v>
      </c>
      <c r="K49" s="1">
        <v>69</v>
      </c>
      <c r="L49" s="11">
        <f t="shared" si="0"/>
        <v>0.21590909090909091</v>
      </c>
      <c r="N49" s="1"/>
      <c r="O49" s="1"/>
      <c r="P49" s="1"/>
      <c r="Q49" s="11"/>
      <c r="S49" s="1">
        <v>70061</v>
      </c>
      <c r="T49" s="1">
        <v>118</v>
      </c>
      <c r="U49" s="1">
        <v>85</v>
      </c>
      <c r="V49" s="11">
        <f t="shared" si="1"/>
        <v>0.27966101694915252</v>
      </c>
    </row>
    <row r="50" spans="1:22" x14ac:dyDescent="0.25">
      <c r="A50" s="1"/>
      <c r="B50" s="1"/>
      <c r="C50" s="1"/>
      <c r="D50" s="1"/>
      <c r="E50" s="11"/>
      <c r="I50" s="1">
        <v>70062</v>
      </c>
      <c r="J50" s="1">
        <v>88</v>
      </c>
      <c r="K50" s="1">
        <v>55</v>
      </c>
      <c r="L50" s="11">
        <f t="shared" si="0"/>
        <v>0.375</v>
      </c>
      <c r="N50" s="1"/>
      <c r="O50" s="1"/>
      <c r="P50" s="1"/>
      <c r="Q50" s="11"/>
      <c r="S50" s="1">
        <v>70062</v>
      </c>
      <c r="T50" s="1">
        <v>118</v>
      </c>
      <c r="U50" s="1">
        <v>76</v>
      </c>
      <c r="V50" s="11">
        <f t="shared" si="1"/>
        <v>0.3559322033898305</v>
      </c>
    </row>
    <row r="51" spans="1:22" x14ac:dyDescent="0.25">
      <c r="A51" s="1"/>
      <c r="B51" s="1"/>
      <c r="C51" s="1"/>
      <c r="D51" s="1"/>
      <c r="E51" s="11"/>
      <c r="I51" s="1">
        <v>70071</v>
      </c>
      <c r="J51" s="1">
        <v>78</v>
      </c>
      <c r="K51" s="1">
        <v>57</v>
      </c>
      <c r="L51" s="11">
        <f t="shared" si="0"/>
        <v>0.26923076923076922</v>
      </c>
      <c r="N51" s="1"/>
      <c r="O51" s="1"/>
      <c r="P51" s="1"/>
      <c r="Q51" s="11"/>
      <c r="S51" s="1">
        <v>70071</v>
      </c>
      <c r="T51" s="1">
        <v>90</v>
      </c>
      <c r="U51" s="1">
        <v>52</v>
      </c>
      <c r="V51" s="11">
        <f t="shared" si="1"/>
        <v>0.42222222222222222</v>
      </c>
    </row>
    <row r="52" spans="1:22" x14ac:dyDescent="0.25">
      <c r="A52" s="1"/>
      <c r="B52" s="1"/>
      <c r="C52" s="1"/>
      <c r="D52" s="1"/>
      <c r="E52" s="11"/>
      <c r="I52" s="1">
        <v>70072</v>
      </c>
      <c r="J52" s="1">
        <v>78</v>
      </c>
      <c r="K52" s="1">
        <v>53</v>
      </c>
      <c r="L52" s="11">
        <f t="shared" si="0"/>
        <v>0.32051282051282054</v>
      </c>
      <c r="N52" s="1"/>
      <c r="O52" s="1"/>
      <c r="P52" s="1"/>
      <c r="Q52" s="11"/>
      <c r="S52" s="1">
        <v>70072</v>
      </c>
      <c r="T52" s="1">
        <v>90</v>
      </c>
      <c r="U52" s="1">
        <v>52</v>
      </c>
      <c r="V52" s="11">
        <f t="shared" si="1"/>
        <v>0.42222222222222222</v>
      </c>
    </row>
    <row r="53" spans="1:22" x14ac:dyDescent="0.25">
      <c r="A53" s="1"/>
      <c r="B53" s="1"/>
      <c r="C53" s="1"/>
      <c r="D53" s="1"/>
      <c r="E53" s="11"/>
      <c r="I53" s="1">
        <v>70081</v>
      </c>
      <c r="J53" s="1">
        <v>30</v>
      </c>
      <c r="K53" s="1">
        <v>30</v>
      </c>
      <c r="L53" s="11">
        <f t="shared" si="0"/>
        <v>0</v>
      </c>
      <c r="N53" s="1"/>
      <c r="O53" s="1"/>
      <c r="P53" s="1"/>
      <c r="Q53" s="11"/>
      <c r="S53" s="1">
        <v>70081</v>
      </c>
      <c r="T53" s="1">
        <v>90</v>
      </c>
      <c r="U53" s="1">
        <v>70</v>
      </c>
      <c r="V53" s="11">
        <f t="shared" si="1"/>
        <v>0.22222222222222221</v>
      </c>
    </row>
    <row r="54" spans="1:22" x14ac:dyDescent="0.25">
      <c r="A54" s="1"/>
      <c r="B54" s="1"/>
      <c r="C54" s="1"/>
      <c r="D54" s="1"/>
      <c r="E54" s="11"/>
      <c r="I54" s="1">
        <v>70082</v>
      </c>
      <c r="J54" s="1">
        <v>30</v>
      </c>
      <c r="K54" s="1">
        <v>29</v>
      </c>
      <c r="L54" s="11">
        <f t="shared" si="0"/>
        <v>3.3333333333333333E-2</v>
      </c>
      <c r="N54" s="1"/>
      <c r="O54" s="1"/>
      <c r="P54" s="1"/>
      <c r="Q54" s="11"/>
      <c r="S54" s="1">
        <v>70082</v>
      </c>
      <c r="T54" s="1">
        <v>90</v>
      </c>
      <c r="U54" s="1">
        <v>62</v>
      </c>
      <c r="V54" s="11">
        <f t="shared" si="1"/>
        <v>0.31111111111111112</v>
      </c>
    </row>
    <row r="55" spans="1:22" x14ac:dyDescent="0.25">
      <c r="A55" s="1"/>
      <c r="B55" s="1"/>
      <c r="C55" s="1"/>
      <c r="D55" s="1"/>
      <c r="E55" s="11"/>
      <c r="I55" s="1">
        <v>70091</v>
      </c>
      <c r="J55" s="1">
        <v>90</v>
      </c>
      <c r="K55" s="1">
        <v>56</v>
      </c>
      <c r="L55" s="11">
        <f t="shared" si="0"/>
        <v>0.37777777777777777</v>
      </c>
      <c r="N55" s="1"/>
      <c r="O55" s="1"/>
      <c r="P55" s="1"/>
      <c r="Q55" s="11"/>
      <c r="S55" s="1">
        <v>70091</v>
      </c>
      <c r="T55" s="1">
        <v>30</v>
      </c>
      <c r="U55" s="1">
        <v>30</v>
      </c>
      <c r="V55" s="11">
        <f t="shared" si="1"/>
        <v>0</v>
      </c>
    </row>
    <row r="56" spans="1:22" x14ac:dyDescent="0.25">
      <c r="A56" s="1"/>
      <c r="B56" s="1"/>
      <c r="C56" s="1"/>
      <c r="D56" s="1"/>
      <c r="E56" s="11"/>
      <c r="I56" s="1">
        <v>70092</v>
      </c>
      <c r="J56" s="1">
        <v>90</v>
      </c>
      <c r="K56" s="1">
        <v>55</v>
      </c>
      <c r="L56" s="11">
        <f t="shared" si="0"/>
        <v>0.3888888888888889</v>
      </c>
      <c r="N56" s="1"/>
      <c r="O56" s="1"/>
      <c r="P56" s="1"/>
      <c r="Q56" s="11"/>
      <c r="S56" s="1">
        <v>70092</v>
      </c>
      <c r="T56" s="1">
        <v>30</v>
      </c>
      <c r="U56" s="1">
        <v>29</v>
      </c>
      <c r="V56" s="11">
        <f t="shared" si="1"/>
        <v>3.3333333333333333E-2</v>
      </c>
    </row>
    <row r="57" spans="1:22" x14ac:dyDescent="0.25">
      <c r="A57" s="1"/>
      <c r="B57" s="1"/>
      <c r="C57" s="1"/>
      <c r="D57" s="1"/>
      <c r="E57" s="11"/>
      <c r="I57" s="1">
        <v>70101</v>
      </c>
      <c r="J57" s="1">
        <v>90</v>
      </c>
      <c r="K57" s="1">
        <v>51</v>
      </c>
      <c r="L57" s="11">
        <f t="shared" si="0"/>
        <v>0.43333333333333335</v>
      </c>
      <c r="N57" s="1"/>
      <c r="O57" s="1"/>
      <c r="P57" s="1"/>
      <c r="Q57" s="11"/>
      <c r="S57" s="1">
        <v>70101</v>
      </c>
      <c r="T57" s="1">
        <v>90</v>
      </c>
      <c r="U57" s="1">
        <v>68</v>
      </c>
      <c r="V57" s="11">
        <f t="shared" si="1"/>
        <v>0.24444444444444444</v>
      </c>
    </row>
    <row r="58" spans="1:22" x14ac:dyDescent="0.25">
      <c r="A58" s="1"/>
      <c r="B58" s="1"/>
      <c r="C58" s="1"/>
      <c r="D58" s="1"/>
      <c r="E58" s="11"/>
      <c r="I58" s="1">
        <v>70102</v>
      </c>
      <c r="J58" s="1">
        <v>90</v>
      </c>
      <c r="K58" s="1">
        <v>53</v>
      </c>
      <c r="L58" s="11">
        <f t="shared" si="0"/>
        <v>0.41111111111111109</v>
      </c>
      <c r="N58" s="1"/>
      <c r="O58" s="1"/>
      <c r="P58" s="1"/>
      <c r="Q58" s="11"/>
      <c r="S58" s="1">
        <v>70102</v>
      </c>
      <c r="T58" s="1">
        <v>90</v>
      </c>
      <c r="U58" s="1">
        <v>64</v>
      </c>
      <c r="V58" s="11">
        <f t="shared" si="1"/>
        <v>0.28888888888888886</v>
      </c>
    </row>
    <row r="59" spans="1:22" x14ac:dyDescent="0.25">
      <c r="A59" s="1"/>
      <c r="B59" s="1"/>
      <c r="C59" s="1"/>
      <c r="D59" s="1"/>
      <c r="E59" s="11"/>
      <c r="I59" s="1">
        <v>70111</v>
      </c>
      <c r="J59" s="1">
        <v>90</v>
      </c>
      <c r="K59" s="1">
        <v>30</v>
      </c>
      <c r="L59" s="11">
        <f t="shared" si="0"/>
        <v>0.66666666666666663</v>
      </c>
      <c r="N59" s="1"/>
      <c r="O59" s="1"/>
      <c r="P59" s="1"/>
      <c r="Q59" s="11"/>
      <c r="S59" s="1">
        <v>70111</v>
      </c>
      <c r="T59" s="1">
        <v>90</v>
      </c>
      <c r="U59" s="1">
        <v>60</v>
      </c>
      <c r="V59" s="11">
        <f t="shared" si="1"/>
        <v>0.33333333333333331</v>
      </c>
    </row>
    <row r="60" spans="1:22" x14ac:dyDescent="0.25">
      <c r="A60" s="1"/>
      <c r="B60" s="1"/>
      <c r="C60" s="1"/>
      <c r="D60" s="1"/>
      <c r="E60" s="11"/>
      <c r="I60" s="1">
        <v>70112</v>
      </c>
      <c r="J60" s="1">
        <v>90</v>
      </c>
      <c r="K60" s="1">
        <v>25</v>
      </c>
      <c r="L60" s="11">
        <f t="shared" si="0"/>
        <v>0.72222222222222221</v>
      </c>
      <c r="N60" s="1"/>
      <c r="O60" s="1"/>
      <c r="P60" s="1"/>
      <c r="Q60" s="11"/>
      <c r="S60" s="1">
        <v>70112</v>
      </c>
      <c r="T60" s="1">
        <v>90</v>
      </c>
      <c r="U60" s="1">
        <v>56</v>
      </c>
      <c r="V60" s="11">
        <f t="shared" si="1"/>
        <v>0.37777777777777777</v>
      </c>
    </row>
    <row r="61" spans="1:22" x14ac:dyDescent="0.25">
      <c r="A61" s="1"/>
      <c r="B61" s="1"/>
      <c r="C61" s="1"/>
      <c r="D61" s="1"/>
      <c r="E61" s="11"/>
      <c r="I61" s="1">
        <v>70121</v>
      </c>
      <c r="J61" s="1">
        <v>90</v>
      </c>
      <c r="K61" s="1">
        <v>65</v>
      </c>
      <c r="L61" s="11">
        <f t="shared" si="0"/>
        <v>0.27777777777777779</v>
      </c>
      <c r="N61" s="1"/>
      <c r="O61" s="1"/>
      <c r="P61" s="1"/>
      <c r="Q61" s="11"/>
      <c r="S61" s="1">
        <v>70121</v>
      </c>
      <c r="T61" s="1">
        <v>90</v>
      </c>
      <c r="U61" s="1">
        <v>66</v>
      </c>
      <c r="V61" s="11">
        <f t="shared" si="1"/>
        <v>0.26666666666666666</v>
      </c>
    </row>
    <row r="62" spans="1:22" x14ac:dyDescent="0.25">
      <c r="A62" s="1"/>
      <c r="B62" s="1"/>
      <c r="C62" s="1"/>
      <c r="D62" s="1"/>
      <c r="E62" s="11"/>
      <c r="I62" s="1">
        <v>70122</v>
      </c>
      <c r="J62" s="1">
        <v>90</v>
      </c>
      <c r="K62" s="1">
        <v>63</v>
      </c>
      <c r="L62" s="11">
        <f t="shared" si="0"/>
        <v>0.3</v>
      </c>
      <c r="N62" s="1"/>
      <c r="O62" s="1"/>
      <c r="P62" s="1"/>
      <c r="Q62" s="11"/>
      <c r="S62" s="1">
        <v>70122</v>
      </c>
      <c r="T62" s="1">
        <v>90</v>
      </c>
      <c r="U62" s="1">
        <v>61</v>
      </c>
      <c r="V62" s="11">
        <f t="shared" si="1"/>
        <v>0.32222222222222224</v>
      </c>
    </row>
    <row r="63" spans="1:22" x14ac:dyDescent="0.25">
      <c r="A63" s="1"/>
      <c r="B63" s="1"/>
      <c r="C63" s="1"/>
      <c r="D63" s="1"/>
      <c r="E63" s="11"/>
      <c r="I63" s="1">
        <v>70131</v>
      </c>
      <c r="J63" s="1">
        <v>90</v>
      </c>
      <c r="K63" s="1">
        <v>47</v>
      </c>
      <c r="L63" s="11">
        <f t="shared" si="0"/>
        <v>0.4777777777777778</v>
      </c>
      <c r="N63" s="1"/>
      <c r="O63" s="1"/>
      <c r="P63" s="1"/>
      <c r="Q63" s="11"/>
      <c r="S63" s="1">
        <v>70131</v>
      </c>
      <c r="T63" s="1">
        <v>90</v>
      </c>
      <c r="U63" s="1">
        <v>65</v>
      </c>
      <c r="V63" s="11">
        <f t="shared" si="1"/>
        <v>0.27777777777777779</v>
      </c>
    </row>
    <row r="64" spans="1:22" x14ac:dyDescent="0.25">
      <c r="A64" s="1"/>
      <c r="B64" s="1"/>
      <c r="C64" s="1"/>
      <c r="D64" s="1"/>
      <c r="E64" s="11"/>
      <c r="I64" s="1">
        <v>70132</v>
      </c>
      <c r="J64" s="1">
        <v>90</v>
      </c>
      <c r="K64" s="1">
        <v>30</v>
      </c>
      <c r="L64" s="11">
        <f t="shared" si="0"/>
        <v>0.66666666666666663</v>
      </c>
      <c r="N64" s="1"/>
      <c r="O64" s="1"/>
      <c r="P64" s="1"/>
      <c r="Q64" s="11"/>
      <c r="S64" s="1">
        <v>70132</v>
      </c>
      <c r="T64" s="1">
        <v>90</v>
      </c>
      <c r="U64" s="1">
        <v>63</v>
      </c>
      <c r="V64" s="11">
        <f t="shared" si="1"/>
        <v>0.3</v>
      </c>
    </row>
    <row r="65" spans="1:22" x14ac:dyDescent="0.25">
      <c r="A65" s="1"/>
      <c r="B65" s="1"/>
      <c r="C65" s="1"/>
      <c r="D65" s="1"/>
      <c r="E65" s="11"/>
      <c r="I65" s="1">
        <v>70141</v>
      </c>
      <c r="J65" s="1">
        <v>90</v>
      </c>
      <c r="K65" s="1">
        <v>60</v>
      </c>
      <c r="L65" s="11">
        <f t="shared" si="0"/>
        <v>0.33333333333333331</v>
      </c>
      <c r="N65" s="1"/>
      <c r="O65" s="1"/>
      <c r="P65" s="1"/>
      <c r="Q65" s="11"/>
      <c r="S65" s="1">
        <v>70141</v>
      </c>
      <c r="T65" s="1">
        <v>90</v>
      </c>
      <c r="U65" s="1">
        <v>61</v>
      </c>
      <c r="V65" s="11">
        <f t="shared" si="1"/>
        <v>0.32222222222222224</v>
      </c>
    </row>
    <row r="66" spans="1:22" x14ac:dyDescent="0.25">
      <c r="A66" s="1"/>
      <c r="B66" s="1"/>
      <c r="C66" s="1"/>
      <c r="D66" s="1"/>
      <c r="E66" s="11"/>
      <c r="I66" s="1">
        <v>70142</v>
      </c>
      <c r="J66" s="1">
        <v>90</v>
      </c>
      <c r="K66" s="1">
        <v>58</v>
      </c>
      <c r="L66" s="11">
        <f t="shared" si="0"/>
        <v>0.35555555555555557</v>
      </c>
      <c r="N66" s="1"/>
      <c r="O66" s="1"/>
      <c r="P66" s="1"/>
      <c r="Q66" s="11"/>
      <c r="S66" s="1">
        <v>70142</v>
      </c>
      <c r="T66" s="1">
        <v>90</v>
      </c>
      <c r="U66" s="1">
        <v>61</v>
      </c>
      <c r="V66" s="11">
        <f t="shared" si="1"/>
        <v>0.32222222222222224</v>
      </c>
    </row>
    <row r="67" spans="1:22" x14ac:dyDescent="0.25">
      <c r="A67" s="1"/>
      <c r="B67" s="1"/>
      <c r="C67" s="1"/>
      <c r="D67" s="1"/>
      <c r="E67" s="11"/>
      <c r="I67" s="1">
        <v>70151</v>
      </c>
      <c r="J67" s="1">
        <v>128</v>
      </c>
      <c r="K67" s="1">
        <v>91</v>
      </c>
      <c r="L67" s="11">
        <f t="shared" si="0"/>
        <v>0.2890625</v>
      </c>
      <c r="N67" s="1"/>
      <c r="O67" s="1"/>
      <c r="P67" s="1"/>
      <c r="Q67" s="11"/>
      <c r="S67" s="1">
        <v>70151</v>
      </c>
      <c r="T67" s="1">
        <v>90</v>
      </c>
      <c r="U67" s="1">
        <v>47</v>
      </c>
      <c r="V67" s="11">
        <f t="shared" si="1"/>
        <v>0.4777777777777778</v>
      </c>
    </row>
    <row r="68" spans="1:22" x14ac:dyDescent="0.25">
      <c r="A68" s="1"/>
      <c r="B68" s="1"/>
      <c r="C68" s="1"/>
      <c r="D68" s="1"/>
      <c r="E68" s="11"/>
      <c r="I68" s="1">
        <v>70152</v>
      </c>
      <c r="J68" s="1">
        <v>128</v>
      </c>
      <c r="K68" s="1">
        <v>87</v>
      </c>
      <c r="L68" s="11">
        <f t="shared" si="0"/>
        <v>0.3203125</v>
      </c>
      <c r="N68" s="1"/>
      <c r="O68" s="1"/>
      <c r="P68" s="1"/>
      <c r="Q68" s="11"/>
      <c r="S68" s="1">
        <v>70152</v>
      </c>
      <c r="T68" s="1">
        <v>90</v>
      </c>
      <c r="U68" s="1">
        <v>30</v>
      </c>
      <c r="V68" s="11">
        <f t="shared" si="1"/>
        <v>0.66666666666666663</v>
      </c>
    </row>
    <row r="69" spans="1:22" x14ac:dyDescent="0.25">
      <c r="A69" s="1"/>
      <c r="B69" s="1"/>
      <c r="C69" s="1"/>
      <c r="D69" s="1"/>
      <c r="E69" s="11"/>
      <c r="I69" s="1">
        <v>70161</v>
      </c>
      <c r="J69" s="1">
        <v>90</v>
      </c>
      <c r="K69" s="1">
        <v>73</v>
      </c>
      <c r="L69" s="11">
        <f t="shared" si="0"/>
        <v>0.18888888888888888</v>
      </c>
      <c r="N69" s="1"/>
      <c r="O69" s="1"/>
      <c r="P69" s="1"/>
      <c r="Q69" s="11"/>
      <c r="S69" s="1">
        <v>70161</v>
      </c>
      <c r="T69" s="1">
        <v>90</v>
      </c>
      <c r="U69" s="1">
        <v>68</v>
      </c>
      <c r="V69" s="11">
        <f t="shared" si="1"/>
        <v>0.24444444444444444</v>
      </c>
    </row>
    <row r="70" spans="1:22" x14ac:dyDescent="0.25">
      <c r="A70" s="1"/>
      <c r="B70" s="1"/>
      <c r="C70" s="1"/>
      <c r="D70" s="1"/>
      <c r="E70" s="11"/>
      <c r="I70" s="1">
        <v>70162</v>
      </c>
      <c r="J70" s="1">
        <v>90</v>
      </c>
      <c r="K70" s="1">
        <v>73</v>
      </c>
      <c r="L70" s="11">
        <f t="shared" si="0"/>
        <v>0.18888888888888888</v>
      </c>
      <c r="N70" s="1"/>
      <c r="O70" s="1"/>
      <c r="P70" s="1"/>
      <c r="Q70" s="12"/>
      <c r="S70" s="1">
        <v>70162</v>
      </c>
      <c r="T70" s="1">
        <v>90</v>
      </c>
      <c r="U70" s="1">
        <v>58</v>
      </c>
      <c r="V70" s="11">
        <f t="shared" si="1"/>
        <v>0.35555555555555557</v>
      </c>
    </row>
    <row r="71" spans="1:22" x14ac:dyDescent="0.25">
      <c r="A71" s="1"/>
      <c r="B71" s="1"/>
      <c r="C71" s="1"/>
      <c r="D71" s="1"/>
      <c r="E71" s="11"/>
      <c r="I71" s="1">
        <v>70171</v>
      </c>
      <c r="J71" s="1">
        <v>90</v>
      </c>
      <c r="K71" s="1">
        <v>62</v>
      </c>
      <c r="L71" s="11">
        <f t="shared" si="0"/>
        <v>0.31111111111111112</v>
      </c>
      <c r="N71" s="1"/>
      <c r="O71" s="1"/>
      <c r="P71" s="1"/>
      <c r="Q71" s="11"/>
      <c r="S71" s="1">
        <v>70171</v>
      </c>
      <c r="T71" s="1">
        <v>90</v>
      </c>
      <c r="U71" s="1">
        <v>60</v>
      </c>
      <c r="V71" s="11">
        <f t="shared" si="1"/>
        <v>0.33333333333333331</v>
      </c>
    </row>
    <row r="72" spans="1:22" x14ac:dyDescent="0.25">
      <c r="A72" s="1"/>
      <c r="B72" s="1"/>
      <c r="C72" s="1"/>
      <c r="D72" s="1"/>
      <c r="E72" s="11"/>
      <c r="I72" s="1">
        <v>70172</v>
      </c>
      <c r="J72" s="1">
        <v>90</v>
      </c>
      <c r="K72" s="1">
        <v>61</v>
      </c>
      <c r="L72" s="11">
        <f t="shared" si="0"/>
        <v>0.32222222222222224</v>
      </c>
      <c r="N72" s="1"/>
      <c r="O72" s="1"/>
      <c r="P72" s="1"/>
      <c r="Q72" s="11"/>
      <c r="S72" s="1">
        <v>70172</v>
      </c>
      <c r="T72" s="1">
        <v>90</v>
      </c>
      <c r="U72" s="1">
        <v>58</v>
      </c>
      <c r="V72" s="11">
        <f t="shared" si="1"/>
        <v>0.35555555555555557</v>
      </c>
    </row>
    <row r="73" spans="1:22" x14ac:dyDescent="0.25">
      <c r="A73" s="1"/>
      <c r="B73" s="1"/>
      <c r="C73" s="1"/>
      <c r="D73" s="1"/>
      <c r="E73" s="11"/>
      <c r="I73" s="1">
        <v>70181</v>
      </c>
      <c r="J73" s="1">
        <v>109</v>
      </c>
      <c r="K73" s="1">
        <v>29</v>
      </c>
      <c r="L73" s="12">
        <f t="shared" si="0"/>
        <v>0.73394495412844041</v>
      </c>
      <c r="N73" s="1"/>
      <c r="O73" s="1"/>
      <c r="P73" s="1"/>
      <c r="Q73" s="11"/>
      <c r="S73" s="1">
        <v>70181</v>
      </c>
      <c r="T73" s="1">
        <v>128</v>
      </c>
      <c r="U73" s="1">
        <v>91</v>
      </c>
      <c r="V73" s="11">
        <f t="shared" si="1"/>
        <v>0.2890625</v>
      </c>
    </row>
    <row r="74" spans="1:22" x14ac:dyDescent="0.25">
      <c r="A74" s="1"/>
      <c r="B74" s="1"/>
      <c r="C74" s="1"/>
      <c r="D74" s="1"/>
      <c r="E74" s="11"/>
      <c r="I74" s="1">
        <v>70182</v>
      </c>
      <c r="J74" s="1">
        <v>109</v>
      </c>
      <c r="K74" s="1">
        <v>76</v>
      </c>
      <c r="L74" s="11">
        <f t="shared" si="0"/>
        <v>0.30275229357798167</v>
      </c>
      <c r="N74" s="1"/>
      <c r="O74" s="1"/>
      <c r="P74" s="1"/>
      <c r="Q74" s="11"/>
      <c r="S74" s="1">
        <v>70182</v>
      </c>
      <c r="T74" s="1">
        <v>128</v>
      </c>
      <c r="U74" s="1">
        <v>87</v>
      </c>
      <c r="V74" s="11">
        <f t="shared" si="1"/>
        <v>0.3203125</v>
      </c>
    </row>
    <row r="75" spans="1:22" x14ac:dyDescent="0.25">
      <c r="A75" s="1"/>
      <c r="B75" s="1"/>
      <c r="C75" s="1"/>
      <c r="D75" s="1"/>
      <c r="E75" s="11"/>
      <c r="I75" s="1">
        <v>70191</v>
      </c>
      <c r="J75" s="1">
        <v>60</v>
      </c>
      <c r="K75" s="1">
        <v>33</v>
      </c>
      <c r="L75" s="11">
        <f t="shared" si="0"/>
        <v>0.45</v>
      </c>
      <c r="N75" s="1"/>
      <c r="O75" s="1"/>
      <c r="P75" s="1"/>
      <c r="Q75" s="11"/>
      <c r="S75" s="1">
        <v>70191</v>
      </c>
      <c r="T75" s="1">
        <v>90</v>
      </c>
      <c r="U75" s="1">
        <v>73</v>
      </c>
      <c r="V75" s="11">
        <f t="shared" si="1"/>
        <v>0.18888888888888888</v>
      </c>
    </row>
    <row r="76" spans="1:22" x14ac:dyDescent="0.25">
      <c r="A76" s="1"/>
      <c r="B76" s="1"/>
      <c r="C76" s="1"/>
      <c r="D76" s="1"/>
      <c r="E76" s="11"/>
      <c r="I76" s="1">
        <v>70192</v>
      </c>
      <c r="J76" s="1">
        <v>60</v>
      </c>
      <c r="K76" s="1">
        <v>26</v>
      </c>
      <c r="L76" s="11">
        <f t="shared" si="0"/>
        <v>0.56666666666666665</v>
      </c>
      <c r="N76" s="1"/>
      <c r="O76" s="1"/>
      <c r="P76" s="1"/>
      <c r="Q76" s="11"/>
      <c r="S76" s="1">
        <v>70192</v>
      </c>
      <c r="T76" s="1">
        <v>90</v>
      </c>
      <c r="U76" s="1">
        <v>73</v>
      </c>
      <c r="V76" s="11">
        <f t="shared" si="1"/>
        <v>0.18888888888888888</v>
      </c>
    </row>
    <row r="77" spans="1:22" x14ac:dyDescent="0.25">
      <c r="A77" s="1"/>
      <c r="B77" s="1"/>
      <c r="C77" s="1"/>
      <c r="D77" s="1"/>
      <c r="E77" s="11"/>
      <c r="I77" s="1">
        <v>70201</v>
      </c>
      <c r="J77" s="1">
        <v>81</v>
      </c>
      <c r="K77" s="1">
        <v>38</v>
      </c>
      <c r="L77" s="11">
        <f t="shared" si="0"/>
        <v>0.53086419753086422</v>
      </c>
      <c r="N77" s="1"/>
      <c r="O77" s="1"/>
      <c r="P77" s="1"/>
      <c r="Q77" s="11"/>
      <c r="S77" s="1">
        <v>70201</v>
      </c>
      <c r="T77" s="1">
        <v>90</v>
      </c>
      <c r="U77" s="1">
        <v>62</v>
      </c>
      <c r="V77" s="11">
        <f t="shared" si="1"/>
        <v>0.31111111111111112</v>
      </c>
    </row>
    <row r="78" spans="1:22" x14ac:dyDescent="0.25">
      <c r="A78" s="1"/>
      <c r="B78" s="1"/>
      <c r="C78" s="1"/>
      <c r="D78" s="1"/>
      <c r="E78" s="11"/>
      <c r="I78" s="1">
        <v>70202</v>
      </c>
      <c r="J78" s="1">
        <v>81</v>
      </c>
      <c r="K78" s="1">
        <v>45</v>
      </c>
      <c r="L78" s="11">
        <f t="shared" si="0"/>
        <v>0.44444444444444442</v>
      </c>
      <c r="N78" s="1"/>
      <c r="O78" s="1"/>
      <c r="P78" s="1"/>
      <c r="Q78" s="11"/>
      <c r="S78" s="1">
        <v>70202</v>
      </c>
      <c r="T78" s="1">
        <v>90</v>
      </c>
      <c r="U78" s="1">
        <v>61</v>
      </c>
      <c r="V78" s="11">
        <f t="shared" si="1"/>
        <v>0.32222222222222224</v>
      </c>
    </row>
    <row r="79" spans="1:22" x14ac:dyDescent="0.25">
      <c r="A79" s="1"/>
      <c r="B79" s="1"/>
      <c r="C79" s="1"/>
      <c r="D79" s="1"/>
      <c r="E79" s="11"/>
      <c r="I79" s="1">
        <v>70211</v>
      </c>
      <c r="J79" s="1">
        <v>80</v>
      </c>
      <c r="K79" s="1">
        <v>31</v>
      </c>
      <c r="L79" s="11">
        <f t="shared" si="0"/>
        <v>0.61250000000000004</v>
      </c>
      <c r="N79" s="1"/>
      <c r="O79" s="1"/>
      <c r="P79" s="1"/>
      <c r="Q79" s="11"/>
      <c r="S79" s="1">
        <v>70211</v>
      </c>
      <c r="T79" s="1">
        <v>81</v>
      </c>
      <c r="U79" s="1">
        <v>35</v>
      </c>
      <c r="V79" s="11">
        <f t="shared" si="1"/>
        <v>0.5679012345679012</v>
      </c>
    </row>
    <row r="80" spans="1:22" x14ac:dyDescent="0.25">
      <c r="A80" s="1"/>
      <c r="B80" s="1"/>
      <c r="C80" s="1"/>
      <c r="D80" s="1"/>
      <c r="E80" s="11"/>
      <c r="I80" s="1">
        <v>70212</v>
      </c>
      <c r="J80" s="1">
        <v>80</v>
      </c>
      <c r="K80" s="1">
        <v>38</v>
      </c>
      <c r="L80" s="11">
        <f t="shared" si="0"/>
        <v>0.52500000000000002</v>
      </c>
      <c r="N80" s="1"/>
      <c r="O80" s="1"/>
      <c r="P80" s="1"/>
      <c r="Q80" s="11"/>
      <c r="S80" s="1">
        <v>70212</v>
      </c>
      <c r="T80" s="1">
        <v>81</v>
      </c>
      <c r="U80" s="1">
        <v>28</v>
      </c>
      <c r="V80" s="11">
        <f t="shared" si="1"/>
        <v>0.65432098765432101</v>
      </c>
    </row>
    <row r="81" spans="1:22" x14ac:dyDescent="0.25">
      <c r="A81" s="1"/>
      <c r="B81" s="1"/>
      <c r="C81" s="1"/>
      <c r="D81" s="1"/>
      <c r="E81" s="11"/>
      <c r="I81" s="1">
        <v>70221</v>
      </c>
      <c r="J81" s="1">
        <v>86</v>
      </c>
      <c r="K81" s="1">
        <v>39</v>
      </c>
      <c r="L81" s="11">
        <f t="shared" si="0"/>
        <v>0.54651162790697672</v>
      </c>
      <c r="N81" s="1"/>
      <c r="O81" s="1"/>
      <c r="P81" s="1"/>
      <c r="Q81" s="11"/>
      <c r="S81" s="1">
        <v>70221</v>
      </c>
      <c r="T81" s="1">
        <v>79</v>
      </c>
      <c r="U81" s="1">
        <v>20</v>
      </c>
      <c r="V81" s="12">
        <f t="shared" si="1"/>
        <v>0.74683544303797467</v>
      </c>
    </row>
    <row r="82" spans="1:22" x14ac:dyDescent="0.25">
      <c r="A82" s="1"/>
      <c r="B82" s="1"/>
      <c r="C82" s="1"/>
      <c r="D82" s="1"/>
      <c r="E82" s="11"/>
      <c r="I82" s="1">
        <v>70222</v>
      </c>
      <c r="J82" s="1">
        <v>86</v>
      </c>
      <c r="K82" s="1">
        <v>54</v>
      </c>
      <c r="L82" s="11">
        <f t="shared" si="0"/>
        <v>0.37209302325581395</v>
      </c>
      <c r="N82" s="1"/>
      <c r="O82" s="1"/>
      <c r="P82" s="1"/>
      <c r="Q82" s="11"/>
      <c r="S82" s="1">
        <v>70222</v>
      </c>
      <c r="T82" s="1">
        <v>79</v>
      </c>
      <c r="U82" s="1">
        <v>42</v>
      </c>
      <c r="V82" s="11">
        <f t="shared" si="1"/>
        <v>0.46835443037974683</v>
      </c>
    </row>
    <row r="83" spans="1:22" x14ac:dyDescent="0.25">
      <c r="A83" s="1"/>
      <c r="B83" s="1"/>
      <c r="C83" s="1"/>
      <c r="D83" s="1"/>
      <c r="E83" s="11"/>
      <c r="I83" s="1">
        <v>70231</v>
      </c>
      <c r="J83" s="1">
        <v>70</v>
      </c>
      <c r="K83" s="1">
        <v>35</v>
      </c>
      <c r="L83" s="11">
        <f t="shared" si="0"/>
        <v>0.5</v>
      </c>
      <c r="N83" s="1"/>
      <c r="O83" s="1"/>
      <c r="P83" s="1"/>
      <c r="Q83" s="11"/>
      <c r="S83" s="1">
        <v>70231</v>
      </c>
      <c r="T83" s="1">
        <v>86</v>
      </c>
      <c r="U83" s="1">
        <v>39</v>
      </c>
      <c r="V83" s="11">
        <f t="shared" si="1"/>
        <v>0.54651162790697672</v>
      </c>
    </row>
    <row r="84" spans="1:22" x14ac:dyDescent="0.25">
      <c r="A84" s="1"/>
      <c r="B84" s="1"/>
      <c r="C84" s="1"/>
      <c r="D84" s="1"/>
      <c r="E84" s="11"/>
      <c r="I84" s="1">
        <v>70232</v>
      </c>
      <c r="J84" s="1">
        <v>70</v>
      </c>
      <c r="K84" s="1">
        <v>42</v>
      </c>
      <c r="L84" s="11">
        <f t="shared" si="0"/>
        <v>0.4</v>
      </c>
      <c r="N84" s="1"/>
      <c r="O84" s="1"/>
      <c r="P84" s="1"/>
      <c r="Q84" s="11"/>
      <c r="S84" s="1">
        <v>70232</v>
      </c>
      <c r="T84" s="1">
        <v>86</v>
      </c>
      <c r="U84" s="1">
        <v>54</v>
      </c>
      <c r="V84" s="11">
        <f t="shared" si="1"/>
        <v>0.37209302325581395</v>
      </c>
    </row>
    <row r="85" spans="1:22" x14ac:dyDescent="0.25">
      <c r="A85" s="1"/>
      <c r="B85" s="1"/>
      <c r="C85" s="1"/>
      <c r="D85" s="1"/>
      <c r="E85" s="11"/>
      <c r="I85" s="1">
        <v>70241</v>
      </c>
      <c r="J85" s="1">
        <v>29</v>
      </c>
      <c r="K85" s="1">
        <v>29</v>
      </c>
      <c r="L85" s="11">
        <f t="shared" si="0"/>
        <v>0</v>
      </c>
      <c r="N85" s="1"/>
      <c r="O85" s="1"/>
      <c r="P85" s="1"/>
      <c r="Q85" s="11"/>
      <c r="S85" s="1">
        <v>70241</v>
      </c>
      <c r="T85" s="1">
        <v>70</v>
      </c>
      <c r="U85" s="1">
        <v>35</v>
      </c>
      <c r="V85" s="11">
        <f t="shared" si="1"/>
        <v>0.5</v>
      </c>
    </row>
    <row r="86" spans="1:22" x14ac:dyDescent="0.25">
      <c r="A86" s="1"/>
      <c r="B86" s="1"/>
      <c r="C86" s="1"/>
      <c r="D86" s="1"/>
      <c r="E86" s="11"/>
      <c r="I86" s="1">
        <v>70242</v>
      </c>
      <c r="J86" s="1">
        <v>29</v>
      </c>
      <c r="K86" s="1">
        <v>27</v>
      </c>
      <c r="L86" s="11">
        <f t="shared" si="0"/>
        <v>6.8965517241379309E-2</v>
      </c>
      <c r="N86" s="1"/>
      <c r="O86" s="1"/>
      <c r="P86" s="1"/>
      <c r="Q86" s="11"/>
      <c r="S86" s="1">
        <v>70242</v>
      </c>
      <c r="T86" s="1">
        <v>70</v>
      </c>
      <c r="U86" s="1">
        <v>42</v>
      </c>
      <c r="V86" s="11">
        <f t="shared" si="1"/>
        <v>0.4</v>
      </c>
    </row>
    <row r="87" spans="1:22" x14ac:dyDescent="0.25">
      <c r="A87" s="1"/>
      <c r="B87" s="1"/>
      <c r="C87" s="1"/>
      <c r="D87" s="1"/>
      <c r="E87" s="11"/>
      <c r="I87" s="1">
        <v>70251</v>
      </c>
      <c r="J87" s="1">
        <v>28</v>
      </c>
      <c r="K87" s="1">
        <v>25</v>
      </c>
      <c r="L87" s="11">
        <f t="shared" si="0"/>
        <v>0.10714285714285714</v>
      </c>
      <c r="N87" s="1"/>
      <c r="O87" s="1"/>
      <c r="P87" s="1"/>
      <c r="Q87" s="11"/>
      <c r="S87" s="1">
        <v>70251</v>
      </c>
      <c r="T87" s="1">
        <v>29</v>
      </c>
      <c r="U87" s="1">
        <v>29</v>
      </c>
      <c r="V87" s="11">
        <f t="shared" si="1"/>
        <v>0</v>
      </c>
    </row>
    <row r="88" spans="1:22" x14ac:dyDescent="0.25">
      <c r="A88" s="1"/>
      <c r="B88" s="1"/>
      <c r="C88" s="1"/>
      <c r="D88" s="1"/>
      <c r="E88" s="11"/>
      <c r="I88" s="1">
        <v>70252</v>
      </c>
      <c r="J88" s="1">
        <v>28</v>
      </c>
      <c r="K88" s="1">
        <v>27</v>
      </c>
      <c r="L88" s="11">
        <f t="shared" si="0"/>
        <v>3.5714285714285712E-2</v>
      </c>
      <c r="N88" s="1"/>
      <c r="O88" s="1"/>
      <c r="P88" s="1"/>
      <c r="Q88" s="11"/>
      <c r="S88" s="1">
        <v>70252</v>
      </c>
      <c r="T88" s="1">
        <v>29</v>
      </c>
      <c r="U88" s="1">
        <v>27</v>
      </c>
      <c r="V88" s="11">
        <f t="shared" si="1"/>
        <v>6.8965517241379309E-2</v>
      </c>
    </row>
    <row r="89" spans="1:22" x14ac:dyDescent="0.25">
      <c r="A89" s="1"/>
      <c r="B89" s="1"/>
      <c r="C89" s="1"/>
      <c r="D89" s="1"/>
      <c r="E89" s="11"/>
      <c r="I89" s="1">
        <v>70261</v>
      </c>
      <c r="J89" s="1">
        <v>98</v>
      </c>
      <c r="K89" s="1">
        <v>54</v>
      </c>
      <c r="L89" s="11">
        <f t="shared" si="0"/>
        <v>0.44897959183673469</v>
      </c>
      <c r="N89" s="1"/>
      <c r="O89" s="1"/>
      <c r="P89" s="1"/>
      <c r="Q89" s="11"/>
      <c r="S89" s="1">
        <v>70261</v>
      </c>
      <c r="T89" s="1">
        <v>66</v>
      </c>
      <c r="U89" s="1">
        <v>48</v>
      </c>
      <c r="V89" s="11">
        <f t="shared" si="1"/>
        <v>0.27272727272727271</v>
      </c>
    </row>
    <row r="90" spans="1:22" x14ac:dyDescent="0.25">
      <c r="A90" s="1"/>
      <c r="B90" s="1"/>
      <c r="C90" s="1"/>
      <c r="D90" s="1"/>
      <c r="E90" s="11"/>
      <c r="I90" s="1">
        <v>70262</v>
      </c>
      <c r="J90" s="1">
        <v>98</v>
      </c>
      <c r="K90" s="1">
        <v>40</v>
      </c>
      <c r="L90" s="11">
        <f t="shared" si="0"/>
        <v>0.59183673469387754</v>
      </c>
      <c r="N90" s="1"/>
      <c r="O90" s="1"/>
      <c r="P90" s="1"/>
      <c r="Q90" s="11"/>
      <c r="S90" s="1">
        <v>70262</v>
      </c>
      <c r="T90" s="1">
        <v>66</v>
      </c>
      <c r="U90" s="1">
        <v>52</v>
      </c>
      <c r="V90" s="11">
        <f t="shared" si="1"/>
        <v>0.21212121212121213</v>
      </c>
    </row>
    <row r="91" spans="1:22" x14ac:dyDescent="0.25">
      <c r="A91" s="1"/>
      <c r="B91" s="1"/>
      <c r="C91" s="1"/>
      <c r="D91" s="1"/>
      <c r="E91" s="11"/>
      <c r="I91" s="1">
        <v>70271</v>
      </c>
      <c r="J91" s="1">
        <v>66</v>
      </c>
      <c r="K91" s="1">
        <v>48</v>
      </c>
      <c r="L91" s="11">
        <f t="shared" si="0"/>
        <v>0.27272727272727271</v>
      </c>
      <c r="N91" s="1"/>
      <c r="O91" s="1"/>
      <c r="P91" s="1"/>
      <c r="Q91" s="11"/>
      <c r="S91" s="1">
        <v>70271</v>
      </c>
      <c r="T91" s="1">
        <v>120</v>
      </c>
      <c r="U91" s="1">
        <v>81</v>
      </c>
      <c r="V91" s="11">
        <f t="shared" si="1"/>
        <v>0.32500000000000001</v>
      </c>
    </row>
    <row r="92" spans="1:22" x14ac:dyDescent="0.25">
      <c r="A92" s="1"/>
      <c r="B92" s="1"/>
      <c r="C92" s="1"/>
      <c r="D92" s="1"/>
      <c r="E92" s="11"/>
      <c r="I92" s="1">
        <v>70272</v>
      </c>
      <c r="J92" s="1">
        <v>66</v>
      </c>
      <c r="K92" s="1">
        <v>52</v>
      </c>
      <c r="L92" s="11">
        <f t="shared" si="0"/>
        <v>0.21212121212121213</v>
      </c>
      <c r="N92" s="1"/>
      <c r="O92" s="1"/>
      <c r="P92" s="1"/>
      <c r="Q92" s="11"/>
      <c r="S92" s="1">
        <v>70272</v>
      </c>
      <c r="T92" s="1">
        <v>120</v>
      </c>
      <c r="U92" s="1">
        <v>93</v>
      </c>
      <c r="V92" s="11">
        <f t="shared" si="1"/>
        <v>0.22500000000000001</v>
      </c>
    </row>
    <row r="93" spans="1:22" x14ac:dyDescent="0.25">
      <c r="A93" s="1"/>
      <c r="B93" s="1"/>
      <c r="C93" s="1"/>
      <c r="D93" s="1"/>
      <c r="E93" s="11"/>
      <c r="I93" s="1">
        <v>70281</v>
      </c>
      <c r="J93" s="1">
        <v>120</v>
      </c>
      <c r="K93" s="1">
        <v>81</v>
      </c>
      <c r="L93" s="11">
        <f t="shared" si="0"/>
        <v>0.32500000000000001</v>
      </c>
      <c r="N93" s="1"/>
      <c r="O93" s="1"/>
      <c r="P93" s="1"/>
      <c r="Q93" s="11"/>
      <c r="S93" s="1">
        <v>70281</v>
      </c>
      <c r="T93" s="1">
        <v>60</v>
      </c>
      <c r="U93" s="1">
        <v>35</v>
      </c>
      <c r="V93" s="11">
        <f t="shared" si="1"/>
        <v>0.41666666666666669</v>
      </c>
    </row>
    <row r="94" spans="1:22" x14ac:dyDescent="0.25">
      <c r="A94" s="1"/>
      <c r="B94" s="1"/>
      <c r="C94" s="1"/>
      <c r="D94" s="1"/>
      <c r="E94" s="11"/>
      <c r="I94" s="1">
        <v>70282</v>
      </c>
      <c r="J94" s="1">
        <v>120</v>
      </c>
      <c r="K94" s="1">
        <v>93</v>
      </c>
      <c r="L94" s="11">
        <f t="shared" si="0"/>
        <v>0.22500000000000001</v>
      </c>
      <c r="N94" s="1"/>
      <c r="O94" s="1"/>
      <c r="P94" s="1"/>
      <c r="Q94" s="11"/>
      <c r="S94" s="1">
        <v>70282</v>
      </c>
      <c r="T94" s="1">
        <v>60</v>
      </c>
      <c r="U94" s="1">
        <v>38</v>
      </c>
      <c r="V94" s="11">
        <f t="shared" si="1"/>
        <v>0.36666666666666664</v>
      </c>
    </row>
    <row r="95" spans="1:22" x14ac:dyDescent="0.25">
      <c r="A95" s="1"/>
      <c r="B95" s="1"/>
      <c r="C95" s="1"/>
      <c r="D95" s="1"/>
      <c r="E95" s="11"/>
      <c r="I95" s="1">
        <v>70291</v>
      </c>
      <c r="J95" s="1">
        <v>60</v>
      </c>
      <c r="K95" s="1">
        <v>40</v>
      </c>
      <c r="L95" s="11">
        <f t="shared" si="0"/>
        <v>0.33333333333333331</v>
      </c>
      <c r="N95" s="1"/>
      <c r="O95" s="1"/>
      <c r="P95" s="1"/>
      <c r="Q95" s="11"/>
      <c r="S95" s="1">
        <v>70291</v>
      </c>
      <c r="T95" s="1">
        <v>39</v>
      </c>
      <c r="U95" s="1">
        <v>36</v>
      </c>
      <c r="V95" s="11">
        <f t="shared" si="1"/>
        <v>7.6923076923076927E-2</v>
      </c>
    </row>
    <row r="96" spans="1:22" x14ac:dyDescent="0.25">
      <c r="A96" s="1"/>
      <c r="B96" s="1"/>
      <c r="C96" s="1"/>
      <c r="D96" s="1"/>
      <c r="E96" s="11"/>
      <c r="I96" s="1">
        <v>70292</v>
      </c>
      <c r="J96" s="1">
        <v>60</v>
      </c>
      <c r="K96" s="1">
        <v>30</v>
      </c>
      <c r="L96" s="11">
        <f t="shared" si="0"/>
        <v>0.5</v>
      </c>
      <c r="N96" s="1"/>
      <c r="O96" s="1"/>
      <c r="P96" s="1"/>
      <c r="Q96" s="11"/>
      <c r="S96" s="1">
        <v>70292</v>
      </c>
      <c r="T96" s="1">
        <v>39</v>
      </c>
      <c r="U96" s="1">
        <v>37</v>
      </c>
      <c r="V96" s="11">
        <f t="shared" si="1"/>
        <v>5.128205128205128E-2</v>
      </c>
    </row>
    <row r="97" spans="1:22" x14ac:dyDescent="0.25">
      <c r="A97" s="1"/>
      <c r="B97" s="1"/>
      <c r="C97" s="1"/>
      <c r="D97" s="1"/>
      <c r="E97" s="11"/>
      <c r="I97" s="1">
        <v>70301</v>
      </c>
      <c r="J97" s="1">
        <v>58</v>
      </c>
      <c r="K97" s="1">
        <v>51</v>
      </c>
      <c r="L97" s="11">
        <f t="shared" si="0"/>
        <v>0.1206896551724138</v>
      </c>
      <c r="N97" s="1"/>
      <c r="O97" s="1"/>
      <c r="P97" s="1"/>
      <c r="Q97" s="11"/>
      <c r="S97" s="1">
        <v>70301</v>
      </c>
      <c r="T97" s="1">
        <v>58</v>
      </c>
      <c r="U97" s="1">
        <v>51</v>
      </c>
      <c r="V97" s="11">
        <f t="shared" si="1"/>
        <v>0.1206896551724138</v>
      </c>
    </row>
    <row r="98" spans="1:22" x14ac:dyDescent="0.25">
      <c r="A98" s="1"/>
      <c r="B98" s="1"/>
      <c r="C98" s="1"/>
      <c r="D98" s="1"/>
      <c r="E98" s="11"/>
      <c r="I98" s="1">
        <v>70302</v>
      </c>
      <c r="J98" s="1">
        <v>58</v>
      </c>
      <c r="K98" s="1">
        <v>42</v>
      </c>
      <c r="L98" s="11">
        <f t="shared" si="0"/>
        <v>0.27586206896551724</v>
      </c>
      <c r="N98" s="1"/>
      <c r="O98" s="1"/>
      <c r="P98" s="1"/>
      <c r="Q98" s="11"/>
      <c r="S98" s="1">
        <v>70302</v>
      </c>
      <c r="T98" s="1">
        <v>58</v>
      </c>
      <c r="U98" s="1">
        <v>42</v>
      </c>
      <c r="V98" s="11">
        <f t="shared" si="1"/>
        <v>0.27586206896551724</v>
      </c>
    </row>
    <row r="100" spans="1:22" x14ac:dyDescent="0.25">
      <c r="I100" s="13"/>
      <c r="J100" s="13"/>
      <c r="K100" s="14" t="s">
        <v>40</v>
      </c>
      <c r="L100" s="15">
        <f>AVERAGE(L39:L98)</f>
        <v>0.33902835377727603</v>
      </c>
      <c r="M100" s="13"/>
      <c r="N100" s="13"/>
      <c r="O100" s="13"/>
      <c r="P100" s="14" t="s">
        <v>40</v>
      </c>
      <c r="Q100" s="15" t="e">
        <f>AVERAGE(Q39:Q98)</f>
        <v>#DIV/0!</v>
      </c>
      <c r="R100" s="13"/>
      <c r="S100" s="13"/>
      <c r="T100" s="13"/>
      <c r="U100" s="14" t="s">
        <v>40</v>
      </c>
      <c r="V100" s="15">
        <f>AVERAGE(V39:V98)</f>
        <v>0.29576946830311535</v>
      </c>
    </row>
    <row r="101" spans="1:22" x14ac:dyDescent="0.25">
      <c r="I101" s="13"/>
      <c r="J101" s="13"/>
      <c r="K101" s="14" t="s">
        <v>41</v>
      </c>
      <c r="L101" s="15">
        <f>MAX(L39:L98)</f>
        <v>0.73394495412844041</v>
      </c>
      <c r="M101" s="13"/>
      <c r="N101" s="13"/>
      <c r="O101" s="13"/>
      <c r="P101" s="14" t="s">
        <v>41</v>
      </c>
      <c r="Q101" s="15">
        <f>MAX(Q39:Q98)</f>
        <v>0</v>
      </c>
      <c r="R101" s="13"/>
      <c r="S101" s="13"/>
      <c r="T101" s="13"/>
      <c r="U101" s="14" t="s">
        <v>41</v>
      </c>
      <c r="V101" s="15">
        <f>MAX(V39:V98)</f>
        <v>0.74683544303797467</v>
      </c>
    </row>
    <row r="102" spans="1:22" x14ac:dyDescent="0.25"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</row>
    <row r="103" spans="1:22" x14ac:dyDescent="0.25">
      <c r="I103" s="14" t="s">
        <v>42</v>
      </c>
      <c r="J103" s="16">
        <f>SUM(J39:J98)</f>
        <v>4800</v>
      </c>
      <c r="K103" s="16">
        <f>SUM(K39:K98)</f>
        <v>3004</v>
      </c>
      <c r="L103" s="13"/>
      <c r="M103" s="13"/>
      <c r="N103" s="14" t="s">
        <v>42</v>
      </c>
      <c r="O103" s="16">
        <f>SUM(O39:O98)</f>
        <v>0</v>
      </c>
      <c r="P103" s="16">
        <f>SUM(P39:P98)</f>
        <v>0</v>
      </c>
      <c r="Q103" s="13"/>
      <c r="R103" s="13"/>
      <c r="S103" s="14" t="s">
        <v>42</v>
      </c>
      <c r="T103" s="16">
        <f>SUM(T39:T98)</f>
        <v>4806</v>
      </c>
      <c r="U103" s="16">
        <f>SUM(U39:U98)</f>
        <v>3270</v>
      </c>
      <c r="V103" s="13"/>
    </row>
  </sheetData>
  <mergeCells count="9">
    <mergeCell ref="S1:U1"/>
    <mergeCell ref="S2:U2"/>
    <mergeCell ref="A1:G1"/>
    <mergeCell ref="N1:P1"/>
    <mergeCell ref="N2:P2"/>
    <mergeCell ref="A2:C2"/>
    <mergeCell ref="E2:G2"/>
    <mergeCell ref="I1:K1"/>
    <mergeCell ref="I2:K2"/>
  </mergeCells>
  <phoneticPr fontId="3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A9EC1-B1AD-4D3A-8AA7-F4FED5B29DC9}">
  <dimension ref="A1:H31"/>
  <sheetViews>
    <sheetView workbookViewId="0">
      <selection activeCell="B21" sqref="B21"/>
    </sheetView>
  </sheetViews>
  <sheetFormatPr defaultRowHeight="15" x14ac:dyDescent="0.25"/>
  <cols>
    <col min="1" max="1" width="14.42578125" customWidth="1"/>
    <col min="2" max="2" width="22.28515625" bestFit="1" customWidth="1"/>
    <col min="4" max="4" width="23.7109375" bestFit="1" customWidth="1"/>
    <col min="5" max="5" width="11" customWidth="1"/>
    <col min="6" max="6" width="11" bestFit="1" customWidth="1"/>
    <col min="7" max="7" width="8.85546875" bestFit="1" customWidth="1"/>
    <col min="8" max="8" width="12.85546875" bestFit="1" customWidth="1"/>
  </cols>
  <sheetData>
    <row r="1" spans="1:8" x14ac:dyDescent="0.25">
      <c r="A1" s="2" t="s">
        <v>13</v>
      </c>
      <c r="B1" s="2" t="s">
        <v>14</v>
      </c>
      <c r="C1" s="2" t="s">
        <v>26</v>
      </c>
      <c r="D1" s="2" t="s">
        <v>28</v>
      </c>
      <c r="E1" s="2" t="s">
        <v>27</v>
      </c>
      <c r="F1" s="2" t="s">
        <v>10</v>
      </c>
      <c r="G1" s="2" t="s">
        <v>11</v>
      </c>
      <c r="H1" s="2" t="s">
        <v>12</v>
      </c>
    </row>
    <row r="2" spans="1:8" x14ac:dyDescent="0.25">
      <c r="A2" s="1">
        <v>14</v>
      </c>
      <c r="B2" s="1" t="s">
        <v>15</v>
      </c>
      <c r="C2" s="1">
        <v>1952</v>
      </c>
      <c r="D2" s="7">
        <v>0.13274900000000001</v>
      </c>
      <c r="E2" s="1"/>
      <c r="F2" s="1">
        <v>7.36</v>
      </c>
      <c r="G2" s="1">
        <v>81.3</v>
      </c>
      <c r="H2" s="1">
        <v>514.99</v>
      </c>
    </row>
    <row r="3" spans="1:8" x14ac:dyDescent="0.25">
      <c r="A3" s="1">
        <v>78</v>
      </c>
      <c r="B3" s="1" t="s">
        <v>16</v>
      </c>
      <c r="C3" s="1">
        <v>1971</v>
      </c>
      <c r="D3" s="7">
        <v>0.154025</v>
      </c>
      <c r="E3" s="1"/>
      <c r="F3" s="1">
        <v>6.61</v>
      </c>
      <c r="G3" s="1">
        <v>24.16</v>
      </c>
      <c r="H3" s="1">
        <v>452.86</v>
      </c>
    </row>
    <row r="4" spans="1:8" x14ac:dyDescent="0.25">
      <c r="A4" s="1">
        <v>963</v>
      </c>
      <c r="B4" s="1" t="s">
        <v>17</v>
      </c>
      <c r="C4" s="1">
        <v>1994</v>
      </c>
      <c r="D4" s="7">
        <v>0.57111400000000001</v>
      </c>
      <c r="E4" s="1"/>
      <c r="F4" s="1">
        <v>6.69</v>
      </c>
      <c r="G4" s="1">
        <v>20.11</v>
      </c>
      <c r="H4" s="1">
        <v>450.28</v>
      </c>
    </row>
    <row r="5" spans="1:8" x14ac:dyDescent="0.25">
      <c r="A5" s="1">
        <v>1166</v>
      </c>
      <c r="B5" s="1" t="s">
        <v>18</v>
      </c>
      <c r="C5" s="1">
        <v>1999</v>
      </c>
      <c r="D5" s="7">
        <v>0.124177</v>
      </c>
      <c r="E5" s="1"/>
      <c r="F5" s="1">
        <v>7.51</v>
      </c>
      <c r="G5" s="1">
        <v>30.73</v>
      </c>
      <c r="H5" s="1">
        <v>476.62</v>
      </c>
    </row>
    <row r="6" spans="1:8" x14ac:dyDescent="0.25">
      <c r="A6" s="1">
        <v>1286</v>
      </c>
      <c r="B6" s="1" t="s">
        <v>19</v>
      </c>
      <c r="C6" s="1">
        <v>1999</v>
      </c>
      <c r="D6" s="7">
        <v>0.12634200000000001</v>
      </c>
      <c r="E6" s="1"/>
      <c r="F6" s="1">
        <v>7.62</v>
      </c>
      <c r="G6" s="1">
        <v>41.65</v>
      </c>
      <c r="H6" s="1">
        <v>469.64</v>
      </c>
    </row>
    <row r="7" spans="1:8" x14ac:dyDescent="0.25">
      <c r="A7" s="1">
        <v>1292</v>
      </c>
      <c r="B7" s="1" t="s">
        <v>19</v>
      </c>
      <c r="C7" s="1">
        <v>1999</v>
      </c>
      <c r="D7" s="7">
        <v>0.189635</v>
      </c>
      <c r="E7" s="1"/>
      <c r="F7" s="1">
        <v>7.62</v>
      </c>
      <c r="G7" s="1">
        <v>60.2</v>
      </c>
      <c r="H7" s="1">
        <v>484.45</v>
      </c>
    </row>
    <row r="8" spans="1:8" x14ac:dyDescent="0.25">
      <c r="A8" s="1">
        <v>1297</v>
      </c>
      <c r="B8" s="1" t="s">
        <v>19</v>
      </c>
      <c r="C8" s="1">
        <v>1999</v>
      </c>
      <c r="D8" s="7">
        <v>0.168541</v>
      </c>
      <c r="E8" s="1"/>
      <c r="F8" s="1">
        <v>7.62</v>
      </c>
      <c r="G8" s="1">
        <v>49.69</v>
      </c>
      <c r="H8" s="1">
        <v>440.5</v>
      </c>
    </row>
    <row r="9" spans="1:8" x14ac:dyDescent="0.25">
      <c r="A9" s="1">
        <v>1436</v>
      </c>
      <c r="B9" s="1" t="s">
        <v>19</v>
      </c>
      <c r="C9" s="1">
        <v>1999</v>
      </c>
      <c r="D9" s="7">
        <v>0.13097</v>
      </c>
      <c r="E9" s="1"/>
      <c r="F9" s="1">
        <v>7.62</v>
      </c>
      <c r="G9" s="1">
        <v>98.51</v>
      </c>
      <c r="H9" s="1">
        <v>433.88</v>
      </c>
    </row>
    <row r="10" spans="1:8" x14ac:dyDescent="0.25">
      <c r="A10" s="1">
        <v>1465</v>
      </c>
      <c r="B10" s="1" t="s">
        <v>19</v>
      </c>
      <c r="C10" s="1">
        <v>1999</v>
      </c>
      <c r="D10" s="7">
        <v>7.3763999999999996E-2</v>
      </c>
      <c r="E10" s="1"/>
      <c r="F10" s="1">
        <v>7.62</v>
      </c>
      <c r="G10" s="1">
        <v>87.63</v>
      </c>
      <c r="H10" s="1">
        <v>463.88</v>
      </c>
    </row>
    <row r="11" spans="1:8" x14ac:dyDescent="0.25">
      <c r="A11" s="1">
        <v>1469</v>
      </c>
      <c r="B11" s="1" t="s">
        <v>19</v>
      </c>
      <c r="C11" s="1">
        <v>1999</v>
      </c>
      <c r="D11" s="7">
        <v>7.2117000000000001E-2</v>
      </c>
      <c r="E11" s="1"/>
      <c r="F11" s="1">
        <v>7.62</v>
      </c>
      <c r="G11" s="1">
        <v>74.41</v>
      </c>
      <c r="H11" s="1">
        <v>471.07</v>
      </c>
    </row>
    <row r="12" spans="1:8" x14ac:dyDescent="0.25">
      <c r="A12" s="1">
        <v>1470</v>
      </c>
      <c r="B12" s="1" t="s">
        <v>19</v>
      </c>
      <c r="C12" s="1">
        <v>1999</v>
      </c>
      <c r="D12" s="7">
        <v>7.5738E-2</v>
      </c>
      <c r="E12" s="1"/>
      <c r="F12" s="1">
        <v>7.62</v>
      </c>
      <c r="G12" s="1">
        <v>92.26</v>
      </c>
      <c r="H12" s="1">
        <v>496.47</v>
      </c>
    </row>
    <row r="13" spans="1:8" x14ac:dyDescent="0.25">
      <c r="A13" s="1">
        <v>1472</v>
      </c>
      <c r="B13" s="1" t="s">
        <v>19</v>
      </c>
      <c r="C13" s="1">
        <v>1999</v>
      </c>
      <c r="D13" s="7">
        <v>0.125749</v>
      </c>
      <c r="E13" s="1"/>
      <c r="F13" s="1">
        <v>7.62</v>
      </c>
      <c r="G13" s="1">
        <v>54.28</v>
      </c>
      <c r="H13" s="1">
        <v>558.76</v>
      </c>
    </row>
    <row r="14" spans="1:8" x14ac:dyDescent="0.25">
      <c r="A14" s="1">
        <v>1478</v>
      </c>
      <c r="B14" s="1" t="s">
        <v>19</v>
      </c>
      <c r="C14" s="1">
        <v>1999</v>
      </c>
      <c r="D14" s="7">
        <v>0.18559500000000001</v>
      </c>
      <c r="E14" s="1"/>
      <c r="F14" s="1">
        <v>7.62</v>
      </c>
      <c r="G14" s="1">
        <v>40.880000000000003</v>
      </c>
      <c r="H14" s="1">
        <v>423.4</v>
      </c>
    </row>
    <row r="15" spans="1:8" x14ac:dyDescent="0.25">
      <c r="A15" s="1">
        <v>1485</v>
      </c>
      <c r="B15" s="1" t="s">
        <v>19</v>
      </c>
      <c r="C15" s="1">
        <v>1999</v>
      </c>
      <c r="D15" s="7">
        <v>0.51015200000000005</v>
      </c>
      <c r="E15" s="1"/>
      <c r="F15" s="1">
        <v>7.62</v>
      </c>
      <c r="G15" s="1">
        <v>26</v>
      </c>
      <c r="H15" s="1">
        <v>704.64</v>
      </c>
    </row>
    <row r="16" spans="1:8" x14ac:dyDescent="0.25">
      <c r="A16" s="1">
        <v>1487</v>
      </c>
      <c r="B16" s="1" t="s">
        <v>19</v>
      </c>
      <c r="C16" s="1">
        <v>1999</v>
      </c>
      <c r="D16" s="7">
        <v>0.40849800000000003</v>
      </c>
      <c r="E16" s="1"/>
      <c r="F16" s="1">
        <v>7.62</v>
      </c>
      <c r="G16" s="1">
        <v>35</v>
      </c>
      <c r="H16" s="1">
        <v>520.37</v>
      </c>
    </row>
    <row r="17" spans="1:8" x14ac:dyDescent="0.25">
      <c r="A17" s="1">
        <v>1524</v>
      </c>
      <c r="B17" s="1" t="s">
        <v>19</v>
      </c>
      <c r="C17" s="1">
        <v>1999</v>
      </c>
      <c r="D17" s="7">
        <v>0.70477000000000001</v>
      </c>
      <c r="E17" s="1"/>
      <c r="F17" s="1">
        <v>7.62</v>
      </c>
      <c r="G17" s="1">
        <v>45.15</v>
      </c>
      <c r="H17" s="1">
        <v>446.63</v>
      </c>
    </row>
    <row r="18" spans="1:8" x14ac:dyDescent="0.25">
      <c r="A18" s="1">
        <v>1555</v>
      </c>
      <c r="B18" s="1" t="s">
        <v>19</v>
      </c>
      <c r="C18" s="1">
        <v>1999</v>
      </c>
      <c r="D18" s="7">
        <v>0.1341</v>
      </c>
      <c r="E18" s="1"/>
      <c r="F18" s="1">
        <v>7.62</v>
      </c>
      <c r="G18" s="1">
        <v>70.61</v>
      </c>
      <c r="H18" s="1">
        <v>537.91999999999996</v>
      </c>
    </row>
    <row r="19" spans="1:8" x14ac:dyDescent="0.25">
      <c r="A19" s="1">
        <v>1557</v>
      </c>
      <c r="B19" s="1" t="s">
        <v>19</v>
      </c>
      <c r="C19" s="1">
        <v>1999</v>
      </c>
      <c r="D19" s="7">
        <v>9.6298999999999996E-2</v>
      </c>
      <c r="E19" s="1"/>
      <c r="F19" s="1">
        <v>7.62</v>
      </c>
      <c r="G19" s="1">
        <v>52.9</v>
      </c>
      <c r="H19" s="1">
        <v>484.6</v>
      </c>
    </row>
    <row r="20" spans="1:8" x14ac:dyDescent="0.25">
      <c r="A20" s="1">
        <v>1575</v>
      </c>
      <c r="B20" s="1" t="s">
        <v>19</v>
      </c>
      <c r="C20" s="1">
        <v>1999</v>
      </c>
      <c r="D20" s="7">
        <v>6.6946000000000006E-2</v>
      </c>
      <c r="E20" s="1"/>
      <c r="F20" s="1">
        <v>7.62</v>
      </c>
      <c r="G20" s="1">
        <v>50.47</v>
      </c>
      <c r="H20" s="1">
        <v>527.54</v>
      </c>
    </row>
    <row r="21" spans="1:8" x14ac:dyDescent="0.25">
      <c r="A21" s="1">
        <v>1581</v>
      </c>
      <c r="B21" s="1" t="s">
        <v>19</v>
      </c>
      <c r="C21" s="1">
        <v>1999</v>
      </c>
      <c r="D21" s="7">
        <v>8.5407999999999998E-2</v>
      </c>
      <c r="E21" s="1"/>
      <c r="F21" s="1">
        <v>7.62</v>
      </c>
      <c r="G21" s="1">
        <v>52.63</v>
      </c>
      <c r="H21" s="1">
        <v>510.62</v>
      </c>
    </row>
    <row r="22" spans="1:8" x14ac:dyDescent="0.25">
      <c r="A22" s="1">
        <v>2466</v>
      </c>
      <c r="B22" s="1" t="s">
        <v>20</v>
      </c>
      <c r="C22" s="1">
        <v>1999</v>
      </c>
      <c r="D22" s="7">
        <v>0.20050699999999999</v>
      </c>
      <c r="E22" s="1"/>
      <c r="F22" s="1">
        <v>6.2</v>
      </c>
      <c r="G22" s="1">
        <v>33.86</v>
      </c>
      <c r="H22" s="1">
        <v>573.04</v>
      </c>
    </row>
    <row r="23" spans="1:8" x14ac:dyDescent="0.25">
      <c r="A23" s="1">
        <v>3274</v>
      </c>
      <c r="B23" s="1" t="s">
        <v>21</v>
      </c>
      <c r="C23" s="1">
        <v>1999</v>
      </c>
      <c r="D23" s="7">
        <v>0.170517</v>
      </c>
      <c r="E23" s="1"/>
      <c r="F23" s="1">
        <v>6.3</v>
      </c>
      <c r="G23" s="1">
        <v>40.36</v>
      </c>
      <c r="H23" s="1">
        <v>573.04</v>
      </c>
    </row>
    <row r="24" spans="1:8" x14ac:dyDescent="0.25">
      <c r="A24" s="1">
        <v>3281</v>
      </c>
      <c r="B24" s="1" t="s">
        <v>21</v>
      </c>
      <c r="C24" s="1">
        <v>1999</v>
      </c>
      <c r="D24" s="7">
        <v>0.13556599999999999</v>
      </c>
      <c r="E24" s="1"/>
      <c r="F24" s="1">
        <v>6.3</v>
      </c>
      <c r="G24" s="1">
        <v>53.17</v>
      </c>
      <c r="H24" s="1">
        <v>442.15</v>
      </c>
    </row>
    <row r="25" spans="1:8" x14ac:dyDescent="0.25">
      <c r="A25" s="1">
        <v>3307</v>
      </c>
      <c r="B25" s="1" t="s">
        <v>21</v>
      </c>
      <c r="C25" s="1">
        <v>1999</v>
      </c>
      <c r="D25" s="7">
        <v>0.26130199999999998</v>
      </c>
      <c r="E25" s="1"/>
      <c r="F25" s="1">
        <v>6.3</v>
      </c>
      <c r="G25" s="1">
        <v>53.5</v>
      </c>
      <c r="H25" s="1">
        <v>665.2</v>
      </c>
    </row>
    <row r="26" spans="1:8" x14ac:dyDescent="0.25">
      <c r="A26" s="1">
        <v>3750</v>
      </c>
      <c r="B26" s="1" t="s">
        <v>22</v>
      </c>
      <c r="C26" s="1">
        <v>1992</v>
      </c>
      <c r="D26" s="7">
        <v>0.19967699999999999</v>
      </c>
      <c r="E26" s="1"/>
      <c r="F26" s="1">
        <v>7.01</v>
      </c>
      <c r="G26" s="1">
        <v>23.46</v>
      </c>
      <c r="H26" s="1">
        <v>515.65</v>
      </c>
    </row>
    <row r="27" spans="1:8" x14ac:dyDescent="0.25">
      <c r="A27" s="1">
        <v>3751</v>
      </c>
      <c r="B27" s="1" t="s">
        <v>22</v>
      </c>
      <c r="C27" s="1">
        <v>1992</v>
      </c>
      <c r="D27" s="7">
        <v>9.5811999999999994E-2</v>
      </c>
      <c r="E27" s="1"/>
      <c r="F27" s="1">
        <v>7.01</v>
      </c>
      <c r="G27" s="1">
        <v>33.229999999999997</v>
      </c>
      <c r="H27" s="1">
        <v>459.04</v>
      </c>
    </row>
    <row r="28" spans="1:8" x14ac:dyDescent="0.25">
      <c r="A28" s="1">
        <v>4350</v>
      </c>
      <c r="B28" s="1" t="s">
        <v>23</v>
      </c>
      <c r="C28" s="1">
        <v>1997</v>
      </c>
      <c r="D28" s="7">
        <v>0.121834</v>
      </c>
      <c r="E28" s="1"/>
      <c r="F28" s="8">
        <v>6</v>
      </c>
      <c r="G28" s="1">
        <v>35.79</v>
      </c>
      <c r="H28" s="1">
        <v>492</v>
      </c>
    </row>
    <row r="29" spans="1:8" x14ac:dyDescent="0.25">
      <c r="A29" s="1">
        <v>4884</v>
      </c>
      <c r="B29" s="1" t="s">
        <v>24</v>
      </c>
      <c r="C29" s="1">
        <v>2007</v>
      </c>
      <c r="D29" s="7">
        <v>0.767988</v>
      </c>
      <c r="E29" s="1"/>
      <c r="F29" s="1">
        <v>6.8</v>
      </c>
      <c r="G29" s="1">
        <v>37.840000000000003</v>
      </c>
      <c r="H29" s="1">
        <v>551.36</v>
      </c>
    </row>
    <row r="30" spans="1:8" x14ac:dyDescent="0.25">
      <c r="A30" s="1">
        <v>5663</v>
      </c>
      <c r="B30" s="1" t="s">
        <v>25</v>
      </c>
      <c r="C30" s="1">
        <v>2008</v>
      </c>
      <c r="D30" s="7">
        <v>0.705318</v>
      </c>
      <c r="E30" s="1"/>
      <c r="F30" s="1">
        <v>6.9</v>
      </c>
      <c r="G30" s="1">
        <v>20.170000000000002</v>
      </c>
      <c r="H30" s="1">
        <v>479.37</v>
      </c>
    </row>
    <row r="31" spans="1:8" x14ac:dyDescent="0.25">
      <c r="A31" s="1">
        <v>5778</v>
      </c>
      <c r="B31" s="1" t="s">
        <v>25</v>
      </c>
      <c r="C31" s="1">
        <v>2008</v>
      </c>
      <c r="D31" s="7">
        <v>0.296213</v>
      </c>
      <c r="E31" s="1"/>
      <c r="F31" s="1">
        <v>6.9</v>
      </c>
      <c r="G31" s="1">
        <v>40.98</v>
      </c>
      <c r="H31" s="1">
        <v>436.34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GMSel_ΔM (±)</vt:lpstr>
      <vt:lpstr>EQ-Infor_Guw-BCH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sks</dc:creator>
  <cp:lastModifiedBy>Shivakumar K S</cp:lastModifiedBy>
  <dcterms:created xsi:type="dcterms:W3CDTF">2026-08-26T21:48:54Z</dcterms:created>
  <dcterms:modified xsi:type="dcterms:W3CDTF">2026-09-20T07:52:31Z</dcterms:modified>
</cp:coreProperties>
</file>