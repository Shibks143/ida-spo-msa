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rak\OneDrive - UBC\CommonCodes\Hazard_NRCan\"/>
    </mc:Choice>
  </mc:AlternateContent>
  <bookViews>
    <workbookView xWindow="0" yWindow="0" windowWidth="25200" windowHeight="11730"/>
  </bookViews>
  <sheets>
    <sheet name="Vancouv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<sst xmlns="http://schemas.openxmlformats.org/spreadsheetml/2006/main" count="61" uniqueCount="40">
  <si>
    <t>X450</t>
  </si>
  <si>
    <t>Site Designation / Désignation d'emplacement</t>
  </si>
  <si>
    <t>2%/50 Sa(0.2)</t>
  </si>
  <si>
    <t>2%/50 Sa(0.5)</t>
  </si>
  <si>
    <t>2%/50 Sa(1.0)</t>
  </si>
  <si>
    <t>2%/50 Sa(2.0)</t>
  </si>
  <si>
    <t>2%/50 Sa(5.0)</t>
  </si>
  <si>
    <t>2%/50 Sa(10.0)</t>
  </si>
  <si>
    <t>2%/50  PGA</t>
  </si>
  <si>
    <t>2%/50  PGV</t>
  </si>
  <si>
    <t>5%/50 Sa(0.2)</t>
  </si>
  <si>
    <t>5%/50 Sa(0.5)</t>
  </si>
  <si>
    <t>5%/50 Sa(1.0)</t>
  </si>
  <si>
    <t>5%/50 Sa(2.0)</t>
  </si>
  <si>
    <t>5%/50 Sa(5.0)</t>
  </si>
  <si>
    <t>5%/50 Sa(10.0)</t>
  </si>
  <si>
    <t>5%/50  PGA</t>
  </si>
  <si>
    <t>5%/50  PGV</t>
  </si>
  <si>
    <t>10%/50 Sa(0.2)</t>
  </si>
  <si>
    <t>10%/50 Sa(0.5)</t>
  </si>
  <si>
    <t>10%/50 Sa(1.0)</t>
  </si>
  <si>
    <t>10%/50 Sa(2.0)</t>
  </si>
  <si>
    <t>10%/50 Sa(5.0)</t>
  </si>
  <si>
    <t>10%/50 Sa(10.0)</t>
  </si>
  <si>
    <t>10%/50  PGA</t>
  </si>
  <si>
    <t>10%/50  PGV</t>
  </si>
  <si>
    <t>'SA(0.2)'</t>
  </si>
  <si>
    <t>'SA(0.5)'</t>
  </si>
  <si>
    <t>'SA(1.0)'</t>
  </si>
  <si>
    <t>'SA(2.0)'</t>
  </si>
  <si>
    <t>'SA(5.0)'</t>
  </si>
  <si>
    <t>'PGA'</t>
  </si>
  <si>
    <t>Internal analysis</t>
  </si>
  <si>
    <t>NBCC 2020 official</t>
  </si>
  <si>
    <t>poe</t>
  </si>
  <si>
    <t>Error</t>
  </si>
  <si>
    <t>Vancouver City Center</t>
  </si>
  <si>
    <t>Data as provided by NBCC 2020 hazard csv (Also provided on https://earthquakescanada.nrcan.gc.ca/hazard-alea/interpolat/nbc2020-cnb2020-en.php)</t>
  </si>
  <si>
    <t>NBCC 2020 official (using API)</t>
  </si>
  <si>
    <t xml:space="preserve">Victoria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</si>
</sst>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0.000"/>
    <numFmt numFmtId="169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i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0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169" fontId="0" fillId="0" borderId="2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0" borderId="0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8" xfId="0" applyNumberForma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0" fontId="3" fillId="0" borderId="0" xfId="0" applyFont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8"/>
  <sheetViews>
    <sheetView tabSelected="1" workbookViewId="0">
      <selection activeCell="K27" sqref="K27"/>
    </sheetView>
  </sheetViews>
  <sheetFormatPr defaultRowHeight="15" x14ac:dyDescent="0.25"/>
  <sheetData>
    <row r="2" spans="1:27" ht="18.75" x14ac:dyDescent="0.3">
      <c r="A2" s="1" t="s">
        <v>36</v>
      </c>
    </row>
    <row r="3" spans="1:27" ht="18.75" x14ac:dyDescent="0.3">
      <c r="A3" s="1"/>
    </row>
    <row r="4" spans="1:27" ht="15.75" x14ac:dyDescent="0.25">
      <c r="A4" s="35" t="s">
        <v>37</v>
      </c>
    </row>
    <row r="5" spans="1:27" x14ac:dyDescent="0.25">
      <c r="A5" s="34" t="s">
        <v>1</v>
      </c>
      <c r="B5" s="34" t="s">
        <v>2</v>
      </c>
      <c r="C5" s="34" t="s">
        <v>3</v>
      </c>
      <c r="D5" s="34" t="s">
        <v>4</v>
      </c>
      <c r="E5" s="34" t="s">
        <v>5</v>
      </c>
      <c r="F5" s="34" t="s">
        <v>6</v>
      </c>
      <c r="G5" s="34" t="s">
        <v>7</v>
      </c>
      <c r="H5" s="34" t="s">
        <v>8</v>
      </c>
      <c r="I5" s="34" t="s">
        <v>9</v>
      </c>
      <c r="J5" s="34"/>
      <c r="K5" s="34" t="s">
        <v>10</v>
      </c>
      <c r="L5" s="34" t="s">
        <v>11</v>
      </c>
      <c r="M5" s="34" t="s">
        <v>12</v>
      </c>
      <c r="N5" s="34" t="s">
        <v>13</v>
      </c>
      <c r="O5" s="34" t="s">
        <v>14</v>
      </c>
      <c r="P5" s="34" t="s">
        <v>15</v>
      </c>
      <c r="Q5" s="34" t="s">
        <v>16</v>
      </c>
      <c r="R5" s="34" t="s">
        <v>17</v>
      </c>
      <c r="S5" s="34"/>
      <c r="T5" s="34" t="s">
        <v>18</v>
      </c>
      <c r="U5" s="34" t="s">
        <v>19</v>
      </c>
      <c r="V5" s="34" t="s">
        <v>20</v>
      </c>
      <c r="W5" s="34" t="s">
        <v>21</v>
      </c>
      <c r="X5" s="34" t="s">
        <v>22</v>
      </c>
      <c r="Y5" s="34" t="s">
        <v>23</v>
      </c>
      <c r="Z5" s="34" t="s">
        <v>24</v>
      </c>
      <c r="AA5" s="34" t="s">
        <v>25</v>
      </c>
    </row>
    <row r="6" spans="1:27" x14ac:dyDescent="0.25">
      <c r="A6" s="34" t="s">
        <v>0</v>
      </c>
      <c r="B6" s="34">
        <v>1.07</v>
      </c>
      <c r="C6" s="34">
        <v>0.76400000000000001</v>
      </c>
      <c r="D6" s="34">
        <v>0.438</v>
      </c>
      <c r="E6" s="34">
        <v>0.27100000000000002</v>
      </c>
      <c r="F6" s="34">
        <v>7.4399999999999994E-2</v>
      </c>
      <c r="G6" s="34">
        <v>3.2500000000000001E-2</v>
      </c>
      <c r="H6" s="34">
        <v>0.45500000000000002</v>
      </c>
      <c r="I6" s="34">
        <v>0.46500000000000002</v>
      </c>
      <c r="J6" s="34"/>
      <c r="K6" s="34">
        <v>0.74199999999999999</v>
      </c>
      <c r="L6" s="34">
        <v>0.52500000000000002</v>
      </c>
      <c r="M6" s="34">
        <v>0.29199999999999998</v>
      </c>
      <c r="N6" s="34">
        <v>0.16600000000000001</v>
      </c>
      <c r="O6" s="34">
        <v>4.1399999999999999E-2</v>
      </c>
      <c r="P6" s="34">
        <v>1.6199999999999999E-2</v>
      </c>
      <c r="Q6" s="34">
        <v>0.31900000000000001</v>
      </c>
      <c r="R6" s="34">
        <v>0.30499999999999999</v>
      </c>
      <c r="S6" s="34"/>
      <c r="T6" s="34">
        <v>0.53900000000000003</v>
      </c>
      <c r="U6" s="34">
        <v>0.374</v>
      </c>
      <c r="V6" s="34">
        <v>0.20300000000000001</v>
      </c>
      <c r="W6" s="34">
        <v>0.106</v>
      </c>
      <c r="X6" s="34">
        <v>2.53E-2</v>
      </c>
      <c r="Y6" s="34">
        <v>9.7199999999999995E-3</v>
      </c>
      <c r="Z6" s="34">
        <v>0.23200000000000001</v>
      </c>
      <c r="AA6" s="34">
        <v>0.21099999999999999</v>
      </c>
    </row>
    <row r="8" spans="1:27" ht="18.75" x14ac:dyDescent="0.3">
      <c r="B8" s="33" t="s">
        <v>32</v>
      </c>
      <c r="I8" s="33" t="s">
        <v>33</v>
      </c>
    </row>
    <row r="9" spans="1:27" x14ac:dyDescent="0.25">
      <c r="A9" s="20" t="s">
        <v>34</v>
      </c>
      <c r="B9" s="21" t="s">
        <v>26</v>
      </c>
      <c r="C9" s="21" t="s">
        <v>27</v>
      </c>
      <c r="D9" s="21" t="s">
        <v>28</v>
      </c>
      <c r="E9" s="21" t="s">
        <v>29</v>
      </c>
      <c r="F9" s="21" t="s">
        <v>30</v>
      </c>
      <c r="G9" s="22" t="s">
        <v>31</v>
      </c>
      <c r="I9" s="23" t="s">
        <v>26</v>
      </c>
      <c r="J9" s="21" t="s">
        <v>27</v>
      </c>
      <c r="K9" s="21" t="s">
        <v>28</v>
      </c>
      <c r="L9" s="21" t="s">
        <v>29</v>
      </c>
      <c r="M9" s="21" t="s">
        <v>30</v>
      </c>
      <c r="N9" s="22" t="s">
        <v>31</v>
      </c>
    </row>
    <row r="10" spans="1:27" x14ac:dyDescent="0.25">
      <c r="A10" s="12">
        <v>0.02</v>
      </c>
      <c r="B10" s="14">
        <v>1.0877589139874899</v>
      </c>
      <c r="C10" s="15">
        <v>0.776359537026591</v>
      </c>
      <c r="D10" s="15">
        <v>0.43955898254828901</v>
      </c>
      <c r="E10" s="15">
        <v>0.264723810278156</v>
      </c>
      <c r="F10" s="15">
        <v>7.2537037808748997E-2</v>
      </c>
      <c r="G10" s="16">
        <v>0.46144681712942698</v>
      </c>
      <c r="I10" s="2">
        <v>1.07</v>
      </c>
      <c r="J10" s="3">
        <v>0.76400000000000001</v>
      </c>
      <c r="K10" s="3">
        <v>0.438</v>
      </c>
      <c r="L10" s="3">
        <v>0.27100000000000002</v>
      </c>
      <c r="M10" s="3">
        <v>7.4399999999999994E-2</v>
      </c>
      <c r="N10" s="4">
        <v>0.45500000000000002</v>
      </c>
    </row>
    <row r="11" spans="1:27" x14ac:dyDescent="0.25">
      <c r="A11" s="12">
        <v>0.05</v>
      </c>
      <c r="B11" s="14">
        <v>0.746408917495195</v>
      </c>
      <c r="C11" s="15">
        <v>0.52724765097722104</v>
      </c>
      <c r="D11" s="15">
        <v>0.29376973827795</v>
      </c>
      <c r="E11" s="15">
        <v>0.16581389935863</v>
      </c>
      <c r="F11" s="15">
        <v>4.1295272942038101E-2</v>
      </c>
      <c r="G11" s="16">
        <v>0.31981428894146302</v>
      </c>
      <c r="I11" s="5">
        <v>0.74199999999999999</v>
      </c>
      <c r="J11" s="6">
        <v>0.52500000000000002</v>
      </c>
      <c r="K11" s="6">
        <v>0.29199999999999998</v>
      </c>
      <c r="L11" s="6">
        <v>0.16600000000000001</v>
      </c>
      <c r="M11" s="6">
        <v>4.1399999999999999E-2</v>
      </c>
      <c r="N11" s="7">
        <v>0.31900000000000001</v>
      </c>
    </row>
    <row r="12" spans="1:27" x14ac:dyDescent="0.25">
      <c r="A12" s="13">
        <v>0.1</v>
      </c>
      <c r="B12" s="17">
        <v>0.53612419783603205</v>
      </c>
      <c r="C12" s="18">
        <v>0.374466721056191</v>
      </c>
      <c r="D12" s="18">
        <v>0.20365027912092901</v>
      </c>
      <c r="E12" s="18">
        <v>0.107275387126833</v>
      </c>
      <c r="F12" s="18">
        <v>2.5837621019567599E-2</v>
      </c>
      <c r="G12" s="19">
        <v>0.23082138778879099</v>
      </c>
      <c r="I12" s="8">
        <v>0.53900000000000003</v>
      </c>
      <c r="J12" s="9">
        <v>0.374</v>
      </c>
      <c r="K12" s="9">
        <v>0.20300000000000001</v>
      </c>
      <c r="L12" s="9">
        <v>0.106</v>
      </c>
      <c r="M12" s="9">
        <v>2.53E-2</v>
      </c>
      <c r="N12" s="10">
        <v>0.23200000000000001</v>
      </c>
    </row>
    <row r="14" spans="1:27" x14ac:dyDescent="0.25">
      <c r="A14" s="11" t="s">
        <v>35</v>
      </c>
      <c r="B14" s="24">
        <f>(B10-I10)/I10</f>
        <v>1.6597115876158742E-2</v>
      </c>
      <c r="C14" s="25">
        <f>(C10-J10)/J10</f>
        <v>1.6177404485066733E-2</v>
      </c>
      <c r="D14" s="25">
        <f>(D10-K10)/K10</f>
        <v>3.5593208865045932E-3</v>
      </c>
      <c r="E14" s="25">
        <f>(E10-L10)/L10</f>
        <v>-2.3159371667321092E-2</v>
      </c>
      <c r="F14" s="25">
        <f>(F10-M10)/M10</f>
        <v>-2.5039814398534907E-2</v>
      </c>
      <c r="G14" s="26">
        <f>(G10-N10)/N10</f>
        <v>1.4168828855883435E-2</v>
      </c>
    </row>
    <row r="15" spans="1:27" x14ac:dyDescent="0.25">
      <c r="B15" s="27">
        <f>(B11-I11)/I11</f>
        <v>5.9419373250606585E-3</v>
      </c>
      <c r="C15" s="28">
        <f>(C11-J11)/J11</f>
        <v>4.2812399566114594E-3</v>
      </c>
      <c r="D15" s="28">
        <f>(D11-K11)/K11</f>
        <v>6.0607475272260857E-3</v>
      </c>
      <c r="E15" s="28">
        <f>(E11-L11)/L11</f>
        <v>-1.1210882010241399E-3</v>
      </c>
      <c r="F15" s="28">
        <f>(F11-M11)/M11</f>
        <v>-2.5296390812052675E-3</v>
      </c>
      <c r="G15" s="29">
        <f>(G11-N11)/N11</f>
        <v>2.5526299105423666E-3</v>
      </c>
    </row>
    <row r="16" spans="1:27" x14ac:dyDescent="0.25">
      <c r="B16" s="30">
        <f>(B12-I12)/I12</f>
        <v>-5.33544000736176E-3</v>
      </c>
      <c r="C16" s="31">
        <f>(C12-J12)/J12</f>
        <v>1.2479172625427797E-3</v>
      </c>
      <c r="D16" s="31">
        <f>(D12-K12)/K12</f>
        <v>3.2033454232955299E-3</v>
      </c>
      <c r="E16" s="31">
        <f>(E12-L12)/L12</f>
        <v>1.2031954026726466E-2</v>
      </c>
      <c r="F16" s="31">
        <f>(F12-M12)/M12</f>
        <v>2.1249842670656108E-2</v>
      </c>
      <c r="G16" s="32">
        <f>(G12-N12)/N12</f>
        <v>-5.0802250483147323E-3</v>
      </c>
      <c r="I16">
        <v>1.07</v>
      </c>
      <c r="J16">
        <v>0.76400000000000001</v>
      </c>
      <c r="K16">
        <v>0.438</v>
      </c>
      <c r="L16">
        <v>0.27100000000000002</v>
      </c>
      <c r="M16">
        <v>7.4399999999999994E-2</v>
      </c>
      <c r="N16">
        <v>0.45500000000000002</v>
      </c>
    </row>
    <row r="17" spans="1:14" x14ac:dyDescent="0.25">
      <c r="I17">
        <v>0.74199999999999999</v>
      </c>
      <c r="J17">
        <v>0.52500000000000002</v>
      </c>
      <c r="K17">
        <v>0.29199999999999998</v>
      </c>
      <c r="L17">
        <v>0.16600000000000001</v>
      </c>
      <c r="M17">
        <v>4.1399999999999999E-2</v>
      </c>
      <c r="N17">
        <v>0.31900000000000001</v>
      </c>
    </row>
    <row r="18" spans="1:14" x14ac:dyDescent="0.25">
      <c r="I18">
        <v>0.53900000000000003</v>
      </c>
      <c r="J18">
        <v>0.374</v>
      </c>
      <c r="K18">
        <v>0.20300000000000001</v>
      </c>
      <c r="L18">
        <v>0.106</v>
      </c>
      <c r="M18">
        <v>2.53E-2</v>
      </c>
      <c r="N18">
        <v>0.23200000000000001</v>
      </c>
    </row>
    <row r="19" spans="1:14" ht="18.75" x14ac:dyDescent="0.3">
      <c r="A19" s="1" t="s">
        <v>39</v>
      </c>
    </row>
    <row r="20" spans="1:14" ht="18.75" x14ac:dyDescent="0.3">
      <c r="B20" s="33" t="s">
        <v>32</v>
      </c>
      <c r="I20" s="33" t="s">
        <v>38</v>
      </c>
    </row>
    <row r="21" spans="1:14" x14ac:dyDescent="0.25">
      <c r="A21" s="20" t="s">
        <v>34</v>
      </c>
      <c r="B21" s="21" t="s">
        <v>26</v>
      </c>
      <c r="C21" s="21" t="s">
        <v>27</v>
      </c>
      <c r="D21" s="21" t="s">
        <v>28</v>
      </c>
      <c r="E21" s="21" t="s">
        <v>29</v>
      </c>
      <c r="F21" s="21" t="s">
        <v>30</v>
      </c>
      <c r="G21" s="22" t="s">
        <v>31</v>
      </c>
      <c r="I21" s="23" t="s">
        <v>26</v>
      </c>
      <c r="J21" s="21" t="s">
        <v>27</v>
      </c>
      <c r="K21" s="21" t="s">
        <v>28</v>
      </c>
      <c r="L21" s="21" t="s">
        <v>29</v>
      </c>
      <c r="M21" s="21" t="s">
        <v>30</v>
      </c>
      <c r="N21" s="22" t="s">
        <v>31</v>
      </c>
    </row>
    <row r="22" spans="1:14" x14ac:dyDescent="0.25">
      <c r="A22" s="12">
        <v>0.02</v>
      </c>
      <c r="B22" s="14">
        <v>1.96570011143131</v>
      </c>
      <c r="C22" s="15">
        <v>1.50628378830976</v>
      </c>
      <c r="D22" s="15">
        <v>0.84554893091751904</v>
      </c>
      <c r="E22" s="15">
        <v>0.48269888935268002</v>
      </c>
      <c r="F22" s="15">
        <v>0.119761812221302</v>
      </c>
      <c r="G22" s="16">
        <v>0.81810990849610299</v>
      </c>
      <c r="I22">
        <v>1.9</v>
      </c>
      <c r="J22">
        <v>1.48</v>
      </c>
      <c r="K22">
        <v>0.84499999999999997</v>
      </c>
      <c r="L22">
        <v>0.499</v>
      </c>
      <c r="M22">
        <v>0.124</v>
      </c>
      <c r="N22">
        <v>0.79100000000000004</v>
      </c>
    </row>
    <row r="23" spans="1:14" x14ac:dyDescent="0.25">
      <c r="A23" s="12">
        <v>0.05</v>
      </c>
      <c r="B23" s="14">
        <v>1.39333438400461</v>
      </c>
      <c r="C23" s="15">
        <v>1.0318500380384401</v>
      </c>
      <c r="D23" s="15">
        <v>0.56492782012557496</v>
      </c>
      <c r="E23" s="15">
        <v>0.30292642609125597</v>
      </c>
      <c r="F23" s="15">
        <v>6.9306838300320806E-2</v>
      </c>
      <c r="G23" s="16">
        <v>0.58882494828610699</v>
      </c>
      <c r="I23">
        <v>1.34</v>
      </c>
      <c r="J23">
        <v>1.01</v>
      </c>
      <c r="K23">
        <v>0.55600000000000005</v>
      </c>
      <c r="L23">
        <v>0.30399999999999999</v>
      </c>
      <c r="M23">
        <v>6.9699999999999998E-2</v>
      </c>
      <c r="N23">
        <v>0.56699999999999995</v>
      </c>
    </row>
    <row r="24" spans="1:14" x14ac:dyDescent="0.25">
      <c r="A24" s="13">
        <v>0.1</v>
      </c>
      <c r="B24" s="17">
        <v>1.02591076762684</v>
      </c>
      <c r="C24" s="18">
        <v>0.73206907362598705</v>
      </c>
      <c r="D24" s="18">
        <v>0.38867632096981303</v>
      </c>
      <c r="E24" s="18">
        <v>0.19482101574858801</v>
      </c>
      <c r="F24" s="18">
        <v>4.2682001544944899E-2</v>
      </c>
      <c r="G24" s="19">
        <v>0.43822885582668403</v>
      </c>
      <c r="I24">
        <v>0.98799999999999999</v>
      </c>
      <c r="J24">
        <v>0.70599999999999996</v>
      </c>
      <c r="K24">
        <v>0.376</v>
      </c>
      <c r="L24">
        <v>0.188</v>
      </c>
      <c r="M24">
        <v>4.1200000000000001E-2</v>
      </c>
      <c r="N24">
        <v>0.42299999999999999</v>
      </c>
    </row>
    <row r="26" spans="1:14" x14ac:dyDescent="0.25">
      <c r="A26" s="11" t="s">
        <v>35</v>
      </c>
      <c r="B26" s="24">
        <f>(B22-I22)/I22</f>
        <v>3.4579006016478973E-2</v>
      </c>
      <c r="C26" s="25">
        <f>(C22-J22)/J22</f>
        <v>1.7759316425513493E-2</v>
      </c>
      <c r="D26" s="25">
        <f>(D22-K22)/K22</f>
        <v>6.4962238759652517E-4</v>
      </c>
      <c r="E26" s="25">
        <f>(E22-L22)/L22</f>
        <v>-3.2667556407454876E-2</v>
      </c>
      <c r="F26" s="25">
        <f>(F22-M22)/M22</f>
        <v>-3.4178933699177412E-2</v>
      </c>
      <c r="G26" s="26">
        <f>(G22-N22)/N22</f>
        <v>3.4272956379396903E-2</v>
      </c>
    </row>
    <row r="27" spans="1:14" x14ac:dyDescent="0.25">
      <c r="B27" s="27">
        <f>(B23-I23)/I23</f>
        <v>3.9801779107917816E-2</v>
      </c>
      <c r="C27" s="28">
        <f>(C23-J23)/J23</f>
        <v>2.1633701028158515E-2</v>
      </c>
      <c r="D27" s="28">
        <f>(D23-K23)/K23</f>
        <v>1.6057230441681499E-2</v>
      </c>
      <c r="E27" s="28">
        <f>(E23-L23)/L23</f>
        <v>-3.5314931208684829E-3</v>
      </c>
      <c r="F27" s="28">
        <f>(F23-M23)/M23</f>
        <v>-5.6407704401605823E-3</v>
      </c>
      <c r="G27" s="29">
        <f>(G23-N23)/N23</f>
        <v>3.8491972285903071E-2</v>
      </c>
    </row>
    <row r="28" spans="1:14" x14ac:dyDescent="0.25">
      <c r="B28" s="30">
        <f>(B24-I24)/I24</f>
        <v>3.8371222294372453E-2</v>
      </c>
      <c r="C28" s="31">
        <f>(C24-J24)/J24</f>
        <v>3.6925033464570954E-2</v>
      </c>
      <c r="D28" s="31">
        <f>(D24-K24)/K24</f>
        <v>3.3713619600566562E-2</v>
      </c>
      <c r="E28" s="31">
        <f>(E24-L24)/L24</f>
        <v>3.6281998662702188E-2</v>
      </c>
      <c r="F28" s="31">
        <f>(F24-M24)/M24</f>
        <v>3.5970911285070351E-2</v>
      </c>
      <c r="G28" s="32">
        <f>(G24-N24)/N24</f>
        <v>3.6002023230931539E-2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Vancouver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Singh</dc:creator>
  <cp:lastModifiedBy>Prakash Singh</cp:lastModifiedBy>
  <dcterms:created xsi:type="dcterms:W3CDTF">2022-04-01T18:55:43Z</dcterms:created>
  <dcterms:modified xsi:type="dcterms:W3CDTF">2022-04-01T21:06:12Z</dcterms:modified>
</cp:coreProperties>
</file>