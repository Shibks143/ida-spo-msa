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Input from Raghukanth\"/>
    </mc:Choice>
  </mc:AlternateContent>
  <bookViews>
    <workbookView xWindow="-120" yWindow="-120" windowWidth="29040" windowHeight="15720" tabRatio="844" activeTab="4"/>
  </bookViews>
  <sheets>
    <sheet name="HazCur-STGR-2026-08-12" sheetId="1" r:id="rId1"/>
    <sheet name="UHS-STGR-2026-08-12" sheetId="2" r:id="rId2"/>
    <sheet name="comparison-with-OldPSHA" sheetId="4" r:id="rId3"/>
    <sheet name="Guwa-HazCur-STGR-2026-08-18" sheetId="6" r:id="rId4"/>
    <sheet name="Delhi-HazCur-STGR-2026-08-18" sheetId="7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7" l="1"/>
  <c r="C58" i="7" s="1"/>
  <c r="B57" i="7"/>
  <c r="B58" i="7" s="1"/>
  <c r="G62" i="7"/>
  <c r="G46" i="7" s="1"/>
  <c r="F62" i="7"/>
  <c r="F46" i="7" s="1"/>
  <c r="J69" i="7"/>
  <c r="I69" i="7"/>
  <c r="H69" i="7"/>
  <c r="G69" i="7"/>
  <c r="F69" i="7"/>
  <c r="E69" i="7"/>
  <c r="D69" i="7"/>
  <c r="C69" i="7"/>
  <c r="B69" i="7"/>
  <c r="G52" i="7" l="1"/>
  <c r="G45" i="7"/>
  <c r="G47" i="7"/>
  <c r="F45" i="7"/>
  <c r="F52" i="7"/>
  <c r="F51" i="7"/>
  <c r="F50" i="7"/>
  <c r="F49" i="7"/>
  <c r="F48" i="7"/>
  <c r="F47" i="7"/>
  <c r="G51" i="7"/>
  <c r="G50" i="7"/>
  <c r="G49" i="7"/>
  <c r="G48" i="7"/>
  <c r="G46" i="6"/>
  <c r="G47" i="6"/>
  <c r="G48" i="6"/>
  <c r="G49" i="6"/>
  <c r="G50" i="6"/>
  <c r="G51" i="6"/>
  <c r="G52" i="6"/>
  <c r="G45" i="6"/>
  <c r="F46" i="6"/>
  <c r="F47" i="6"/>
  <c r="F48" i="6"/>
  <c r="F49" i="6"/>
  <c r="F50" i="6"/>
  <c r="F51" i="6"/>
  <c r="F52" i="6"/>
  <c r="F45" i="6"/>
  <c r="F60" i="6"/>
  <c r="G60" i="6"/>
  <c r="E60" i="6"/>
  <c r="E46" i="6" s="1"/>
  <c r="D46" i="6"/>
  <c r="D47" i="6"/>
  <c r="D48" i="6"/>
  <c r="D49" i="6"/>
  <c r="D50" i="6"/>
  <c r="D51" i="6"/>
  <c r="D52" i="6"/>
  <c r="D45" i="6"/>
  <c r="E50" i="6" l="1"/>
  <c r="E49" i="6"/>
  <c r="E48" i="6"/>
  <c r="E47" i="6"/>
  <c r="E45" i="6"/>
  <c r="E52" i="6"/>
  <c r="E51" i="6"/>
  <c r="C55" i="6" l="1"/>
  <c r="C56" i="6" s="1"/>
  <c r="B55" i="6"/>
  <c r="B56" i="6" s="1"/>
  <c r="J84" i="6"/>
  <c r="I84" i="6"/>
  <c r="H84" i="6"/>
  <c r="G84" i="6"/>
  <c r="F84" i="6"/>
  <c r="E84" i="6"/>
  <c r="D84" i="6"/>
  <c r="C84" i="6"/>
  <c r="B84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22" i="6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22" i="7"/>
  <c r="E46" i="7"/>
  <c r="E47" i="7"/>
  <c r="E48" i="7"/>
  <c r="E49" i="7"/>
  <c r="E50" i="7"/>
  <c r="E51" i="7"/>
  <c r="E52" i="7"/>
  <c r="E45" i="7"/>
  <c r="D46" i="7"/>
  <c r="D47" i="7"/>
  <c r="D48" i="7"/>
  <c r="D49" i="7"/>
  <c r="D50" i="7"/>
  <c r="D51" i="7"/>
  <c r="D52" i="7"/>
  <c r="D45" i="7"/>
  <c r="E31" i="4" l="1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E58" i="1" l="1"/>
  <c r="E60" i="1"/>
  <c r="C8" i="4"/>
  <c r="G8" i="4"/>
  <c r="H8" i="4"/>
  <c r="J8" i="4"/>
  <c r="K8" i="4"/>
  <c r="I8" i="4"/>
  <c r="I11" i="4" s="1"/>
  <c r="D8" i="4"/>
  <c r="E8" i="4"/>
  <c r="F8" i="4"/>
  <c r="F11" i="4" s="1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<sst xmlns="http://schemas.openxmlformats.org/spreadsheetml/2006/main" count="262" uniqueCount="101">
  <si>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</si>
  <si>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</si>
  <si>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</si>
  <si>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</si>
  <si>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</si>
  <si>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</si>
  <si>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</si>
  <si>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</si>
  <si>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</si>
  <si>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</si>
  <si>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</si>
  <si>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</si>
  <si>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</si>
  <si>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</si>
  <si>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</si>
  <si>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</si>
  <si>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</si>
  <si>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</si>
  <si>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</si>
  <si>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</si>
  <si>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</si>
  <si>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</si>
  <si>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</si>
  <si>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</si>
  <si>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</si>
  <si>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</si>
  <si>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</si>
  <si>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</si>
  <si>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</si>
  <si>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</si>
  <si>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</si>
  <si>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</si>
  <si>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</si>
  <si>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</si>
  <si>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</si>
  <si>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</si>
  <si>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</si>
  <si>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</si>
  <si>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</si>
  <si>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</si>
  <si>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</si>
  <si>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</si>
  <si>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</si>
  <si>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</si>
  <si>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</si>
  <si>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</si>
  <si>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</si>
  <si>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</si>
  <si>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</si>
  <si>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</si>
  <si>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</si>
  <si>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</si>
  <si>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</si>
  <si>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</si>
  <si>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</si>
  <si>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</si>
  <si>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</si>
  <si>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</si>
  <si>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</si>
  <si>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</si>
  <si>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</si>
  <si>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</si>
  <si>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STGR-2026-08-12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</si>
  <si>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</si>
  <si>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</si>
  <si>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</si>
  <si>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</si>
  <si>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</si>
  <si>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</si>
  <si>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</si>
  <si>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</si>
  <si>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</si>
  <si>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</si>
  <si>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</si>
  <si>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</si>
  <si>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</si>
  <si>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</si>
  <si>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</si>
  <si>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</si>
  <si>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</si>
  <si>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</si>
  <si>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</si>
  <si>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</si>
  <si>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</si>
  <si>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</si>
  <si>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</si>
  <si>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</si>
  <si>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</si>
  <si>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</si>
  <si>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</si>
  <si>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DBE</t>
  </si>
  <si>
    <t>MCE</t>
  </si>
  <si>
    <t>Sa</t>
  </si>
  <si>
    <t>Sa(1.5s)</t>
  </si>
  <si>
    <t>Sa(2s)</t>
  </si>
  <si>
    <r>
      <t>Sa(T=1.5s)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</si>
  <si>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Sa(T=1.0s)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</si>
  <si>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Sa(T=2s)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</si>
  <si>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t>PSHA_new (STGR-2026-08-18)</t>
  </si>
  <si>
    <t>Zone-IV</t>
  </si>
  <si>
    <t>Old PSHA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</si>
</sst>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00"/>
  </numFmts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6"/>
      <color rgb="FF000000"/>
      <name val="Times New Roman"/>
      <family val="1"/>
    </font>
    <font>
      <i/>
      <sz val="16"/>
      <color rgb="FF000000"/>
      <name val="Times New Roman"/>
      <family val="1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97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8" fillId="7" borderId="1" xfId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5" fillId="0" borderId="1" xfId="1" applyFont="1" applyFill="1"/>
    <xf numFmtId="0" fontId="17" fillId="0" borderId="0" xfId="0" applyFont="1" applyAlignment="1">
      <alignment horizontal="center"/>
    </xf>
    <xf numFmtId="0" fontId="18" fillId="0" borderId="0" xfId="0" applyFont="1"/>
    <xf numFmtId="0" fontId="0" fillId="0" borderId="9" xfId="0" applyBorder="1"/>
    <xf numFmtId="0" fontId="0" fillId="0" borderId="11" xfId="0" applyBorder="1"/>
    <xf numFmtId="0" fontId="0" fillId="0" borderId="0" xfId="0" applyBorder="1"/>
    <xf numFmtId="0" fontId="0" fillId="0" borderId="13" xfId="0" applyBorder="1"/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5" fillId="0" borderId="8" xfId="0" applyFont="1" applyBorder="1"/>
    <xf numFmtId="0" fontId="8" fillId="7" borderId="10" xfId="1" applyFont="1" applyFill="1" applyBorder="1"/>
    <xf numFmtId="0" fontId="5" fillId="0" borderId="20" xfId="0" applyFont="1" applyBorder="1"/>
    <xf numFmtId="11" fontId="0" fillId="0" borderId="22" xfId="0" applyNumberFormat="1" applyBorder="1"/>
    <xf numFmtId="11" fontId="8" fillId="7" borderId="22" xfId="0" applyNumberFormat="1" applyFont="1" applyFill="1" applyBorder="1"/>
    <xf numFmtId="11" fontId="0" fillId="0" borderId="21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22" xfId="0" applyNumberFormat="1" applyBorder="1" applyAlignment="1">
      <alignment horizontal="center"/>
    </xf>
    <xf numFmtId="11" fontId="0" fillId="0" borderId="21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9" fillId="3" borderId="1" xfId="1" applyFon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0" fontId="0" fillId="0" borderId="0" xfId="0" applyBorder="1" applyAlignment="1">
      <alignment horizontal="center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9" fillId="3" borderId="23" xfId="1" applyFont="1" applyBorder="1" applyAlignment="1">
      <alignment horizontal="center" vertical="center"/>
    </xf>
    <xf numFmtId="0" fontId="19" fillId="3" borderId="24" xfId="1" applyFont="1" applyBorder="1" applyAlignment="1">
      <alignment horizontal="center" vertical="center"/>
    </xf>
    <xf numFmtId="0" fontId="19" fillId="3" borderId="25" xfId="1" applyFont="1" applyBorder="1" applyAlignment="1">
      <alignment horizontal="center" vertical="center"/>
    </xf>
    <xf numFmtId="0" fontId="19" fillId="3" borderId="0" xfId="1" applyFont="1" applyBorder="1" applyAlignment="1">
      <alignment horizontal="center" vertical="center"/>
    </xf>
    <xf numFmtId="0" fontId="22" fillId="0" borderId="0" xfId="0" applyFont="1"/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'HazCur-STGR-2026-08-12'!$E$52:$E$60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'HazCur-STGR-2026-08-12'!$B$52:$B$60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'HazCur-STGR-2026-08-12'!$B$1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'HazCur-STGR-2026-08-12'!$M$1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'HazCur-STGR-2026-08-12'!$U$1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'HazCur-STGR-2026-08-12'!$V$1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'HazCur-STGR-2026-08-12'!$W$1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'HazCur-STGR-2026-08-12'!$C$1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'HazCur-STGR-2026-08-12'!$C$2:$C$46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'UHS-STGR-2026-08-12'!$B$1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'UHS-STGR-2026-08-12'!$C$1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'UHS-STGR-2026-08-12'!$D$1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'UHS-STGR-2026-08-12'!$E$1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'UHS-STGR-2026-08-12'!$F$1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'UHS-STGR-2026-08-12'!$G$1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'UHS-STGR-2026-08-12'!$H$1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'UHS-STGR-2026-08-12'!$I$1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'UHS-STGR-2026-08-12'!$J$1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1.1520379251650001</c:v>
              </c:pt>
              <c:pt idx="1">
                <c:v>0.87567500934999998</c:v>
              </c:pt>
              <c:pt idx="2">
                <c:v>0.61117034339749998</c:v>
              </c:pt>
              <c:pt idx="3">
                <c:v>0.39142046422749999</c:v>
              </c:pt>
              <c:pt idx="4">
                <c:v>0.23066657242635</c:v>
              </c:pt>
              <c:pt idx="5">
                <c:v>0.125529693401325</c:v>
              </c:pt>
              <c:pt idx="6">
                <c:v>6.3450513035280043E-2</c:v>
              </c:pt>
              <c:pt idx="7">
                <c:v>2.9543004566616515E-2</c:v>
              </c:pt>
              <c:pt idx="8">
                <c:v>1.2331128795881175E-2</c:v>
              </c:pt>
              <c:pt idx="9">
                <c:v>4.4224047132865197E-3</c:v>
              </c:pt>
              <c:pt idx="10">
                <c:v>1.2711103367337292E-3</c:v>
              </c:pt>
              <c:pt idx="11">
                <c:v>2.7058283031018579E-4</c:v>
              </c:pt>
              <c:pt idx="12">
                <c:v>4.209035456101376E-5</c:v>
              </c:pt>
              <c:pt idx="13">
                <c:v>4.4673160399801254E-6</c:v>
              </c:pt>
              <c:pt idx="14">
                <c:v>3.0350866757161069E-7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508-48A0-8067-486006444EB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1.15944758665</c:v>
              </c:pt>
              <c:pt idx="1">
                <c:v>0.88527766728500001</c:v>
              </c:pt>
              <c:pt idx="2">
                <c:v>0.62108222304749994</c:v>
              </c:pt>
              <c:pt idx="3">
                <c:v>0.40005766240700003</c:v>
              </c:pt>
              <c:pt idx="4">
                <c:v>0.23727186833824998</c:v>
              </c:pt>
              <c:pt idx="5">
                <c:v>0.12998557359106799</c:v>
              </c:pt>
              <c:pt idx="6">
                <c:v>6.6162381284889091E-2</c:v>
              </c:pt>
              <c:pt idx="7">
                <c:v>3.1064538173917744E-2</c:v>
              </c:pt>
              <c:pt idx="8">
                <c:v>1.31021773022874E-2</c:v>
              </c:pt>
              <c:pt idx="9">
                <c:v>4.7576173510792009E-3</c:v>
              </c:pt>
              <c:pt idx="10">
                <c:v>1.3875544622937623E-3</c:v>
              </c:pt>
              <c:pt idx="11">
                <c:v>2.9907934244590773E-4</c:v>
              </c:pt>
              <c:pt idx="12">
                <c:v>4.6882080915915572E-5</c:v>
              </c:pt>
              <c:pt idx="13">
                <c:v>5.0161299588670201E-6</c:v>
              </c:pt>
              <c:pt idx="14">
                <c:v>3.4476627618729436E-7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508-48A0-8067-486006444EB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1.1664071841700001</c:v>
              </c:pt>
              <c:pt idx="1">
                <c:v>0.89445749423500009</c:v>
              </c:pt>
              <c:pt idx="2">
                <c:v>0.63066356565750004</c:v>
              </c:pt>
              <c:pt idx="3">
                <c:v>0.40847437240000001</c:v>
              </c:pt>
              <c:pt idx="4">
                <c:v>0.24375618571005001</c:v>
              </c:pt>
              <c:pt idx="5">
                <c:v>0.13439796378452901</c:v>
              </c:pt>
              <c:pt idx="6">
                <c:v>6.8862670525355274E-2</c:v>
              </c:pt>
              <c:pt idx="7">
                <c:v>3.2588324094340919E-2</c:v>
              </c:pt>
              <c:pt idx="8">
                <c:v>1.3881563933272476E-2</c:v>
              </c:pt>
              <c:pt idx="9">
                <c:v>5.1015410107805477E-3</c:v>
              </c:pt>
              <c:pt idx="10">
                <c:v>1.5096567413156689E-3</c:v>
              </c:pt>
              <c:pt idx="11">
                <c:v>3.2987233635685983E-4</c:v>
              </c:pt>
              <c:pt idx="12">
                <c:v>5.2224292247538324E-5</c:v>
              </c:pt>
              <c:pt idx="13">
                <c:v>5.6512801746441752E-6</c:v>
              </c:pt>
              <c:pt idx="14">
                <c:v>3.944805833578699E-7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F508-48A0-8067-486006444EB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1.18698131277</c:v>
              </c:pt>
              <c:pt idx="1">
                <c:v>0.91864478061999999</c:v>
              </c:pt>
              <c:pt idx="2">
                <c:v>0.65459673935000007</c:v>
              </c:pt>
              <c:pt idx="3">
                <c:v>0.42874661726999996</c:v>
              </c:pt>
              <c:pt idx="4">
                <c:v>0.25890052021995003</c:v>
              </c:pt>
              <c:pt idx="5">
                <c:v>0.14444708915562299</c:v>
              </c:pt>
              <c:pt idx="6">
                <c:v>7.4859672499355795E-2</c:v>
              </c:pt>
              <c:pt idx="7">
                <c:v>3.5913073867259962E-2</c:v>
              </c:pt>
              <c:pt idx="8">
                <c:v>1.5577452016957663E-2</c:v>
              </c:pt>
              <c:pt idx="9">
                <c:v>5.8617122891692405E-3</c:v>
              </c:pt>
              <c:pt idx="10">
                <c:v>1.7905327205370413E-3</c:v>
              </c:pt>
              <c:pt idx="11">
                <c:v>4.0637601391678365E-4</c:v>
              </c:pt>
              <c:pt idx="12">
                <c:v>6.6934035687062158E-5</c:v>
              </c:pt>
              <c:pt idx="13">
                <c:v>7.6077650947474702E-6</c:v>
              </c:pt>
              <c:pt idx="14">
                <c:v>5.6254381318612799E-7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508-48A0-8067-486006444EB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1.2071843649449998</c:v>
              </c:pt>
              <c:pt idx="1">
                <c:v>0.94213932462750005</c:v>
              </c:pt>
              <c:pt idx="2">
                <c:v>0.67779009860250006</c:v>
              </c:pt>
              <c:pt idx="3">
                <c:v>0.44851636151399998</c:v>
              </c:pt>
              <c:pt idx="4">
                <c:v>0.27382095158545</c:v>
              </c:pt>
              <c:pt idx="5">
                <c:v>0.154487812990799</c:v>
              </c:pt>
              <c:pt idx="6">
                <c:v>8.0909005028593634E-2</c:v>
              </c:pt>
              <c:pt idx="7">
                <c:v>3.9286775455443845E-2</c:v>
              </c:pt>
              <c:pt idx="8">
                <c:v>1.7315698421592973E-2</c:v>
              </c:pt>
              <c:pt idx="9">
                <c:v>6.6560421067872258E-3</c:v>
              </c:pt>
              <c:pt idx="10">
                <c:v>2.0930103920366169E-3</c:v>
              </c:pt>
              <c:pt idx="11">
                <c:v>4.9245373490152506E-4</c:v>
              </c:pt>
              <c:pt idx="12">
                <c:v>8.4245787377757846E-5</c:v>
              </c:pt>
              <c:pt idx="13">
                <c:v>1.0037196124851301E-5</c:v>
              </c:pt>
              <c:pt idx="14">
                <c:v>7.8431049750238457E-7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F508-48A0-8067-486006444EB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1.23325822324</c:v>
              </c:pt>
              <c:pt idx="1">
                <c:v>0.9670801199975001</c:v>
              </c:pt>
              <c:pt idx="2">
                <c:v>0.70079364781750009</c:v>
              </c:pt>
              <c:pt idx="3">
                <c:v>0.46781692400399999</c:v>
              </c:pt>
              <c:pt idx="4">
                <c:v>0.28840335836219999</c:v>
              </c:pt>
              <c:pt idx="5">
                <c:v>0.16439448592735401</c:v>
              </c:pt>
              <c:pt idx="6">
                <c:v>8.6925559858716084E-2</c:v>
              </c:pt>
              <c:pt idx="7">
                <c:v>4.2655795329246113E-2</c:v>
              </c:pt>
              <c:pt idx="8">
                <c:v>1.9064807286114926E-2</c:v>
              </c:pt>
              <c:pt idx="9">
                <c:v>7.4700067045055246E-3</c:v>
              </c:pt>
              <c:pt idx="10">
                <c:v>2.4127452908496629E-3</c:v>
              </c:pt>
              <c:pt idx="11">
                <c:v>5.8756754147611047E-4</c:v>
              </c:pt>
              <c:pt idx="12">
                <c:v>1.0424860117703065E-4</c:v>
              </c:pt>
              <c:pt idx="13">
                <c:v>1.2992968713446587E-5</c:v>
              </c:pt>
              <c:pt idx="14">
                <c:v>1.0703683469123901E-6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F508-48A0-8067-486006444EB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1.2672344774200002</c:v>
              </c:pt>
              <c:pt idx="1">
                <c:v>1.0038740289000001</c:v>
              </c:pt>
              <c:pt idx="2">
                <c:v>0.73848193633000003</c:v>
              </c:pt>
              <c:pt idx="3">
                <c:v>0.50176628585700001</c:v>
              </c:pt>
              <c:pt idx="4">
                <c:v>0.31489950923370003</c:v>
              </c:pt>
              <c:pt idx="5">
                <c:v>0.182471515296211</c:v>
              </c:pt>
              <c:pt idx="6">
                <c:v>9.7643619369218615E-2</c:v>
              </c:pt>
              <c:pt idx="7">
                <c:v>4.8384221589950538E-2</c:v>
              </c:pt>
              <c:pt idx="8">
                <c:v>2.1925254604014031E-2</c:v>
              </c:pt>
              <c:pt idx="9">
                <c:v>8.7929664940105644E-3</c:v>
              </c:pt>
              <c:pt idx="10">
                <c:v>2.9607803321940766E-3</c:v>
              </c:pt>
              <c:pt idx="11">
                <c:v>7.6707066721047026E-4</c:v>
              </c:pt>
              <c:pt idx="12">
                <c:v>1.4406860866138016E-4</c:v>
              </c:pt>
              <c:pt idx="13">
                <c:v>1.9544112529261169E-5</c:v>
              </c:pt>
              <c:pt idx="14">
                <c:v>1.7745057317394651E-6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F508-48A0-8067-486006444EB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1.31469271109</c:v>
              </c:pt>
              <c:pt idx="1">
                <c:v>1.049624725395</c:v>
              </c:pt>
              <c:pt idx="2">
                <c:v>0.78209382086500012</c:v>
              </c:pt>
              <c:pt idx="3">
                <c:v>0.54030139065825</c:v>
              </c:pt>
              <c:pt idx="4">
                <c:v>0.3455333429802</c:v>
              </c:pt>
              <c:pt idx="5">
                <c:v>0.20406582826025699</c:v>
              </c:pt>
              <c:pt idx="6">
                <c:v>0.11105235016494935</c:v>
              </c:pt>
              <c:pt idx="7">
                <c:v>5.5811029839166415E-2</c:v>
              </c:pt>
              <c:pt idx="8">
                <c:v>2.571677724912716E-2</c:v>
              </c:pt>
              <c:pt idx="9">
                <c:v>1.0570722195437039E-2</c:v>
              </c:pt>
              <c:pt idx="10">
                <c:v>3.7008195528572324E-3</c:v>
              </c:pt>
              <c:pt idx="11">
                <c:v>1.0253641140716072E-3</c:v>
              </c:pt>
              <c:pt idx="12">
                <c:v>2.1432189147092462E-4</c:v>
              </c:pt>
              <c:pt idx="13">
                <c:v>3.3187788341532339E-5</c:v>
              </c:pt>
              <c:pt idx="14">
                <c:v>3.4851220107591998E-6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F508-48A0-8067-486006444EB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1.3520612277549999</c:v>
              </c:pt>
              <c:pt idx="1">
                <c:v>1.0886768567100003</c:v>
              </c:pt>
              <c:pt idx="2">
                <c:v>0.81856162246499997</c:v>
              </c:pt>
              <c:pt idx="3">
                <c:v>0.57146067908599996</c:v>
              </c:pt>
              <c:pt idx="4">
                <c:v>0.36951739639710002</c:v>
              </c:pt>
              <c:pt idx="5">
                <c:v>0.22043519958513003</c:v>
              </c:pt>
              <c:pt idx="6">
                <c:v>0.12083606617016093</c:v>
              </c:pt>
              <c:pt idx="7">
                <c:v>6.0898471691806205E-2</c:v>
              </c:pt>
              <c:pt idx="8">
                <c:v>2.8113476460624447E-2</c:v>
              </c:pt>
              <c:pt idx="9">
                <c:v>1.1636026922551492E-2</c:v>
              </c:pt>
              <c:pt idx="10">
                <c:v>4.1539499827213987E-3</c:v>
              </c:pt>
              <c:pt idx="11">
                <c:v>1.2003924064879642E-3</c:v>
              </c:pt>
              <c:pt idx="12">
                <c:v>2.6837506269306597E-4</c:v>
              </c:pt>
              <c:pt idx="13">
                <c:v>4.5587150594900051E-5</c:v>
              </c:pt>
              <c:pt idx="14">
                <c:v>5.3619978150059511E-6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F508-48A0-8067-486006444EB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1.3737715533900001</c:v>
              </c:pt>
              <c:pt idx="1">
                <c:v>1.1131237058350001</c:v>
              </c:pt>
              <c:pt idx="2">
                <c:v>0.84183698428249998</c:v>
              </c:pt>
              <c:pt idx="3">
                <c:v>0.59134046696749998</c:v>
              </c:pt>
              <c:pt idx="4">
                <c:v>0.38482285147384998</c:v>
              </c:pt>
              <c:pt idx="5">
                <c:v>0.23099287953706799</c:v>
              </c:pt>
              <c:pt idx="6">
                <c:v>0.127272745380311</c:v>
              </c:pt>
              <c:pt idx="7">
                <c:v>6.4345060369658064E-2</c:v>
              </c:pt>
              <c:pt idx="8">
                <c:v>2.978476211928326E-2</c:v>
              </c:pt>
              <c:pt idx="9">
                <c:v>1.2396389238208275E-2</c:v>
              </c:pt>
              <c:pt idx="10">
                <c:v>4.4841209906131135E-3</c:v>
              </c:pt>
              <c:pt idx="11">
                <c:v>1.330982058842644E-3</c:v>
              </c:pt>
              <c:pt idx="12">
                <c:v>3.107442107335407E-4</c:v>
              </c:pt>
              <c:pt idx="13">
                <c:v>5.619942960403277E-5</c:v>
              </c:pt>
              <c:pt idx="14">
                <c:v>7.1703749286430493E-6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F508-48A0-8067-486006444EB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1.4204102681949999</c:v>
              </c:pt>
              <c:pt idx="1">
                <c:v>1.15125963801</c:v>
              </c:pt>
              <c:pt idx="2">
                <c:v>0.87005445030500006</c:v>
              </c:pt>
              <c:pt idx="3">
                <c:v>0.60892232169250005</c:v>
              </c:pt>
              <c:pt idx="4">
                <c:v>0.39366864712160005</c:v>
              </c:pt>
              <c:pt idx="5">
                <c:v>0.23431021771586003</c:v>
              </c:pt>
              <c:pt idx="6">
                <c:v>0.12800186900686714</c:v>
              </c:pt>
              <c:pt idx="7">
                <c:v>6.436588366539156E-2</c:v>
              </c:pt>
              <c:pt idx="8">
                <c:v>2.9757396967003351E-2</c:v>
              </c:pt>
              <c:pt idx="9">
                <c:v>1.2449242402866687E-2</c:v>
              </c:pt>
              <c:pt idx="10">
                <c:v>4.5793320627839258E-3</c:v>
              </c:pt>
              <c:pt idx="11">
                <c:v>1.4108032956846096E-3</c:v>
              </c:pt>
              <c:pt idx="12">
                <c:v>3.5037022721657587E-4</c:v>
              </c:pt>
              <c:pt idx="13">
                <c:v>6.8905415876023795E-5</c:v>
              </c:pt>
              <c:pt idx="14">
                <c:v>9.704202436362199E-6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F508-48A0-8067-486006444EB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1.4298506795950001</c:v>
              </c:pt>
              <c:pt idx="1">
                <c:v>1.1528745280699999</c:v>
              </c:pt>
              <c:pt idx="2">
                <c:v>0.86509941549000013</c:v>
              </c:pt>
              <c:pt idx="3">
                <c:v>0.59810526501600003</c:v>
              </c:pt>
              <c:pt idx="4">
                <c:v>0.3804471470934</c:v>
              </c:pt>
              <c:pt idx="5">
                <c:v>0.22262472117496002</c:v>
              </c:pt>
              <c:pt idx="6">
                <c:v>0.1199421214242781</c:v>
              </c:pt>
              <c:pt idx="7">
                <c:v>5.9847860893614116E-2</c:v>
              </c:pt>
              <c:pt idx="8">
                <c:v>2.7577647706099842E-2</c:v>
              </c:pt>
              <c:pt idx="9">
                <c:v>1.1530258087303347E-2</c:v>
              </c:pt>
              <c:pt idx="10">
                <c:v>4.2416169634926712E-3</c:v>
              </c:pt>
              <c:pt idx="11">
                <c:v>1.299451793729724E-3</c:v>
              </c:pt>
              <c:pt idx="12">
                <c:v>3.1427724306846739E-4</c:v>
              </c:pt>
              <c:pt idx="13">
                <c:v>5.9062643550473936E-5</c:v>
              </c:pt>
              <c:pt idx="14">
                <c:v>7.8781381315572329E-6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F508-48A0-8067-486006444EB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1.4112350416000004</c:v>
              </c:pt>
              <c:pt idx="1">
                <c:v>1.1239855946800001</c:v>
              </c:pt>
              <c:pt idx="2">
                <c:v>0.82438269222000016</c:v>
              </c:pt>
              <c:pt idx="3">
                <c:v>0.55135347843000004</c:v>
              </c:pt>
              <c:pt idx="4">
                <c:v>0.33738192498700004</c:v>
              </c:pt>
              <c:pt idx="5">
                <c:v>0.18971698128699999</c:v>
              </c:pt>
              <c:pt idx="6">
                <c:v>9.8731642312309992E-2</c:v>
              </c:pt>
              <c:pt idx="7">
                <c:v>4.7824923052238094E-2</c:v>
              </c:pt>
              <c:pt idx="8">
                <c:v>2.1453922257177134E-2</c:v>
              </c:pt>
              <c:pt idx="9">
                <c:v>8.756473572983467E-3</c:v>
              </c:pt>
              <c:pt idx="10">
                <c:v>3.1507556799234377E-3</c:v>
              </c:pt>
              <c:pt idx="11">
                <c:v>9.4215928076251711E-4</c:v>
              </c:pt>
              <c:pt idx="12">
                <c:v>2.2149747105636551E-4</c:v>
              </c:pt>
              <c:pt idx="13">
                <c:v>4.0488907450115995E-5</c:v>
              </c:pt>
              <c:pt idx="14">
                <c:v>5.2080373196755142E-6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F508-48A0-8067-486006444EB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1.3587292273</c:v>
              </c:pt>
              <c:pt idx="1">
                <c:v>1.0642224013599999</c:v>
              </c:pt>
              <c:pt idx="2">
                <c:v>0.76096134624</c:v>
              </c:pt>
              <c:pt idx="3">
                <c:v>0.49561002592500003</c:v>
              </c:pt>
              <c:pt idx="4">
                <c:v>0.29586508814349999</c:v>
              </c:pt>
              <c:pt idx="5">
                <c:v>0.16305696304649997</c:v>
              </c:pt>
              <c:pt idx="6">
                <c:v>8.3599671170260015E-2</c:v>
              </c:pt>
              <c:pt idx="7">
                <c:v>3.99908644227343E-2</c:v>
              </c:pt>
              <c:pt idx="8">
                <c:v>1.7734861892490357E-2</c:v>
              </c:pt>
              <c:pt idx="9">
                <c:v>7.1680472623681579E-3</c:v>
              </c:pt>
              <c:pt idx="10">
                <c:v>2.5579383294583148E-3</c:v>
              </c:pt>
              <c:pt idx="11">
                <c:v>7.6282600716135742E-4</c:v>
              </c:pt>
              <c:pt idx="12">
                <c:v>1.8436553894435933E-4</c:v>
              </c:pt>
              <c:pt idx="13">
                <c:v>3.5332705638205751E-5</c:v>
              </c:pt>
              <c:pt idx="14">
                <c:v>4.7797939792886195E-6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F508-48A0-8067-486006444EB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1.284293438</c:v>
              </c:pt>
              <c:pt idx="1">
                <c:v>0.98255864518000013</c:v>
              </c:pt>
              <c:pt idx="2">
                <c:v>0.68491193078000001</c:v>
              </c:pt>
              <c:pt idx="3">
                <c:v>0.43663455135000001</c:v>
              </c:pt>
              <c:pt idx="4">
                <c:v>0.2562911804795</c:v>
              </c:pt>
              <c:pt idx="5">
                <c:v>0.13950773767880001</c:v>
              </c:pt>
              <c:pt idx="6">
                <c:v>7.0803687262160006E-2</c:v>
              </c:pt>
              <c:pt idx="7">
                <c:v>3.3525821341406997E-2</c:v>
              </c:pt>
              <c:pt idx="8">
                <c:v>1.4694941710214078E-2</c:v>
              </c:pt>
              <c:pt idx="9">
                <c:v>5.861034904219414E-3</c:v>
              </c:pt>
              <c:pt idx="10">
                <c:v>2.0602384988864251E-3</c:v>
              </c:pt>
              <c:pt idx="11">
                <c:v>6.0165270204820564E-4</c:v>
              </c:pt>
              <c:pt idx="12">
                <c:v>1.4036410980745648E-4</c:v>
              </c:pt>
              <c:pt idx="13">
                <c:v>2.5525348299959001E-5</c:v>
              </c:pt>
              <c:pt idx="14">
                <c:v>3.2203384644681954E-6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F508-48A0-8067-486006444EB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1.1930242301500003</c:v>
              </c:pt>
              <c:pt idx="1">
                <c:v>0.89207794379999994</c:v>
              </c:pt>
              <c:pt idx="2">
                <c:v>0.60983457629999993</c:v>
              </c:pt>
              <c:pt idx="3">
                <c:v>0.38258329328500007</c:v>
              </c:pt>
              <c:pt idx="4">
                <c:v>0.22158817864050001</c:v>
              </c:pt>
              <c:pt idx="5">
                <c:v>0.11915801276089999</c:v>
              </c:pt>
              <c:pt idx="6">
                <c:v>5.9740151997150007E-2</c:v>
              </c:pt>
              <c:pt idx="7">
                <c:v>2.7908664549455002E-2</c:v>
              </c:pt>
              <c:pt idx="8">
                <c:v>1.2048510097551639E-2</c:v>
              </c:pt>
              <c:pt idx="9">
                <c:v>4.72189734462966E-3</c:v>
              </c:pt>
              <c:pt idx="10">
                <c:v>1.6228005685172248E-3</c:v>
              </c:pt>
              <c:pt idx="11">
                <c:v>4.5953963100488877E-4</c:v>
              </c:pt>
              <c:pt idx="12">
                <c:v>1.0399894302133892E-4</c:v>
              </c:pt>
              <c:pt idx="13">
                <c:v>1.8196938366426249E-5</c:v>
              </c:pt>
              <c:pt idx="14">
                <c:v>2.1583307601271773E-6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F508-48A0-8067-486006444EB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1.1083527585500001</c:v>
              </c:pt>
              <c:pt idx="1">
                <c:v>0.81285701510000008</c:v>
              </c:pt>
              <c:pt idx="2">
                <c:v>0.54512680081500009</c:v>
              </c:pt>
              <c:pt idx="3">
                <c:v>0.33643959025000003</c:v>
              </c:pt>
              <c:pt idx="4">
                <c:v>0.192007418726</c:v>
              </c:pt>
              <c:pt idx="5">
                <c:v>0.10176090017320001</c:v>
              </c:pt>
              <c:pt idx="6">
                <c:v>5.0276198266939999E-2</c:v>
              </c:pt>
              <c:pt idx="7">
                <c:v>2.3149070165924702E-2</c:v>
              </c:pt>
              <c:pt idx="8">
                <c:v>9.8620670303235965E-3</c:v>
              </c:pt>
              <c:pt idx="9">
                <c:v>3.822280714957966E-3</c:v>
              </c:pt>
              <c:pt idx="10">
                <c:v>1.3027610969147251E-3</c:v>
              </c:pt>
              <c:pt idx="11">
                <c:v>3.6713112689190554E-4</c:v>
              </c:pt>
              <c:pt idx="12">
                <c:v>8.2997927073619659E-5</c:v>
              </c:pt>
              <c:pt idx="13">
                <c:v>1.416072887865071E-5</c:v>
              </c:pt>
              <c:pt idx="14">
                <c:v>1.5893729025977157E-6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F508-48A0-8067-486006444EB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1.0648009442499999</c:v>
              </c:pt>
              <c:pt idx="1">
                <c:v>0.77389645425000009</c:v>
              </c:pt>
              <c:pt idx="2">
                <c:v>0.51453142348000003</c:v>
              </c:pt>
              <c:pt idx="3">
                <c:v>0.31501939899499998</c:v>
              </c:pt>
              <c:pt idx="4">
                <c:v>0.17838151724500001</c:v>
              </c:pt>
              <c:pt idx="5">
                <c:v>9.3793409478699991E-2</c:v>
              </c:pt>
              <c:pt idx="6">
                <c:v>4.5991248077640004E-2</c:v>
              </c:pt>
              <c:pt idx="7">
                <c:v>2.1036881865443002E-2</c:v>
              </c:pt>
              <c:pt idx="8">
                <c:v>8.9189276350509841E-3</c:v>
              </c:pt>
              <c:pt idx="9">
                <c:v>3.448436616964895E-3</c:v>
              </c:pt>
              <c:pt idx="10">
                <c:v>1.1763615484329251E-3</c:v>
              </c:pt>
              <c:pt idx="11">
                <c:v>3.314525320597271E-4</c:v>
              </c:pt>
              <c:pt idx="12">
                <c:v>7.4204355513916574E-5</c:v>
              </c:pt>
              <c:pt idx="13">
                <c:v>1.2398424606525713E-5</c:v>
              </c:pt>
              <c:pt idx="14">
                <c:v>1.3476542770577082E-6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F508-48A0-8067-486006444EB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1.0285329437000001</c:v>
              </c:pt>
              <c:pt idx="1">
                <c:v>0.74051830080000003</c:v>
              </c:pt>
              <c:pt idx="2">
                <c:v>0.48878427732000002</c:v>
              </c:pt>
              <c:pt idx="3">
                <c:v>0.29752696790499999</c:v>
              </c:pt>
              <c:pt idx="4">
                <c:v>0.1676274350045</c:v>
              </c:pt>
              <c:pt idx="5">
                <c:v>8.7699532885800013E-2</c:v>
              </c:pt>
              <c:pt idx="6">
                <c:v>4.2793349657809995E-2</c:v>
              </c:pt>
              <c:pt idx="7">
                <c:v>1.94831512490427E-2</c:v>
              </c:pt>
              <c:pt idx="8">
                <c:v>8.2255269314638162E-3</c:v>
              </c:pt>
              <c:pt idx="9">
                <c:v>3.1695584711958881E-3</c:v>
              </c:pt>
              <c:pt idx="10">
                <c:v>1.0791445211352751E-3</c:v>
              </c:pt>
              <c:pt idx="11">
                <c:v>3.0243489910438922E-4</c:v>
              </c:pt>
              <c:pt idx="12">
                <c:v>6.6575667967378491E-5</c:v>
              </c:pt>
              <c:pt idx="13">
                <c:v>1.0842645624553564E-5</c:v>
              </c:pt>
              <c:pt idx="14">
                <c:v>1.1399057655984406E-6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F508-48A0-8067-486006444EB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0.95487614215000005</c:v>
              </c:pt>
              <c:pt idx="1">
                <c:v>0.67435056032999996</c:v>
              </c:pt>
              <c:pt idx="2">
                <c:v>0.43882039377500004</c:v>
              </c:pt>
              <c:pt idx="3">
                <c:v>0.26390803828999998</c:v>
              </c:pt>
              <c:pt idx="4">
                <c:v>0.14695537271050002</c:v>
              </c:pt>
              <c:pt idx="5">
                <c:v>7.5975354460399991E-2</c:v>
              </c:pt>
              <c:pt idx="6">
                <c:v>3.6648738845909995E-2</c:v>
              </c:pt>
              <c:pt idx="7">
                <c:v>1.6506548368479798E-2</c:v>
              </c:pt>
              <c:pt idx="8">
                <c:v>6.8977564292984211E-3</c:v>
              </c:pt>
              <c:pt idx="9">
                <c:v>2.6341227371230514E-3</c:v>
              </c:pt>
              <c:pt idx="10">
                <c:v>8.8904761693142501E-4</c:v>
              </c:pt>
              <c:pt idx="11">
                <c:v>2.4430109378237416E-4</c:v>
              </c:pt>
              <c:pt idx="12">
                <c:v>5.1420910285100395E-5</c:v>
              </c:pt>
              <c:pt idx="13">
                <c:v>7.9083182194127357E-6</c:v>
              </c:pt>
              <c:pt idx="14">
                <c:v>7.7645246029628177E-7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F508-48A0-8067-486006444EB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0.87025353439999997</c:v>
              </c:pt>
              <c:pt idx="1">
                <c:v>0.60301136022000001</c:v>
              </c:pt>
              <c:pt idx="2">
                <c:v>0.38674800255500003</c:v>
              </c:pt>
              <c:pt idx="3">
                <c:v>0.22947257592600001</c:v>
              </c:pt>
              <c:pt idx="4">
                <c:v>0.126036906979</c:v>
              </c:pt>
              <c:pt idx="5">
                <c:v>6.4270472890100003E-2</c:v>
              </c:pt>
              <c:pt idx="6">
                <c:v>3.0595847544669999E-2</c:v>
              </c:pt>
              <c:pt idx="7">
                <c:v>1.3614179005111599E-2</c:v>
              </c:pt>
              <c:pt idx="8">
                <c:v>5.6291007640047429E-3</c:v>
              </c:pt>
              <c:pt idx="9">
                <c:v>2.1297985791289909E-3</c:v>
              </c:pt>
              <c:pt idx="10">
                <c:v>7.0945000403592495E-4</c:v>
              </c:pt>
              <c:pt idx="11">
                <c:v>1.8945936299079137E-4</c:v>
              </c:pt>
              <c:pt idx="12">
                <c:v>3.8269452044744067E-5</c:v>
              </c:pt>
              <c:pt idx="13">
                <c:v>5.5444301128992218E-6</c:v>
              </c:pt>
              <c:pt idx="14">
                <c:v>5.0300416662388229E-7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F508-48A0-8067-486006444EB1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0.76625743290000004</c:v>
              </c:pt>
              <c:pt idx="1">
                <c:v>0.51998186550499992</c:v>
              </c:pt>
              <c:pt idx="2">
                <c:v>0.32769262271499999</c:v>
              </c:pt>
              <c:pt idx="3">
                <c:v>0.19149565476800001</c:v>
              </c:pt>
              <c:pt idx="4">
                <c:v>0.10369435394050001</c:v>
              </c:pt>
              <c:pt idx="5">
                <c:v>5.2183095906399996E-2</c:v>
              </c:pt>
              <c:pt idx="6">
                <c:v>2.4529166030312001E-2</c:v>
              </c:pt>
              <c:pt idx="7">
                <c:v>1.0764906212067899E-2</c:v>
              </c:pt>
              <c:pt idx="8">
                <c:v>4.3818937812587421E-3</c:v>
              </c:pt>
              <c:pt idx="9">
                <c:v>1.6303489769963317E-3</c:v>
              </c:pt>
              <c:pt idx="10">
                <c:v>5.2939873639228996E-4</c:v>
              </c:pt>
              <c:pt idx="11">
                <c:v>1.3283011277091263E-4</c:v>
              </c:pt>
              <c:pt idx="12">
                <c:v>2.3903353736113485E-5</c:v>
              </c:pt>
              <c:pt idx="13">
                <c:v>2.9899021418472002E-6</c:v>
              </c:pt>
              <c:pt idx="14">
                <c:v>2.2990863929521537E-7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F508-48A0-8067-486006444EB1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0.60994013669999991</c:v>
              </c:pt>
              <c:pt idx="1">
                <c:v>0.40050833785499995</c:v>
              </c:pt>
              <c:pt idx="2">
                <c:v>0.24505631934</c:v>
              </c:pt>
              <c:pt idx="3">
                <c:v>0.13958189628500001</c:v>
              </c:pt>
              <c:pt idx="4">
                <c:v>7.3859870949500001E-2</c:v>
              </c:pt>
              <c:pt idx="5">
                <c:v>3.6353322648099998E-2</c:v>
              </c:pt>
              <c:pt idx="6">
                <c:v>1.6730961601355E-2</c:v>
              </c:pt>
              <c:pt idx="7">
                <c:v>7.1809400593832104E-3</c:v>
              </c:pt>
              <c:pt idx="8">
                <c:v>2.8447509801611381E-3</c:v>
              </c:pt>
              <c:pt idx="9">
                <c:v>1.0173788879770784E-3</c:v>
              </c:pt>
              <c:pt idx="10">
                <c:v>3.0156935456440476E-4</c:v>
              </c:pt>
              <c:pt idx="11">
                <c:v>6.2441156388274259E-5</c:v>
              </c:pt>
              <c:pt idx="12">
                <c:v>8.8078084372817085E-6</c:v>
              </c:pt>
              <c:pt idx="13">
                <c:v>8.3301943503001566E-7</c:v>
              </c:pt>
              <c:pt idx="14">
                <c:v>4.7233502018912927E-8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F508-48A0-8067-486006444EB1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0.44609092575500003</c:v>
              </c:pt>
              <c:pt idx="1">
                <c:v>0.28236270280499998</c:v>
              </c:pt>
              <c:pt idx="2">
                <c:v>0.16701232711500003</c:v>
              </c:pt>
              <c:pt idx="3">
                <c:v>9.1944546928499987E-2</c:v>
              </c:pt>
              <c:pt idx="4">
                <c:v>4.707410806960001E-2</c:v>
              </c:pt>
              <c:pt idx="5">
                <c:v>2.247805350742E-2</c:v>
              </c:pt>
              <c:pt idx="6">
                <c:v>1.0021003458073E-2</c:v>
              </c:pt>
              <c:pt idx="7">
                <c:v>4.1365397158539402E-3</c:v>
              </c:pt>
              <c:pt idx="8">
                <c:v>1.5557478814335612E-3</c:v>
              </c:pt>
              <c:pt idx="9">
                <c:v>5.0443197864007551E-4</c:v>
              </c:pt>
              <c:pt idx="10">
                <c:v>1.2083559869265844E-4</c:v>
              </c:pt>
              <c:pt idx="11">
                <c:v>1.95959547130938E-5</c:v>
              </c:pt>
              <c:pt idx="12">
                <c:v>2.2010624036560982E-6</c:v>
              </c:pt>
              <c:pt idx="13">
                <c:v>1.52858603227203E-7</c:v>
              </c:pt>
              <c:pt idx="14">
                <c:v>6.2911131645983949E-9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F508-48A0-8067-486006444EB1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0.35634912497999999</c:v>
              </c:pt>
              <c:pt idx="1">
                <c:v>0.22028138289999999</c:v>
              </c:pt>
              <c:pt idx="2">
                <c:v>0.12731906916999999</c:v>
              </c:pt>
              <c:pt idx="3">
                <c:v>6.8591455156999992E-2</c:v>
              </c:pt>
              <c:pt idx="4">
                <c:v>3.43357962275E-2</c:v>
              </c:pt>
              <c:pt idx="5">
                <c:v>1.6018534038380002E-2</c:v>
              </c:pt>
              <c:pt idx="6">
                <c:v>6.9761254691320003E-3</c:v>
              </c:pt>
              <c:pt idx="7">
                <c:v>2.7958904974326199E-3</c:v>
              </c:pt>
              <c:pt idx="8">
                <c:v>1.0068383972470368E-3</c:v>
              </c:pt>
              <c:pt idx="9">
                <c:v>2.9885918205939632E-4</c:v>
              </c:pt>
              <c:pt idx="10">
                <c:v>5.8949399596572507E-5</c:v>
              </c:pt>
              <c:pt idx="11">
                <c:v>7.3971833719988009E-6</c:v>
              </c:pt>
              <c:pt idx="12">
                <c:v>6.5561337208388541E-7</c:v>
              </c:pt>
              <c:pt idx="13">
                <c:v>3.6602156100923455E-8</c:v>
              </c:pt>
              <c:pt idx="14">
                <c:v>1.3297567105226485E-9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F508-48A0-8067-486006444EB1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0.27150184569500002</c:v>
              </c:pt>
              <c:pt idx="1">
                <c:v>0.16291261730000001</c:v>
              </c:pt>
              <c:pt idx="2">
                <c:v>9.1453810520000012E-2</c:v>
              </c:pt>
              <c:pt idx="3">
                <c:v>4.7943623120000001E-2</c:v>
              </c:pt>
              <c:pt idx="4">
                <c:v>2.3413943549100001E-2</c:v>
              </c:pt>
              <c:pt idx="5">
                <c:v>1.0693527922790002E-2</c:v>
              </c:pt>
              <c:pt idx="6">
                <c:v>4.5771411964179998E-3</c:v>
              </c:pt>
              <c:pt idx="7">
                <c:v>1.7999890250643062E-3</c:v>
              </c:pt>
              <c:pt idx="8">
                <c:v>6.2558555976524924E-4</c:v>
              </c:pt>
              <c:pt idx="9">
                <c:v>1.6923637797550942E-4</c:v>
              </c:pt>
              <c:pt idx="10">
                <c:v>2.7040077406744099E-5</c:v>
              </c:pt>
              <c:pt idx="11">
                <c:v>2.6896305251897846E-6</c:v>
              </c:pt>
              <c:pt idx="12">
                <c:v>1.9362627668754777E-7</c:v>
              </c:pt>
              <c:pt idx="13">
                <c:v>9.187228588889841E-9</c:v>
              </c:pt>
              <c:pt idx="14">
                <c:v>3.2871649071285201E-10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F508-48A0-8067-486006444EB1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0.17647603778999998</c:v>
              </c:pt>
              <c:pt idx="1">
                <c:v>0.10344112766000001</c:v>
              </c:pt>
              <c:pt idx="2">
                <c:v>5.6711899719499997E-2</c:v>
              </c:pt>
              <c:pt idx="3">
                <c:v>2.9009431868999999E-2</c:v>
              </c:pt>
              <c:pt idx="4">
                <c:v>1.3782190493599997E-2</c:v>
              </c:pt>
              <c:pt idx="5">
                <c:v>6.0424551452300003E-3</c:v>
              </c:pt>
              <c:pt idx="6">
                <c:v>2.3732804931153998E-3</c:v>
              </c:pt>
              <c:pt idx="7">
                <c:v>7.9439640579564497E-4</c:v>
              </c:pt>
              <c:pt idx="8">
                <c:v>2.093252736459206E-4</c:v>
              </c:pt>
              <c:pt idx="9">
                <c:v>3.4343764020138144E-5</c:v>
              </c:pt>
              <c:pt idx="10">
                <c:v>3.8067023672633939E-6</c:v>
              </c:pt>
              <c:pt idx="11">
                <c:v>4.1026160673802671E-7</c:v>
              </c:pt>
              <c:pt idx="12">
                <c:v>3.8843849828841249E-8</c:v>
              </c:pt>
              <c:pt idx="13">
                <c:v>3.067931939794016E-9</c:v>
              </c:pt>
              <c:pt idx="14">
                <c:v>1.9286170908100002E-10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F508-48A0-8067-486006444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'Guwa-HazCur-STGR-2026-08-18'!$D$45:$D$52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39B-415C-91C8-5AA7472E8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'Guwa-HazCur-STGR-2026-08-18'!$B$22:$B$36</c:f>
              <c:numCache>
                <c:formatCode>General</c:formatCode>
                <c:ptCount val="15"/>
                <c:pt idx="0">
                  <c:v>2.1312701615552503</c:v>
                </c:pt>
                <c:pt idx="1">
                  <c:v>1.6199987672975</c:v>
                </c:pt>
                <c:pt idx="2">
                  <c:v>1.1306651352853749</c:v>
                </c:pt>
                <c:pt idx="3">
                  <c:v>0.72412785882087505</c:v>
                </c:pt>
                <c:pt idx="4">
                  <c:v>0.42673315898874753</c:v>
                </c:pt>
                <c:pt idx="5">
                  <c:v>0.23222993279245127</c:v>
                </c:pt>
                <c:pt idx="6">
                  <c:v>0.11738344911526809</c:v>
                </c:pt>
                <c:pt idx="7">
                  <c:v>5.4654558448240555E-2</c:v>
                </c:pt>
                <c:pt idx="8">
                  <c:v>2.2812588272380176E-2</c:v>
                </c:pt>
                <c:pt idx="9">
                  <c:v>8.1814487195800614E-3</c:v>
                </c:pt>
                <c:pt idx="10">
                  <c:v>2.3515541229573991E-3</c:v>
                </c:pt>
                <c:pt idx="11">
                  <c:v>5.0057823607384375E-4</c:v>
                </c:pt>
                <c:pt idx="12">
                  <c:v>7.7867155937875465E-5</c:v>
                </c:pt>
                <c:pt idx="13">
                  <c:v>8.2645346739632316E-6</c:v>
                </c:pt>
                <c:pt idx="14">
                  <c:v>5.6149103500747975E-7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9B-415C-91C8-5AA7472E88A9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'Guwa-HazCur-STGR-2026-08-18'!$B$87:$J$87</c:f>
              <c:numCache>
                <c:formatCode>General</c:formatCode>
                <c:ptCount val="9"/>
                <c:pt idx="0">
                  <c:v>7.6499999999999999E-2</c:v>
                </c:pt>
                <c:pt idx="1">
                  <c:v>0.13089999999999999</c:v>
                </c:pt>
                <c:pt idx="2">
                  <c:v>0.1736</c:v>
                </c:pt>
                <c:pt idx="3">
                  <c:v>0.2392</c:v>
                </c:pt>
                <c:pt idx="4">
                  <c:v>0.34949999999999998</c:v>
                </c:pt>
                <c:pt idx="5">
                  <c:v>0.39689999999999998</c:v>
                </c:pt>
                <c:pt idx="6">
                  <c:v>0.52990000000000004</c:v>
                </c:pt>
                <c:pt idx="7">
                  <c:v>0.69689999999999996</c:v>
                </c:pt>
                <c:pt idx="8">
                  <c:v>0.89090000000000003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39B-415C-91C8-5AA7472E88A9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C6-4B39-8C16-94001A72D0C9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C6-4B39-8C16-94001A72D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5"/>
                <c:tx>
                  <c:v>T=1S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'Guwa-HazCur-STGR-2026-08-18'!$V$22:$V$36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1.6099690386400001</c:v>
                      </c:pt>
                      <c:pt idx="1">
                        <c:v>1.1155710164070001</c:v>
                      </c:pt>
                      <c:pt idx="2">
                        <c:v>0.71548380472675011</c:v>
                      </c:pt>
                      <c:pt idx="3">
                        <c:v>0.42452426546310001</c:v>
                      </c:pt>
                      <c:pt idx="4">
                        <c:v>0.23316827791115</c:v>
                      </c:pt>
                      <c:pt idx="5">
                        <c:v>0.11890037484668502</c:v>
                      </c:pt>
                      <c:pt idx="6">
                        <c:v>5.6602317957639502E-2</c:v>
                      </c:pt>
                      <c:pt idx="7">
                        <c:v>2.5186231159456458E-2</c:v>
                      </c:pt>
                      <c:pt idx="8">
                        <c:v>1.0413836413408775E-2</c:v>
                      </c:pt>
                      <c:pt idx="9">
                        <c:v>3.9401273713886333E-3</c:v>
                      </c:pt>
                      <c:pt idx="10">
                        <c:v>1.3124825074664612E-3</c:v>
                      </c:pt>
                      <c:pt idx="11">
                        <c:v>3.5049982153296405E-4</c:v>
                      </c:pt>
                      <c:pt idx="12">
                        <c:v>7.0798486282776533E-5</c:v>
                      </c:pt>
                      <c:pt idx="13">
                        <c:v>1.0257195708863561E-5</c:v>
                      </c:pt>
                      <c:pt idx="14">
                        <c:v>9.3055770825418224E-7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564-48F1-A1F7-6A2C5792036E}"/>
                  </c:ext>
                </c:extLst>
              </c15:ser>
            </c15:filteredScatterSeries>
            <c15:filteredScatterSeries>
              <c15:ser>
                <c:idx val="4"/>
                <c:order val="6"/>
                <c:tx>
                  <c:v>T=5S</c:v>
                </c:tx>
                <c:spPr>
                  <a:ln w="190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'Guwa-HazCur-STGR-2026-08-18'!$AB$22:$AB$36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0.32648066991149999</c:v>
                      </c:pt>
                      <c:pt idx="1">
                        <c:v>0.19136608617100001</c:v>
                      </c:pt>
                      <c:pt idx="2">
                        <c:v>0.104917014481075</c:v>
                      </c:pt>
                      <c:pt idx="3">
                        <c:v>5.3667448957650001E-2</c:v>
                      </c:pt>
                      <c:pt idx="4">
                        <c:v>2.5497052413159995E-2</c:v>
                      </c:pt>
                      <c:pt idx="5">
                        <c:v>1.1178542018675502E-2</c:v>
                      </c:pt>
                      <c:pt idx="6">
                        <c:v>4.3905689122634897E-3</c:v>
                      </c:pt>
                      <c:pt idx="7">
                        <c:v>1.4696333507219434E-3</c:v>
                      </c:pt>
                      <c:pt idx="8">
                        <c:v>3.8725175624495313E-4</c:v>
                      </c:pt>
                      <c:pt idx="9">
                        <c:v>6.3535963437255573E-5</c:v>
                      </c:pt>
                      <c:pt idx="10">
                        <c:v>7.0423993794372792E-6</c:v>
                      </c:pt>
                      <c:pt idx="11">
                        <c:v>7.5898397246534947E-7</c:v>
                      </c:pt>
                      <c:pt idx="12">
                        <c:v>7.1861122183356312E-8</c:v>
                      </c:pt>
                      <c:pt idx="13">
                        <c:v>5.6756740886189297E-9</c:v>
                      </c:pt>
                      <c:pt idx="14">
                        <c:v>3.5679416179985008E-10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564-48F1-A1F7-6A2C5792036E}"/>
                  </c:ext>
                </c:extLst>
              </c15:ser>
            </c15:filteredScatterSeries>
            <c15:filteredScatterSeries>
              <c15:ser>
                <c:idx val="5"/>
                <c:order val="7"/>
                <c:tx>
                  <c:v>T=0.05s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'Guwa-HazCur-STGR-2026-08-18'!$G$22:$G$36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2.2815277129939999</c:v>
                      </c:pt>
                      <c:pt idx="1">
                        <c:v>1.7890982219953753</c:v>
                      </c:pt>
                      <c:pt idx="2">
                        <c:v>1.2964682484623753</c:v>
                      </c:pt>
                      <c:pt idx="3">
                        <c:v>0.86546130940740007</c:v>
                      </c:pt>
                      <c:pt idx="4">
                        <c:v>0.53354621297006999</c:v>
                      </c:pt>
                      <c:pt idx="5">
                        <c:v>0.30412979896560494</c:v>
                      </c:pt>
                      <c:pt idx="6">
                        <c:v>0.16081228573862477</c:v>
                      </c:pt>
                      <c:pt idx="7">
                        <c:v>7.8913221359105307E-2</c:v>
                      </c:pt>
                      <c:pt idx="8">
                        <c:v>3.5269893479312614E-2</c:v>
                      </c:pt>
                      <c:pt idx="9">
                        <c:v>1.3819512403335222E-2</c:v>
                      </c:pt>
                      <c:pt idx="10">
                        <c:v>4.463578788071877E-3</c:v>
                      </c:pt>
                      <c:pt idx="11">
                        <c:v>1.0869999517308044E-3</c:v>
                      </c:pt>
                      <c:pt idx="12">
                        <c:v>1.9285991217750671E-4</c:v>
                      </c:pt>
                      <c:pt idx="13">
                        <c:v>2.4036992119876187E-5</c:v>
                      </c:pt>
                      <c:pt idx="14">
                        <c:v>1.9801814417879219E-6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64-48F1-A1F7-6A2C5792036E}"/>
                  </c:ext>
                </c:extLst>
              </c15:ser>
            </c15:filteredScatterSeries>
            <c15:filteredScatterSeries>
              <c15:ser>
                <c:idx val="6"/>
                <c:order val="8"/>
                <c:tx>
                  <c:v>T=0.5s</c:v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'Guwa-HazCur-STGR-2026-08-18'!$P$22:$P$36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2.3759428602999999</c:v>
                      </c:pt>
                      <c:pt idx="1">
                        <c:v>1.8177334935830003</c:v>
                      </c:pt>
                      <c:pt idx="2">
                        <c:v>1.2670870719430001</c:v>
                      </c:pt>
                      <c:pt idx="3">
                        <c:v>0.80777391999750003</c:v>
                      </c:pt>
                      <c:pt idx="4">
                        <c:v>0.47413868388707503</c:v>
                      </c:pt>
                      <c:pt idx="5">
                        <c:v>0.25808931470578</c:v>
                      </c:pt>
                      <c:pt idx="6">
                        <c:v>0.13098682143499601</c:v>
                      </c:pt>
                      <c:pt idx="7">
                        <c:v>6.202276948160295E-2</c:v>
                      </c:pt>
                      <c:pt idx="8">
                        <c:v>2.7185642163896045E-2</c:v>
                      </c:pt>
                      <c:pt idx="9">
                        <c:v>1.0842914572805916E-2</c:v>
                      </c:pt>
                      <c:pt idx="10">
                        <c:v>3.8114412229398867E-3</c:v>
                      </c:pt>
                      <c:pt idx="11">
                        <c:v>1.1130574987891805E-3</c:v>
                      </c:pt>
                      <c:pt idx="12">
                        <c:v>2.5967360314379449E-4</c:v>
                      </c:pt>
                      <c:pt idx="13">
                        <c:v>4.7221894354924152E-5</c:v>
                      </c:pt>
                      <c:pt idx="14">
                        <c:v>5.9576261592661615E-6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64-48F1-A1F7-6A2C5792036E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3100528800544533"/>
          <c:y val="4.4762590056346203E-2"/>
          <c:w val="0.37763752407836454"/>
          <c:h val="0.2088859868891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'Guwa-HazCur-STGR-2026-08-18'!$E$45:$E$52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9DB-9388-F7921CE1E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'Guwa-HazCur-STGR-2026-08-18'!$V$22:$V$36</c:f>
              <c:numCache>
                <c:formatCode>General</c:formatCode>
                <c:ptCount val="15"/>
                <c:pt idx="0">
                  <c:v>1.6099690386400001</c:v>
                </c:pt>
                <c:pt idx="1">
                  <c:v>1.1155710164070001</c:v>
                </c:pt>
                <c:pt idx="2">
                  <c:v>0.71548380472675011</c:v>
                </c:pt>
                <c:pt idx="3">
                  <c:v>0.42452426546310001</c:v>
                </c:pt>
                <c:pt idx="4">
                  <c:v>0.23316827791115</c:v>
                </c:pt>
                <c:pt idx="5">
                  <c:v>0.11890037484668502</c:v>
                </c:pt>
                <c:pt idx="6">
                  <c:v>5.6602317957639502E-2</c:v>
                </c:pt>
                <c:pt idx="7">
                  <c:v>2.5186231159456458E-2</c:v>
                </c:pt>
                <c:pt idx="8">
                  <c:v>1.0413836413408775E-2</c:v>
                </c:pt>
                <c:pt idx="9">
                  <c:v>3.9401273713886333E-3</c:v>
                </c:pt>
                <c:pt idx="10">
                  <c:v>1.3124825074664612E-3</c:v>
                </c:pt>
                <c:pt idx="11">
                  <c:v>3.5049982153296405E-4</c:v>
                </c:pt>
                <c:pt idx="12">
                  <c:v>7.0798486282776533E-5</c:v>
                </c:pt>
                <c:pt idx="13">
                  <c:v>1.0257195708863561E-5</c:v>
                </c:pt>
                <c:pt idx="14">
                  <c:v>9.3055770825418224E-7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9DB-9388-F7921CE1EDA6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'Guwa-HazCur-STGR-2026-08-18'!$B$91:$J$91</c:f>
              <c:numCache>
                <c:formatCode>General</c:formatCode>
                <c:ptCount val="9"/>
                <c:pt idx="0">
                  <c:v>5.2293892505633002E-2</c:v>
                </c:pt>
                <c:pt idx="1">
                  <c:v>9.1064584612919997E-2</c:v>
                </c:pt>
                <c:pt idx="2">
                  <c:v>0.12191817478853099</c:v>
                </c:pt>
                <c:pt idx="3">
                  <c:v>0.172158491209953</c:v>
                </c:pt>
                <c:pt idx="4">
                  <c:v>0.26363969697801198</c:v>
                </c:pt>
                <c:pt idx="5">
                  <c:v>0.305479555921292</c:v>
                </c:pt>
                <c:pt idx="6">
                  <c:v>0.426834471978288</c:v>
                </c:pt>
                <c:pt idx="7">
                  <c:v>0.57765356581347205</c:v>
                </c:pt>
                <c:pt idx="8">
                  <c:v>0.74716675566533297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9DB-9388-F7921CE1EDA6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D2-49DB-9388-F7921CE1EDA6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D2-49DB-9388-F7921CE1E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i="0"/>
                  <a:t>Sa(T=1s)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1872814888180707"/>
          <c:y val="4.4762590056346203E-2"/>
          <c:w val="0.42979515516293065"/>
          <c:h val="0.181978017117455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'Guwa-HazCur-STGR-2026-08-18'!$F$45:$F$52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0.33333333333333331</c:v>
                </c:pt>
                <c:pt idx="3">
                  <c:v>0.39999999999999997</c:v>
                </c:pt>
                <c:pt idx="4">
                  <c:v>0.41666666666666663</c:v>
                </c:pt>
                <c:pt idx="5">
                  <c:v>0.5</c:v>
                </c:pt>
                <c:pt idx="6">
                  <c:v>0.62666666666666659</c:v>
                </c:pt>
                <c:pt idx="7">
                  <c:v>0.75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6-4FFE-8407-7F7690D69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'Guwa-HazCur-STGR-2026-08-18'!$X$22:$X$36</c:f>
              <c:numCache>
                <c:formatCode>General</c:formatCode>
                <c:ptCount val="15"/>
                <c:pt idx="0">
                  <c:v>1.1283892528949999</c:v>
                </c:pt>
                <c:pt idx="1">
                  <c:v>0.74094042503174995</c:v>
                </c:pt>
                <c:pt idx="2">
                  <c:v>0.45335419077900002</c:v>
                </c:pt>
                <c:pt idx="3">
                  <c:v>0.25822650812725001</c:v>
                </c:pt>
                <c:pt idx="4">
                  <c:v>0.13664076125657501</c:v>
                </c:pt>
                <c:pt idx="5">
                  <c:v>6.7253646898984998E-2</c:v>
                </c:pt>
                <c:pt idx="6">
                  <c:v>3.0952278962506751E-2</c:v>
                </c:pt>
                <c:pt idx="7">
                  <c:v>1.328473910985894E-2</c:v>
                </c:pt>
                <c:pt idx="8">
                  <c:v>5.2627893132981057E-3</c:v>
                </c:pt>
                <c:pt idx="9">
                  <c:v>1.882150942757595E-3</c:v>
                </c:pt>
                <c:pt idx="10">
                  <c:v>5.5790330594414881E-4</c:v>
                </c:pt>
                <c:pt idx="11">
                  <c:v>1.1551613931830739E-4</c:v>
                </c:pt>
                <c:pt idx="12">
                  <c:v>1.629444560897116E-5</c:v>
                </c:pt>
                <c:pt idx="13">
                  <c:v>1.541085954805529E-6</c:v>
                </c:pt>
                <c:pt idx="14">
                  <c:v>8.7381978734988919E-8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F6-4FFE-8407-7F7690D6926A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'Guwa-HazCur-STGR-2026-08-18'!$B$94:$J$94</c:f>
              <c:numCache>
                <c:formatCode>General</c:formatCode>
                <c:ptCount val="9"/>
                <c:pt idx="0">
                  <c:v>3.3486886000579003E-2</c:v>
                </c:pt>
                <c:pt idx="1">
                  <c:v>5.9594458260840998E-2</c:v>
                </c:pt>
                <c:pt idx="2">
                  <c:v>8.0547131615930995E-2</c:v>
                </c:pt>
                <c:pt idx="3">
                  <c:v>0.11528852544931099</c:v>
                </c:pt>
                <c:pt idx="4">
                  <c:v>0.181452564394496</c:v>
                </c:pt>
                <c:pt idx="5">
                  <c:v>0.213195345470754</c:v>
                </c:pt>
                <c:pt idx="6">
                  <c:v>0.30794023513923302</c:v>
                </c:pt>
                <c:pt idx="7">
                  <c:v>0.43256041752329799</c:v>
                </c:pt>
                <c:pt idx="8">
                  <c:v>0.57806747652811596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F6-4FFE-8407-7F7690D6926A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F6-4FFE-8407-7F7690D6926A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F6-4FFE-8407-7F7690D69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Sa(T=1.5s)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2928233513165357"/>
          <c:y val="4.4762590056346203E-2"/>
          <c:w val="0.41924098078577987"/>
          <c:h val="0.166820234209549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'Guwa-HazCur-STGR-2026-08-18'!$G$45:$G$52</c:f>
              <c:numCache>
                <c:formatCode>0.000</c:formatCode>
                <c:ptCount val="8"/>
                <c:pt idx="0">
                  <c:v>0.1875</c:v>
                </c:pt>
                <c:pt idx="1">
                  <c:v>0.22500000000000001</c:v>
                </c:pt>
                <c:pt idx="2">
                  <c:v>0.25</c:v>
                </c:pt>
                <c:pt idx="3">
                  <c:v>0.3</c:v>
                </c:pt>
                <c:pt idx="4">
                  <c:v>0.3125</c:v>
                </c:pt>
                <c:pt idx="5">
                  <c:v>0.375</c:v>
                </c:pt>
                <c:pt idx="6">
                  <c:v>0.47</c:v>
                </c:pt>
                <c:pt idx="7">
                  <c:v>0.5625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D8-476D-B742-969E7355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'Guwa-HazCur-STGR-2026-08-18'!$Y$22:$Y$36</c:f>
              <c:numCache>
                <c:formatCode>General</c:formatCode>
                <c:ptCount val="15"/>
                <c:pt idx="0">
                  <c:v>0.8252682126467501</c:v>
                </c:pt>
                <c:pt idx="1">
                  <c:v>0.52237100018924998</c:v>
                </c:pt>
                <c:pt idx="2">
                  <c:v>0.30897280516275005</c:v>
                </c:pt>
                <c:pt idx="3">
                  <c:v>0.17009741181772497</c:v>
                </c:pt>
                <c:pt idx="4">
                  <c:v>8.7087099928760028E-2</c:v>
                </c:pt>
                <c:pt idx="5">
                  <c:v>4.1584398988727005E-2</c:v>
                </c:pt>
                <c:pt idx="6">
                  <c:v>1.8538856397435053E-2</c:v>
                </c:pt>
                <c:pt idx="7">
                  <c:v>7.6525984743297899E-3</c:v>
                </c:pt>
                <c:pt idx="8">
                  <c:v>2.8781335806520886E-3</c:v>
                </c:pt>
                <c:pt idx="9">
                  <c:v>9.3319916048413977E-4</c:v>
                </c:pt>
                <c:pt idx="10">
                  <c:v>2.2354585758141814E-4</c:v>
                </c:pt>
                <c:pt idx="11">
                  <c:v>3.6252516219223534E-5</c:v>
                </c:pt>
                <c:pt idx="12">
                  <c:v>4.0719654467637818E-6</c:v>
                </c:pt>
                <c:pt idx="13">
                  <c:v>2.8278841597032556E-7</c:v>
                </c:pt>
                <c:pt idx="14">
                  <c:v>1.1638559354507031E-8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D8-476D-B742-969E7355BD10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'Guwa-HazCur-STGR-2026-08-18'!$B$97:$J$97</c:f>
              <c:numCache>
                <c:formatCode>General</c:formatCode>
                <c:ptCount val="9"/>
                <c:pt idx="0">
                  <c:v>2.4702999504088E-2</c:v>
                </c:pt>
                <c:pt idx="1">
                  <c:v>4.4748869882656001E-2</c:v>
                </c:pt>
                <c:pt idx="2">
                  <c:v>6.1009352382924001E-2</c:v>
                </c:pt>
                <c:pt idx="3">
                  <c:v>8.7903875669160997E-2</c:v>
                </c:pt>
                <c:pt idx="4">
                  <c:v>0.137771126536268</c:v>
                </c:pt>
                <c:pt idx="5">
                  <c:v>0.161164194566945</c:v>
                </c:pt>
                <c:pt idx="6">
                  <c:v>0.230078042282644</c:v>
                </c:pt>
                <c:pt idx="7">
                  <c:v>0.31776596549538499</c:v>
                </c:pt>
                <c:pt idx="8">
                  <c:v>0.41572709488854198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D8-476D-B742-969E7355BD10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D8-476D-B742-969E7355BD10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D8-476D-B742-969E7355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Sa(T=2s)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6637005133879927"/>
          <c:y val="4.4762590056346203E-2"/>
          <c:w val="0.4821532527059384"/>
          <c:h val="0.15290597589832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'Delhi-HazCur-STGR-2026-08-18'!$D$45:$D$52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'Delhi-HazCur-STGR-2026-08-18'!$B$22:$B$36</c:f>
              <c:numCache>
                <c:formatCode>General</c:formatCode>
                <c:ptCount val="15"/>
                <c:pt idx="0">
                  <c:v>1.16356896782625</c:v>
                </c:pt>
                <c:pt idx="1">
                  <c:v>0.72430252060000011</c:v>
                </c:pt>
                <c:pt idx="2">
                  <c:v>0.42608756448625007</c:v>
                </c:pt>
                <c:pt idx="3">
                  <c:v>0.24089774554843749</c:v>
                </c:pt>
                <c:pt idx="4">
                  <c:v>0.12974508709118751</c:v>
                </c:pt>
                <c:pt idx="5">
                  <c:v>6.5948004701095006E-2</c:v>
                </c:pt>
                <c:pt idx="6">
                  <c:v>3.1181496382830305E-2</c:v>
                </c:pt>
                <c:pt idx="7">
                  <c:v>1.3500927036748435E-2</c:v>
                </c:pt>
                <c:pt idx="8">
                  <c:v>5.2710874611305164E-3</c:v>
                </c:pt>
                <c:pt idx="9">
                  <c:v>1.8087746711000709E-3</c:v>
                </c:pt>
                <c:pt idx="10">
                  <c:v>5.25473435073283E-4</c:v>
                </c:pt>
                <c:pt idx="11">
                  <c:v>1.2789260422609909E-4</c:v>
                </c:pt>
                <c:pt idx="12">
                  <c:v>2.7385264232728809E-5</c:v>
                </c:pt>
                <c:pt idx="13">
                  <c:v>5.023810005429764E-6</c:v>
                </c:pt>
                <c:pt idx="14">
                  <c:v>6.4568454965701326E-7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8-4B5C-9C21-2F880A48A918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'Delhi-HazCur-STGR-2026-08-18'!$B$71:$J$71</c:f>
              <c:numCache>
                <c:formatCode>General</c:formatCode>
                <c:ptCount val="9"/>
                <c:pt idx="0">
                  <c:v>4.0500000000000001E-2</c:v>
                </c:pt>
                <c:pt idx="1">
                  <c:v>7.2300000000000003E-2</c:v>
                </c:pt>
                <c:pt idx="2">
                  <c:v>9.6799999999999997E-2</c:v>
                </c:pt>
                <c:pt idx="3">
                  <c:v>0.1353</c:v>
                </c:pt>
                <c:pt idx="4">
                  <c:v>0.2049</c:v>
                </c:pt>
                <c:pt idx="5">
                  <c:v>0.23699999999999999</c:v>
                </c:pt>
                <c:pt idx="6">
                  <c:v>0.33300000000000002</c:v>
                </c:pt>
                <c:pt idx="7">
                  <c:v>0.46029999999999999</c:v>
                </c:pt>
                <c:pt idx="8">
                  <c:v>0.61229999999999996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8-4B5C-9C21-2F880A48A91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C8-4B5C-9C21-2F880A48A91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8737307438052777"/>
          <c:y val="4.4762590056346203E-2"/>
          <c:w val="0.36115032897912941"/>
          <c:h val="0.177652546491876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'Delhi-HazCur-STGR-2026-08-18'!$E$45:$E$52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'Delhi-HazCur-STGR-2026-08-18'!$V$22:$V$36</c:f>
              <c:numCache>
                <c:formatCode>General</c:formatCode>
                <c:ptCount val="15"/>
                <c:pt idx="0">
                  <c:v>0.73477551536250008</c:v>
                </c:pt>
                <c:pt idx="1">
                  <c:v>0.44931719373374995</c:v>
                </c:pt>
                <c:pt idx="2">
                  <c:v>0.25943709501375001</c:v>
                </c:pt>
                <c:pt idx="3">
                  <c:v>0.14062680148187501</c:v>
                </c:pt>
                <c:pt idx="4">
                  <c:v>7.1469710974624998E-2</c:v>
                </c:pt>
                <c:pt idx="5">
                  <c:v>3.3815342609124999E-2</c:v>
                </c:pt>
                <c:pt idx="6">
                  <c:v>1.491457377981875E-2</c:v>
                </c:pt>
                <c:pt idx="7">
                  <c:v>6.1296069944133131E-3</c:v>
                </c:pt>
                <c:pt idx="8">
                  <c:v>2.3172760562817515E-3</c:v>
                </c:pt>
                <c:pt idx="9">
                  <c:v>7.9798833229515029E-4</c:v>
                </c:pt>
                <c:pt idx="10">
                  <c:v>2.6237842864944337E-4</c:v>
                </c:pt>
                <c:pt idx="11">
                  <c:v>8.1902152893118104E-5</c:v>
                </c:pt>
                <c:pt idx="12">
                  <c:v>2.398442998791043E-5</c:v>
                </c:pt>
                <c:pt idx="13">
                  <c:v>6.3054469087848905E-6</c:v>
                </c:pt>
                <c:pt idx="14">
                  <c:v>1.3193823591893911E-6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12-4CF3-B0E7-D338990274F4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'Delhi-HazCur-STGR-2026-08-18'!$B$76:$J$76</c:f>
              <c:numCache>
                <c:formatCode>0.00000</c:formatCode>
                <c:ptCount val="9"/>
                <c:pt idx="0">
                  <c:v>3.0534253552491002E-2</c:v>
                </c:pt>
                <c:pt idx="1">
                  <c:v>5.2247799204166001E-2</c:v>
                </c:pt>
                <c:pt idx="2">
                  <c:v>6.8864213966061003E-2</c:v>
                </c:pt>
                <c:pt idx="3">
                  <c:v>9.4689758228719001E-2</c:v>
                </c:pt>
                <c:pt idx="4">
                  <c:v>0.14097016526665701</c:v>
                </c:pt>
                <c:pt idx="5">
                  <c:v>0.162832985239144</c:v>
                </c:pt>
                <c:pt idx="6">
                  <c:v>0.23135077772705301</c:v>
                </c:pt>
                <c:pt idx="7">
                  <c:v>0.332024386493319</c:v>
                </c:pt>
                <c:pt idx="8">
                  <c:v>0.47259360336538903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12-4CF3-B0E7-D338990274F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12-4CF3-B0E7-D338990274F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4197234689344054"/>
          <c:y val="4.4762590056346203E-2"/>
          <c:w val="0.40655097183969247"/>
          <c:h val="0.20298242881244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'Delhi-HazCur-STGR-2026-08-18'!$F$45:$F$52</c:f>
              <c:numCache>
                <c:formatCode>0.000</c:formatCode>
                <c:ptCount val="8"/>
                <c:pt idx="0">
                  <c:v>0.11666666666666665</c:v>
                </c:pt>
                <c:pt idx="1">
                  <c:v>0.13999999999999999</c:v>
                </c:pt>
                <c:pt idx="2">
                  <c:v>0.15533333333333332</c:v>
                </c:pt>
                <c:pt idx="3">
                  <c:v>0.18666666666666668</c:v>
                </c:pt>
                <c:pt idx="4">
                  <c:v>0.19446666666666668</c:v>
                </c:pt>
                <c:pt idx="5">
                  <c:v>0.23333333333333331</c:v>
                </c:pt>
                <c:pt idx="6">
                  <c:v>0.29333333333333333</c:v>
                </c:pt>
                <c:pt idx="7">
                  <c:v>0.35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'Delhi-HazCur-STGR-2026-08-18'!$X$22:$X$36</c:f>
              <c:numCache>
                <c:formatCode>General</c:formatCode>
                <c:ptCount val="15"/>
                <c:pt idx="0">
                  <c:v>0.47542255677624995</c:v>
                </c:pt>
                <c:pt idx="1">
                  <c:v>0.28643322311250002</c:v>
                </c:pt>
                <c:pt idx="2">
                  <c:v>0.16139346026249998</c:v>
                </c:pt>
                <c:pt idx="3">
                  <c:v>8.5354331085624985E-2</c:v>
                </c:pt>
                <c:pt idx="4">
                  <c:v>4.1723923315625001E-2</c:v>
                </c:pt>
                <c:pt idx="5">
                  <c:v>1.8840590155025004E-2</c:v>
                </c:pt>
                <c:pt idx="6">
                  <c:v>7.9080369701325006E-3</c:v>
                </c:pt>
                <c:pt idx="7">
                  <c:v>3.0639674824661195E-3</c:v>
                </c:pt>
                <c:pt idx="8">
                  <c:v>1.0668507351346962E-3</c:v>
                </c:pt>
                <c:pt idx="9">
                  <c:v>3.4400286377697382E-4</c:v>
                </c:pt>
                <c:pt idx="10">
                  <c:v>1.0523930468713003E-4</c:v>
                </c:pt>
                <c:pt idx="11">
                  <c:v>2.9089631166543549E-5</c:v>
                </c:pt>
                <c:pt idx="12">
                  <c:v>6.9681990102547223E-6</c:v>
                </c:pt>
                <c:pt idx="13">
                  <c:v>1.3401269768957006E-6</c:v>
                </c:pt>
                <c:pt idx="14">
                  <c:v>1.8516221857711584E-7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D-41F7-A175-07B477FE0E24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'Delhi-HazCur-STGR-2026-08-18'!$B$79:$J$79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7D-41F7-A175-07B477FE0E2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7D-41F7-A175-07B477FE0E2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'Delhi-HazCur-STGR-2026-08-18'!$G$45:$G$52</c:f>
              <c:numCache>
                <c:formatCode>0.000</c:formatCode>
                <c:ptCount val="8"/>
                <c:pt idx="0">
                  <c:v>8.7499999999999994E-2</c:v>
                </c:pt>
                <c:pt idx="1">
                  <c:v>0.105</c:v>
                </c:pt>
                <c:pt idx="2">
                  <c:v>0.11650000000000001</c:v>
                </c:pt>
                <c:pt idx="3">
                  <c:v>0.14000000000000001</c:v>
                </c:pt>
                <c:pt idx="4">
                  <c:v>0.14585000000000001</c:v>
                </c:pt>
                <c:pt idx="5">
                  <c:v>0.17499999999999999</c:v>
                </c:pt>
                <c:pt idx="6">
                  <c:v>0.22</c:v>
                </c:pt>
                <c:pt idx="7">
                  <c:v>0.26250000000000001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'Delhi-HazCur-STGR-2026-08-18'!$Y$22:$Y$36</c:f>
              <c:numCache>
                <c:formatCode>General</c:formatCode>
                <c:ptCount val="15"/>
                <c:pt idx="0">
                  <c:v>0.33208457800499996</c:v>
                </c:pt>
                <c:pt idx="1">
                  <c:v>0.195181147365</c:v>
                </c:pt>
                <c:pt idx="2">
                  <c:v>0.10764265272187501</c:v>
                </c:pt>
                <c:pt idx="3">
                  <c:v>5.4924443759687497E-2</c:v>
                </c:pt>
                <c:pt idx="4">
                  <c:v>2.6056663089812502E-2</c:v>
                </c:pt>
                <c:pt idx="5">
                  <c:v>1.1437232583318751E-2</c:v>
                </c:pt>
                <c:pt idx="6">
                  <c:v>4.6417781057983762E-3</c:v>
                </c:pt>
                <c:pt idx="7">
                  <c:v>1.7356211290837252E-3</c:v>
                </c:pt>
                <c:pt idx="8">
                  <c:v>5.9049136886337068E-4</c:v>
                </c:pt>
                <c:pt idx="9">
                  <c:v>1.9902301309554675E-4</c:v>
                </c:pt>
                <c:pt idx="10">
                  <c:v>6.564634446916733E-5</c:v>
                </c:pt>
                <c:pt idx="11">
                  <c:v>2.0520461354738406E-5</c:v>
                </c:pt>
                <c:pt idx="12">
                  <c:v>5.7352619971711532E-6</c:v>
                </c:pt>
                <c:pt idx="13">
                  <c:v>1.2867342221919734E-6</c:v>
                </c:pt>
                <c:pt idx="14">
                  <c:v>2.0844413164008359E-7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6-40B1-89DA-930D37415274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'Delhi-HazCur-STGR-2026-08-18'!$B$82:$J$82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D6-40B1-89DA-930D3741527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D6-40B1-89DA-930D3741527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1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6C3C07-F93F-9F51-FDD5-3CF25350C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B8AC6E-3D40-786B-9734-82A31A53D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299357</xdr:colOff>
      <xdr:row>0</xdr:row>
      <xdr:rowOff>163288</xdr:rowOff>
    </xdr:from>
    <xdr:to>
      <xdr:col>17</xdr:col>
      <xdr:colOff>834118</xdr:colOff>
      <xdr:row>16</xdr:row>
      <xdr:rowOff>68038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55AD66A4-6C6C-40EB-B5E1-25D8F60F3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44823</xdr:colOff>
      <xdr:row>63</xdr:row>
      <xdr:rowOff>140633</xdr:rowOff>
    </xdr:from>
    <xdr:to>
      <xdr:col>5</xdr:col>
      <xdr:colOff>859420</xdr:colOff>
      <xdr:row>77</xdr:row>
      <xdr:rowOff>64795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23" y="12164545"/>
          <a:ext cx="6403930" cy="2591162"/>
        </a:xfrm>
        <a:prstGeom prst="rect">
          <a:avLst/>
        </a:prstGeom>
      </xdr:spPr>
    </xdr:pic>
    <xdr:clientData/>
  </xdr:twoCellAnchor>
  <xdr:twoCellAnchor>
    <xdr:from>
      <xdr:col>10</xdr:col>
      <xdr:colOff>572199</xdr:colOff>
      <xdr:row>42</xdr:row>
      <xdr:rowOff>116834</xdr:rowOff>
    </xdr:from>
    <xdr:to>
      <xdr:col>17</xdr:col>
      <xdr:colOff>233641</xdr:colOff>
      <xdr:row>73</xdr:row>
      <xdr:rowOff>54908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11205</xdr:colOff>
      <xdr:row>41</xdr:row>
      <xdr:rowOff>56030</xdr:rowOff>
    </xdr:from>
    <xdr:to>
      <xdr:col>24</xdr:col>
      <xdr:colOff>724320</xdr:colOff>
      <xdr:row>71</xdr:row>
      <xdr:rowOff>184604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560294</xdr:colOff>
      <xdr:row>75</xdr:row>
      <xdr:rowOff>44824</xdr:rowOff>
    </xdr:from>
    <xdr:to>
      <xdr:col>17</xdr:col>
      <xdr:colOff>220055</xdr:colOff>
      <xdr:row>105</xdr:row>
      <xdr:rowOff>83751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75</xdr:row>
      <xdr:rowOff>0</xdr:rowOff>
    </xdr:from>
    <xdr:to>
      <xdr:col>24</xdr:col>
      <xdr:colOff>713115</xdr:colOff>
      <xdr:row>105</xdr:row>
      <xdr:rowOff>38927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44823</xdr:colOff>
      <xdr:row>84</xdr:row>
      <xdr:rowOff>185458</xdr:rowOff>
    </xdr:from>
    <xdr:to>
      <xdr:col>5</xdr:col>
      <xdr:colOff>89647</xdr:colOff>
      <xdr:row>95</xdr:row>
      <xdr:rowOff>149174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23" y="16557252"/>
          <a:ext cx="5087471" cy="2059216"/>
        </a:xfrm>
        <a:prstGeom prst="rect">
          <a:avLst/>
        </a:prstGeom>
      </xdr:spPr>
    </xdr:pic>
    <xdr:clientData/>
  </xdr:twoCellAnchor>
  <xdr:twoCellAnchor>
    <xdr:from>
      <xdr:col>10</xdr:col>
      <xdr:colOff>392208</xdr:colOff>
      <xdr:row>39</xdr:row>
      <xdr:rowOff>45623</xdr:rowOff>
    </xdr:from>
    <xdr:to>
      <xdr:col>17</xdr:col>
      <xdr:colOff>69652</xdr:colOff>
      <xdr:row>65</xdr:row>
      <xdr:rowOff>79242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537882</xdr:colOff>
      <xdr:row>38</xdr:row>
      <xdr:rowOff>181695</xdr:rowOff>
    </xdr:from>
    <xdr:to>
      <xdr:col>24</xdr:col>
      <xdr:colOff>210523</xdr:colOff>
      <xdr:row>65</xdr:row>
      <xdr:rowOff>24814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381000</xdr:colOff>
      <xdr:row>66</xdr:row>
      <xdr:rowOff>176893</xdr:rowOff>
    </xdr:from>
    <xdr:to>
      <xdr:col>17</xdr:col>
      <xdr:colOff>53640</xdr:colOff>
      <xdr:row>91</xdr:row>
      <xdr:rowOff>74440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489858</xdr:colOff>
      <xdr:row>66</xdr:row>
      <xdr:rowOff>176893</xdr:rowOff>
    </xdr:from>
    <xdr:to>
      <xdr:col>24</xdr:col>
      <xdr:colOff>162499</xdr:colOff>
      <xdr:row>91</xdr:row>
      <xdr:rowOff>74440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9"/>
  <sheetViews>
    <sheetView zoomScale="85" zoomScaleNormal="85" workbookViewId="0">
      <selection activeCell="C45" sqref="C45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80" t="s">
        <v>39</v>
      </c>
      <c r="B50" s="81" t="s">
        <v>44</v>
      </c>
      <c r="C50" s="83" t="s">
        <v>36</v>
      </c>
      <c r="D50" s="85" t="s">
        <v>41</v>
      </c>
      <c r="E50" s="86"/>
    </row>
    <row r="51" spans="1:5" x14ac:dyDescent="0.25">
      <c r="A51" s="80"/>
      <c r="B51" s="82"/>
      <c r="C51" s="84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zoomScale="85" zoomScaleNormal="85" workbookViewId="0">
      <selection activeCell="E16" sqref="E16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C8" sqref="C8"/>
    </sheetView>
  </sheetViews>
  <sheetFormatPr defaultRowHeight="15" x14ac:dyDescent="0.25"/>
  <cols>
    <col min="1" max="1" width="24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ht="23.25" x14ac:dyDescent="0.35">
      <c r="A1" s="51" t="s">
        <v>1</v>
      </c>
      <c r="B1" s="10" t="s">
        <v>46</v>
      </c>
      <c r="C1" s="10" t="s">
        <v>47</v>
      </c>
      <c r="D1" s="10" t="s">
        <v>48</v>
      </c>
      <c r="E1" s="10" t="s">
        <v>49</v>
      </c>
      <c r="F1" s="12" t="s">
        <v>50</v>
      </c>
      <c r="G1" s="10" t="s">
        <v>51</v>
      </c>
      <c r="H1" s="10" t="s">
        <v>52</v>
      </c>
      <c r="I1" s="12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>
        <v>75</v>
      </c>
      <c r="D2">
        <v>175</v>
      </c>
      <c r="E2">
        <v>275</v>
      </c>
      <c r="F2" s="13">
        <v>475</v>
      </c>
      <c r="G2">
        <v>975</v>
      </c>
      <c r="H2">
        <v>1275</v>
      </c>
      <c r="I2" s="13">
        <v>2475</v>
      </c>
      <c r="J2">
        <v>4975</v>
      </c>
      <c r="K2">
        <v>9975</v>
      </c>
    </row>
    <row r="3" spans="1:11" ht="15.75" thickBot="1" x14ac:dyDescent="0.3">
      <c r="A3" s="27" t="s">
        <v>61</v>
      </c>
      <c r="B3" s="10" t="s">
        <v>60</v>
      </c>
      <c r="C3" s="14">
        <f>1/C2</f>
        <v>1.3333333333333334E-2</v>
      </c>
      <c r="D3" s="14">
        <f t="shared" ref="D3:K3" si="0">1/D2</f>
        <v>5.7142857142857143E-3</v>
      </c>
      <c r="E3" s="14">
        <f t="shared" si="0"/>
        <v>3.6363636363636364E-3</v>
      </c>
      <c r="F3" s="15">
        <f t="shared" si="0"/>
        <v>2.1052631578947368E-3</v>
      </c>
      <c r="G3" s="14">
        <f t="shared" si="0"/>
        <v>1.0256410256410256E-3</v>
      </c>
      <c r="H3" s="14">
        <f t="shared" si="0"/>
        <v>7.8431372549019605E-4</v>
      </c>
      <c r="I3" s="15">
        <f t="shared" si="0"/>
        <v>4.0404040404040404E-4</v>
      </c>
      <c r="J3" s="14">
        <f t="shared" si="0"/>
        <v>2.0100502512562814E-4</v>
      </c>
      <c r="K3" s="14">
        <f t="shared" si="0"/>
        <v>1.0025062656641604E-4</v>
      </c>
    </row>
    <row r="4" spans="1:11" x14ac:dyDescent="0.25">
      <c r="A4" s="87" t="s">
        <v>72</v>
      </c>
      <c r="B4" s="16" t="s">
        <v>56</v>
      </c>
      <c r="C4" s="17">
        <v>2.1899999999999999E-2</v>
      </c>
      <c r="D4" s="17">
        <v>3.4599999999999999E-2</v>
      </c>
      <c r="E4" s="17">
        <v>4.36E-2</v>
      </c>
      <c r="F4" s="18">
        <v>5.6899999999999999E-2</v>
      </c>
      <c r="G4" s="17">
        <v>7.8299999999999995E-2</v>
      </c>
      <c r="H4" s="17">
        <v>8.6900000000000005E-2</v>
      </c>
      <c r="I4" s="18">
        <v>0.11119999999999999</v>
      </c>
      <c r="J4" s="17">
        <v>0.14269999999999999</v>
      </c>
      <c r="K4" s="19">
        <v>0.1822</v>
      </c>
    </row>
    <row r="5" spans="1:11" x14ac:dyDescent="0.25">
      <c r="A5" s="88"/>
      <c r="B5" s="20" t="s">
        <v>57</v>
      </c>
      <c r="C5" s="3">
        <v>4.0500000000000001E-2</v>
      </c>
      <c r="D5" s="3">
        <v>7.2300000000000003E-2</v>
      </c>
      <c r="E5" s="3">
        <v>9.6799999999999997E-2</v>
      </c>
      <c r="F5" s="21">
        <v>0.1353</v>
      </c>
      <c r="G5" s="3">
        <v>0.2049</v>
      </c>
      <c r="H5" s="3">
        <v>0.23699999999999999</v>
      </c>
      <c r="I5" s="21">
        <v>0.33300000000000002</v>
      </c>
      <c r="J5" s="3">
        <v>0.46029999999999999</v>
      </c>
      <c r="K5" s="22">
        <v>0.61229999999999996</v>
      </c>
    </row>
    <row r="6" spans="1:11" ht="15.75" thickBot="1" x14ac:dyDescent="0.3">
      <c r="A6" s="89"/>
      <c r="B6" s="23" t="s">
        <v>58</v>
      </c>
      <c r="C6" s="24">
        <v>7.6499999999999999E-2</v>
      </c>
      <c r="D6" s="24">
        <v>0.13089999999999999</v>
      </c>
      <c r="E6" s="24">
        <v>0.1736</v>
      </c>
      <c r="F6" s="25">
        <v>0.2392</v>
      </c>
      <c r="G6" s="24">
        <v>0.34949999999999998</v>
      </c>
      <c r="H6" s="24">
        <v>0.39689999999999998</v>
      </c>
      <c r="I6" s="25">
        <v>0.52990000000000004</v>
      </c>
      <c r="J6" s="24">
        <v>0.69689999999999996</v>
      </c>
      <c r="K6" s="26">
        <v>0.89090000000000003</v>
      </c>
    </row>
    <row r="8" spans="1:11" x14ac:dyDescent="0.25">
      <c r="A8" s="28" t="s">
        <v>98</v>
      </c>
      <c r="B8" s="11" t="s">
        <v>58</v>
      </c>
      <c r="C8" s="36">
        <f t="shared" ref="C8:K8" ca="1" si="1">EXP(_xlfn.FORECAST.LINEAR(LN(C3),OFFSET($D$17,MATCH(LN(C3),$E$17:$E$56,-1)-1, 0, 2),OFFSET($E$17,MATCH(LN(C3),$E$17:$E$56,-1)-1, 0, 2)))</f>
        <v>0.17867739752642309</v>
      </c>
      <c r="D8" s="36">
        <f t="shared" ca="1" si="1"/>
        <v>0.28442291031123901</v>
      </c>
      <c r="E8" s="36">
        <f t="shared" ca="1" si="1"/>
        <v>0.35460621855982061</v>
      </c>
      <c r="F8" s="39">
        <f t="shared" ca="1" si="1"/>
        <v>0.45815856043204828</v>
      </c>
      <c r="G8" s="36">
        <f t="shared" ca="1" si="1"/>
        <v>0.60789625946555659</v>
      </c>
      <c r="H8" s="36">
        <f t="shared" ca="1" si="1"/>
        <v>0.67552947356117743</v>
      </c>
      <c r="I8" s="39">
        <f t="shared" ca="1" si="1"/>
        <v>0.86448020839074347</v>
      </c>
      <c r="J8" s="36">
        <f t="shared" ca="1" si="1"/>
        <v>1.0861546848248769</v>
      </c>
      <c r="K8" s="36">
        <f t="shared" ca="1" si="1"/>
        <v>1.3635444334267732</v>
      </c>
    </row>
    <row r="9" spans="1:11" x14ac:dyDescent="0.25">
      <c r="A9" s="28" t="s">
        <v>69</v>
      </c>
      <c r="B9" s="11" t="s">
        <v>58</v>
      </c>
      <c r="C9" s="36">
        <v>0.3</v>
      </c>
      <c r="D9" s="36">
        <v>0.375</v>
      </c>
      <c r="E9" s="36">
        <v>0.45</v>
      </c>
      <c r="F9" s="39">
        <v>0.5</v>
      </c>
      <c r="G9" s="36">
        <v>0.6</v>
      </c>
      <c r="H9" s="36">
        <v>0.625</v>
      </c>
      <c r="I9" s="39">
        <v>0.75</v>
      </c>
      <c r="J9" s="36">
        <v>0.94</v>
      </c>
      <c r="K9" s="36">
        <v>1.125</v>
      </c>
    </row>
    <row r="10" spans="1:11" x14ac:dyDescent="0.25">
      <c r="A10" s="41" t="s">
        <v>73</v>
      </c>
      <c r="B10" s="42" t="s">
        <v>58</v>
      </c>
      <c r="C10" s="43"/>
      <c r="D10" s="43"/>
      <c r="E10" s="43"/>
      <c r="F10" s="44">
        <v>0.39</v>
      </c>
      <c r="G10" s="43"/>
      <c r="H10" s="43"/>
      <c r="I10" s="44">
        <v>0.77</v>
      </c>
      <c r="J10" s="36"/>
      <c r="K10" s="36"/>
    </row>
    <row r="11" spans="1:11" x14ac:dyDescent="0.25">
      <c r="A11" s="40" t="s">
        <v>70</v>
      </c>
      <c r="B11" s="11" t="s">
        <v>58</v>
      </c>
      <c r="E11" s="35"/>
      <c r="F11" s="38">
        <f ca="1">(F8-F6)/F6</f>
        <v>0.91537859712394765</v>
      </c>
      <c r="I11" s="38">
        <f ca="1">(I8-I6)/I6</f>
        <v>0.63140254461359391</v>
      </c>
    </row>
    <row r="12" spans="1:11" x14ac:dyDescent="0.25">
      <c r="A12" s="40" t="s">
        <v>71</v>
      </c>
      <c r="B12" s="11" t="s">
        <v>58</v>
      </c>
      <c r="F12" s="38">
        <f ca="1">(F9-F8)/F8</f>
        <v>9.1325237988557517E-2</v>
      </c>
      <c r="I12" s="38">
        <f ca="1">(I9-I8)/I8</f>
        <v>-0.13242663889766995</v>
      </c>
    </row>
    <row r="13" spans="1:11" ht="15.75" thickBot="1" x14ac:dyDescent="0.3">
      <c r="A13" s="40"/>
      <c r="B13" s="11"/>
      <c r="F13" s="38"/>
      <c r="I13" s="38"/>
    </row>
    <row r="14" spans="1:11" x14ac:dyDescent="0.25">
      <c r="B14" s="90" t="s">
        <v>62</v>
      </c>
      <c r="C14" s="91"/>
    </row>
    <row r="15" spans="1:11" x14ac:dyDescent="0.25">
      <c r="B15" s="30" t="s">
        <v>0</v>
      </c>
      <c r="C15" s="31" t="s">
        <v>1</v>
      </c>
      <c r="D15" s="37" t="s">
        <v>67</v>
      </c>
      <c r="E15" s="37" t="s">
        <v>68</v>
      </c>
    </row>
    <row r="16" spans="1:11" x14ac:dyDescent="0.25">
      <c r="B16" s="32" t="s">
        <v>63</v>
      </c>
      <c r="C16" s="33" t="s">
        <v>64</v>
      </c>
      <c r="D16" s="29" t="s">
        <v>65</v>
      </c>
      <c r="E16" s="29" t="s">
        <v>66</v>
      </c>
    </row>
    <row r="17" spans="2:5" x14ac:dyDescent="0.25">
      <c r="B17">
        <v>1E-3</v>
      </c>
      <c r="C17">
        <v>2.1312701615552503</v>
      </c>
      <c r="D17" s="34">
        <f>LN(B17)</f>
        <v>-6.9077552789821368</v>
      </c>
      <c r="E17" s="34">
        <f>LN(C17)</f>
        <v>0.75671812197221755</v>
      </c>
    </row>
    <row r="18" spans="2:5" x14ac:dyDescent="0.25">
      <c r="B18">
        <v>1.8374400000000001E-3</v>
      </c>
      <c r="C18">
        <v>1.6199987672975</v>
      </c>
      <c r="D18" s="34">
        <f t="shared" ref="D18:D31" si="2">LN(B18)</f>
        <v>-6.2993819804716296</v>
      </c>
      <c r="E18" s="34">
        <f t="shared" ref="E18:E31" si="3">LN(C18)</f>
        <v>0.48242538831653409</v>
      </c>
    </row>
    <row r="19" spans="2:5" x14ac:dyDescent="0.25">
      <c r="B19">
        <v>3.37617E-3</v>
      </c>
      <c r="C19">
        <v>1.1306651352853749</v>
      </c>
      <c r="D19" s="34">
        <f t="shared" si="2"/>
        <v>-5.6910133480659821</v>
      </c>
      <c r="E19" s="34">
        <f t="shared" si="3"/>
        <v>0.12280607485500615</v>
      </c>
    </row>
    <row r="20" spans="2:5" x14ac:dyDescent="0.25">
      <c r="B20">
        <v>6.2034899999999999E-3</v>
      </c>
      <c r="C20">
        <v>0.72412785882087505</v>
      </c>
      <c r="D20" s="34">
        <f t="shared" si="2"/>
        <v>-5.0826432420758767</v>
      </c>
      <c r="E20" s="34">
        <f t="shared" si="3"/>
        <v>-0.32278730160714852</v>
      </c>
    </row>
    <row r="21" spans="2:5" x14ac:dyDescent="0.25">
      <c r="B21">
        <v>1.1398500000000001E-2</v>
      </c>
      <c r="C21">
        <v>0.42673315898874753</v>
      </c>
      <c r="D21" s="34">
        <f t="shared" si="2"/>
        <v>-4.4742735111863245</v>
      </c>
      <c r="E21" s="34">
        <f t="shared" si="3"/>
        <v>-0.8515963814987132</v>
      </c>
    </row>
    <row r="22" spans="2:5" x14ac:dyDescent="0.25">
      <c r="B22">
        <v>2.09441E-2</v>
      </c>
      <c r="C22">
        <v>0.23222993279245127</v>
      </c>
      <c r="D22" s="34">
        <f t="shared" si="2"/>
        <v>-3.8658982951888641</v>
      </c>
      <c r="E22" s="34">
        <f t="shared" si="3"/>
        <v>-1.4600273084982514</v>
      </c>
    </row>
    <row r="23" spans="2:5" x14ac:dyDescent="0.25">
      <c r="B23">
        <v>3.8483299999999998E-2</v>
      </c>
      <c r="C23">
        <v>0.11738344911526809</v>
      </c>
      <c r="D23" s="34">
        <f t="shared" si="2"/>
        <v>-3.2575308980259514</v>
      </c>
      <c r="E23" s="34">
        <f t="shared" si="3"/>
        <v>-2.1423093601017835</v>
      </c>
    </row>
    <row r="24" spans="2:5" x14ac:dyDescent="0.25">
      <c r="B24">
        <v>7.0710700000000001E-2</v>
      </c>
      <c r="C24">
        <v>5.4654558448240555E-2</v>
      </c>
      <c r="D24" s="34">
        <f t="shared" si="2"/>
        <v>-2.6491583738251139</v>
      </c>
      <c r="E24" s="34">
        <f t="shared" si="3"/>
        <v>-2.9067226561594572</v>
      </c>
    </row>
    <row r="25" spans="2:5" x14ac:dyDescent="0.25">
      <c r="B25">
        <v>0.12992600000000001</v>
      </c>
      <c r="C25">
        <v>2.2812588272380176E-2</v>
      </c>
      <c r="D25" s="34">
        <f t="shared" si="2"/>
        <v>-2.0407902213691274</v>
      </c>
      <c r="E25" s="34">
        <f t="shared" si="3"/>
        <v>-3.7804427781727137</v>
      </c>
    </row>
    <row r="26" spans="2:5" x14ac:dyDescent="0.25">
      <c r="B26">
        <v>0.238731</v>
      </c>
      <c r="C26">
        <v>8.1814487195800614E-3</v>
      </c>
      <c r="D26" s="34">
        <f t="shared" si="2"/>
        <v>-1.4324178839398778</v>
      </c>
      <c r="E26" s="34">
        <f t="shared" si="3"/>
        <v>-4.805886038965598</v>
      </c>
    </row>
    <row r="27" spans="2:5" x14ac:dyDescent="0.25">
      <c r="B27">
        <v>0.43865300000000002</v>
      </c>
      <c r="C27">
        <v>2.3515541229573991E-3</v>
      </c>
      <c r="D27" s="34">
        <f t="shared" si="2"/>
        <v>-0.82404661126550938</v>
      </c>
      <c r="E27" s="34">
        <f t="shared" si="3"/>
        <v>-6.0526788404896319</v>
      </c>
    </row>
    <row r="28" spans="2:5" x14ac:dyDescent="0.25">
      <c r="B28">
        <v>0.80599699999999996</v>
      </c>
      <c r="C28">
        <v>5.0057823607384375E-4</v>
      </c>
      <c r="D28" s="34">
        <f t="shared" si="2"/>
        <v>-0.21567525856680303</v>
      </c>
      <c r="E28" s="34">
        <f t="shared" si="3"/>
        <v>-7.5997466555931901</v>
      </c>
    </row>
    <row r="29" spans="2:5" x14ac:dyDescent="0.25">
      <c r="B29">
        <v>1.4809699999999999</v>
      </c>
      <c r="C29">
        <v>7.7867155937875465E-5</v>
      </c>
      <c r="D29" s="34">
        <f t="shared" si="2"/>
        <v>0.39269727849710473</v>
      </c>
      <c r="E29" s="34">
        <f t="shared" si="3"/>
        <v>-9.4605063122493096</v>
      </c>
    </row>
    <row r="30" spans="2:5" x14ac:dyDescent="0.25">
      <c r="B30">
        <v>2.7211799999999999</v>
      </c>
      <c r="C30">
        <v>8.2645346739632316E-6</v>
      </c>
      <c r="D30" s="34">
        <f t="shared" si="2"/>
        <v>1.0010656097630972</v>
      </c>
      <c r="E30" s="34">
        <f t="shared" si="3"/>
        <v>-11.703537129067133</v>
      </c>
    </row>
    <row r="31" spans="2:5" x14ac:dyDescent="0.25">
      <c r="B31">
        <v>5</v>
      </c>
      <c r="C31">
        <v>5.6149103500747975E-7</v>
      </c>
      <c r="D31" s="34">
        <f t="shared" si="2"/>
        <v>1.6094379124341003</v>
      </c>
      <c r="E31" s="34">
        <f t="shared" si="3"/>
        <v>-14.392670029044119</v>
      </c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7"/>
  <sheetViews>
    <sheetView topLeftCell="A52" zoomScale="85" zoomScaleNormal="85" workbookViewId="0">
      <selection activeCell="A81" sqref="A81"/>
    </sheetView>
  </sheetViews>
  <sheetFormatPr defaultRowHeight="15" x14ac:dyDescent="0.25"/>
  <cols>
    <col min="1" max="1" width="20.570312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50" t="s">
        <v>0</v>
      </c>
      <c r="B1" s="50" t="s">
        <v>2</v>
      </c>
      <c r="C1" s="50" t="s">
        <v>3</v>
      </c>
      <c r="D1" s="50" t="s">
        <v>4</v>
      </c>
      <c r="E1" s="50" t="s">
        <v>5</v>
      </c>
      <c r="F1" s="50" t="s">
        <v>6</v>
      </c>
      <c r="G1" s="50" t="s">
        <v>7</v>
      </c>
      <c r="H1" s="50" t="s">
        <v>8</v>
      </c>
      <c r="I1" s="50" t="s">
        <v>74</v>
      </c>
      <c r="J1" s="50" t="s">
        <v>11</v>
      </c>
      <c r="K1" s="50" t="s">
        <v>12</v>
      </c>
      <c r="L1" s="50" t="s">
        <v>13</v>
      </c>
      <c r="M1" s="50" t="s">
        <v>14</v>
      </c>
      <c r="N1" s="50" t="s">
        <v>16</v>
      </c>
      <c r="O1" s="50" t="s">
        <v>17</v>
      </c>
      <c r="P1" s="50" t="s">
        <v>75</v>
      </c>
      <c r="Q1" s="50" t="s">
        <v>18</v>
      </c>
      <c r="R1" s="50" t="s">
        <v>76</v>
      </c>
      <c r="S1" s="50" t="s">
        <v>77</v>
      </c>
      <c r="T1" s="50" t="s">
        <v>19</v>
      </c>
      <c r="U1" s="50" t="s">
        <v>78</v>
      </c>
      <c r="V1" s="50" t="s">
        <v>79</v>
      </c>
      <c r="W1" s="50" t="s">
        <v>80</v>
      </c>
      <c r="X1" s="50" t="s">
        <v>21</v>
      </c>
      <c r="Y1" s="50" t="s">
        <v>81</v>
      </c>
      <c r="Z1" s="50" t="s">
        <v>82</v>
      </c>
      <c r="AA1" s="50" t="s">
        <v>83</v>
      </c>
      <c r="AB1" s="50" t="s">
        <v>84</v>
      </c>
    </row>
    <row r="2" spans="1:28" x14ac:dyDescent="0.25">
      <c r="A2">
        <v>1E-3</v>
      </c>
      <c r="B2">
        <v>1.1520379251650001</v>
      </c>
      <c r="C2">
        <v>1.15944758665</v>
      </c>
      <c r="D2">
        <v>1.1664071841700001</v>
      </c>
      <c r="E2">
        <v>1.18698131277</v>
      </c>
      <c r="F2">
        <v>1.2071843649449998</v>
      </c>
      <c r="G2">
        <v>1.23325822324</v>
      </c>
      <c r="H2">
        <v>1.2672344774200002</v>
      </c>
      <c r="I2">
        <v>1.31469271109</v>
      </c>
      <c r="J2">
        <v>1.3520612277549999</v>
      </c>
      <c r="K2">
        <v>1.3737715533900001</v>
      </c>
      <c r="L2">
        <v>1.4204102681949999</v>
      </c>
      <c r="M2">
        <v>1.4298506795950001</v>
      </c>
      <c r="N2">
        <v>1.4112350416000004</v>
      </c>
      <c r="O2">
        <v>1.3587292273</v>
      </c>
      <c r="P2">
        <v>1.284293438</v>
      </c>
      <c r="Q2">
        <v>1.1930242301500003</v>
      </c>
      <c r="R2">
        <v>1.1083527585500001</v>
      </c>
      <c r="S2">
        <v>1.0648009442499999</v>
      </c>
      <c r="T2">
        <v>1.0285329437000001</v>
      </c>
      <c r="U2">
        <v>0.95487614215000005</v>
      </c>
      <c r="V2">
        <v>0.87025353439999997</v>
      </c>
      <c r="W2">
        <v>0.76625743290000004</v>
      </c>
      <c r="X2">
        <v>0.60994013669999991</v>
      </c>
      <c r="Y2">
        <v>0.44609092575500003</v>
      </c>
      <c r="Z2">
        <v>0.35634912497999999</v>
      </c>
      <c r="AA2">
        <v>0.27150184569500002</v>
      </c>
      <c r="AB2">
        <v>0.17647603778999998</v>
      </c>
    </row>
    <row r="3" spans="1:28" x14ac:dyDescent="0.25">
      <c r="A3">
        <v>1.8374400000000001E-3</v>
      </c>
      <c r="B3">
        <v>0.87567500934999998</v>
      </c>
      <c r="C3">
        <v>0.88527766728500001</v>
      </c>
      <c r="D3">
        <v>0.89445749423500009</v>
      </c>
      <c r="E3">
        <v>0.91864478061999999</v>
      </c>
      <c r="F3">
        <v>0.94213932462750005</v>
      </c>
      <c r="G3">
        <v>0.9670801199975001</v>
      </c>
      <c r="H3">
        <v>1.0038740289000001</v>
      </c>
      <c r="I3">
        <v>1.049624725395</v>
      </c>
      <c r="J3">
        <v>1.0886768567100003</v>
      </c>
      <c r="K3">
        <v>1.1131237058350001</v>
      </c>
      <c r="L3">
        <v>1.15125963801</v>
      </c>
      <c r="M3">
        <v>1.1528745280699999</v>
      </c>
      <c r="N3">
        <v>1.1239855946800001</v>
      </c>
      <c r="O3">
        <v>1.0642224013599999</v>
      </c>
      <c r="P3">
        <v>0.98255864518000013</v>
      </c>
      <c r="Q3">
        <v>0.89207794379999994</v>
      </c>
      <c r="R3">
        <v>0.81285701510000008</v>
      </c>
      <c r="S3">
        <v>0.77389645425000009</v>
      </c>
      <c r="T3">
        <v>0.74051830080000003</v>
      </c>
      <c r="U3">
        <v>0.67435056032999996</v>
      </c>
      <c r="V3">
        <v>0.60301136022000001</v>
      </c>
      <c r="W3">
        <v>0.51998186550499992</v>
      </c>
      <c r="X3">
        <v>0.40050833785499995</v>
      </c>
      <c r="Y3">
        <v>0.28236270280499998</v>
      </c>
      <c r="Z3">
        <v>0.22028138289999999</v>
      </c>
      <c r="AA3">
        <v>0.16291261730000001</v>
      </c>
      <c r="AB3">
        <v>0.10344112766000001</v>
      </c>
    </row>
    <row r="4" spans="1:28" x14ac:dyDescent="0.25">
      <c r="A4">
        <v>3.37617E-3</v>
      </c>
      <c r="B4">
        <v>0.61117034339749998</v>
      </c>
      <c r="C4">
        <v>0.62108222304749994</v>
      </c>
      <c r="D4">
        <v>0.63066356565750004</v>
      </c>
      <c r="E4">
        <v>0.65459673935000007</v>
      </c>
      <c r="F4">
        <v>0.67779009860250006</v>
      </c>
      <c r="G4">
        <v>0.70079364781750009</v>
      </c>
      <c r="H4">
        <v>0.73848193633000003</v>
      </c>
      <c r="I4">
        <v>0.78209382086500012</v>
      </c>
      <c r="J4">
        <v>0.81856162246499997</v>
      </c>
      <c r="K4">
        <v>0.84183698428249998</v>
      </c>
      <c r="L4">
        <v>0.87005445030500006</v>
      </c>
      <c r="M4">
        <v>0.86509941549000013</v>
      </c>
      <c r="N4">
        <v>0.82438269222000016</v>
      </c>
      <c r="O4">
        <v>0.76096134624</v>
      </c>
      <c r="P4">
        <v>0.68491193078000001</v>
      </c>
      <c r="Q4">
        <v>0.60983457629999993</v>
      </c>
      <c r="R4">
        <v>0.54512680081500009</v>
      </c>
      <c r="S4">
        <v>0.51453142348000003</v>
      </c>
      <c r="T4">
        <v>0.48878427732000002</v>
      </c>
      <c r="U4">
        <v>0.43882039377500004</v>
      </c>
      <c r="V4">
        <v>0.38674800255500003</v>
      </c>
      <c r="W4">
        <v>0.32769262271499999</v>
      </c>
      <c r="X4">
        <v>0.24505631934</v>
      </c>
      <c r="Y4">
        <v>0.16701232711500003</v>
      </c>
      <c r="Z4">
        <v>0.12731906916999999</v>
      </c>
      <c r="AA4">
        <v>9.1453810520000012E-2</v>
      </c>
      <c r="AB4">
        <v>5.6711899719499997E-2</v>
      </c>
    </row>
    <row r="5" spans="1:28" x14ac:dyDescent="0.25">
      <c r="A5">
        <v>6.2034899999999999E-3</v>
      </c>
      <c r="B5">
        <v>0.39142046422749999</v>
      </c>
      <c r="C5">
        <v>0.40005766240700003</v>
      </c>
      <c r="D5">
        <v>0.40847437240000001</v>
      </c>
      <c r="E5">
        <v>0.42874661726999996</v>
      </c>
      <c r="F5">
        <v>0.44851636151399998</v>
      </c>
      <c r="G5">
        <v>0.46781692400399999</v>
      </c>
      <c r="H5">
        <v>0.50176628585700001</v>
      </c>
      <c r="I5">
        <v>0.54030139065825</v>
      </c>
      <c r="J5">
        <v>0.57146067908599996</v>
      </c>
      <c r="K5">
        <v>0.59134046696749998</v>
      </c>
      <c r="L5">
        <v>0.60892232169250005</v>
      </c>
      <c r="M5">
        <v>0.59810526501600003</v>
      </c>
      <c r="N5">
        <v>0.55135347843000004</v>
      </c>
      <c r="O5">
        <v>0.49561002592500003</v>
      </c>
      <c r="P5">
        <v>0.43663455135000001</v>
      </c>
      <c r="Q5">
        <v>0.38258329328500007</v>
      </c>
      <c r="R5">
        <v>0.33643959025000003</v>
      </c>
      <c r="S5">
        <v>0.31501939899499998</v>
      </c>
      <c r="T5">
        <v>0.29752696790499999</v>
      </c>
      <c r="U5">
        <v>0.26390803828999998</v>
      </c>
      <c r="V5">
        <v>0.22947257592600001</v>
      </c>
      <c r="W5">
        <v>0.19149565476800001</v>
      </c>
      <c r="X5">
        <v>0.13958189628500001</v>
      </c>
      <c r="Y5">
        <v>9.1944546928499987E-2</v>
      </c>
      <c r="Z5">
        <v>6.8591455156999992E-2</v>
      </c>
      <c r="AA5">
        <v>4.7943623120000001E-2</v>
      </c>
      <c r="AB5">
        <v>2.9009431868999999E-2</v>
      </c>
    </row>
    <row r="6" spans="1:28" x14ac:dyDescent="0.25">
      <c r="A6">
        <v>1.1398500000000001E-2</v>
      </c>
      <c r="B6">
        <v>0.23066657242635</v>
      </c>
      <c r="C6">
        <v>0.23727186833824998</v>
      </c>
      <c r="D6">
        <v>0.24375618571005001</v>
      </c>
      <c r="E6">
        <v>0.25890052021995003</v>
      </c>
      <c r="F6">
        <v>0.27382095158545</v>
      </c>
      <c r="G6">
        <v>0.28840335836219999</v>
      </c>
      <c r="H6">
        <v>0.31489950923370003</v>
      </c>
      <c r="I6">
        <v>0.3455333429802</v>
      </c>
      <c r="J6">
        <v>0.36951739639710002</v>
      </c>
      <c r="K6">
        <v>0.38482285147384998</v>
      </c>
      <c r="L6">
        <v>0.39366864712160005</v>
      </c>
      <c r="M6">
        <v>0.3804471470934</v>
      </c>
      <c r="N6">
        <v>0.33738192498700004</v>
      </c>
      <c r="O6">
        <v>0.29586508814349999</v>
      </c>
      <c r="P6">
        <v>0.2562911804795</v>
      </c>
      <c r="Q6">
        <v>0.22158817864050001</v>
      </c>
      <c r="R6">
        <v>0.192007418726</v>
      </c>
      <c r="S6">
        <v>0.17838151724500001</v>
      </c>
      <c r="T6">
        <v>0.1676274350045</v>
      </c>
      <c r="U6">
        <v>0.14695537271050002</v>
      </c>
      <c r="V6">
        <v>0.126036906979</v>
      </c>
      <c r="W6">
        <v>0.10369435394050001</v>
      </c>
      <c r="X6">
        <v>7.3859870949500001E-2</v>
      </c>
      <c r="Y6">
        <v>4.707410806960001E-2</v>
      </c>
      <c r="Z6">
        <v>3.43357962275E-2</v>
      </c>
      <c r="AA6">
        <v>2.3413943549100001E-2</v>
      </c>
      <c r="AB6">
        <v>1.3782190493599997E-2</v>
      </c>
    </row>
    <row r="7" spans="1:28" x14ac:dyDescent="0.25">
      <c r="A7">
        <v>2.09441E-2</v>
      </c>
      <c r="B7">
        <v>0.125529693401325</v>
      </c>
      <c r="C7">
        <v>0.12998557359106799</v>
      </c>
      <c r="D7">
        <v>0.13439796378452901</v>
      </c>
      <c r="E7">
        <v>0.14444708915562299</v>
      </c>
      <c r="F7">
        <v>0.154487812990799</v>
      </c>
      <c r="G7">
        <v>0.16439448592735401</v>
      </c>
      <c r="H7">
        <v>0.182471515296211</v>
      </c>
      <c r="I7">
        <v>0.20406582826025699</v>
      </c>
      <c r="J7">
        <v>0.22043519958513003</v>
      </c>
      <c r="K7">
        <v>0.23099287953706799</v>
      </c>
      <c r="L7">
        <v>0.23431021771586003</v>
      </c>
      <c r="M7">
        <v>0.22262472117496002</v>
      </c>
      <c r="N7">
        <v>0.18971698128699999</v>
      </c>
      <c r="O7">
        <v>0.16305696304649997</v>
      </c>
      <c r="P7">
        <v>0.13950773767880001</v>
      </c>
      <c r="Q7">
        <v>0.11915801276089999</v>
      </c>
      <c r="R7">
        <v>0.10176090017320001</v>
      </c>
      <c r="S7">
        <v>9.3793409478699991E-2</v>
      </c>
      <c r="T7">
        <v>8.7699532885800013E-2</v>
      </c>
      <c r="U7">
        <v>7.5975354460399991E-2</v>
      </c>
      <c r="V7">
        <v>6.4270472890100003E-2</v>
      </c>
      <c r="W7">
        <v>5.2183095906399996E-2</v>
      </c>
      <c r="X7">
        <v>3.6353322648099998E-2</v>
      </c>
      <c r="Y7">
        <v>2.247805350742E-2</v>
      </c>
      <c r="Z7">
        <v>1.6018534038380002E-2</v>
      </c>
      <c r="AA7">
        <v>1.0693527922790002E-2</v>
      </c>
      <c r="AB7">
        <v>6.0424551452300003E-3</v>
      </c>
    </row>
    <row r="8" spans="1:28" x14ac:dyDescent="0.25">
      <c r="A8">
        <v>3.8483299999999998E-2</v>
      </c>
      <c r="B8">
        <v>6.3450513035280043E-2</v>
      </c>
      <c r="C8">
        <v>6.6162381284889091E-2</v>
      </c>
      <c r="D8">
        <v>6.8862670525355274E-2</v>
      </c>
      <c r="E8">
        <v>7.4859672499355795E-2</v>
      </c>
      <c r="F8">
        <v>8.0909005028593634E-2</v>
      </c>
      <c r="G8">
        <v>8.6925559858716084E-2</v>
      </c>
      <c r="H8">
        <v>9.7643619369218615E-2</v>
      </c>
      <c r="I8">
        <v>0.11105235016494935</v>
      </c>
      <c r="J8">
        <v>0.12083606617016093</v>
      </c>
      <c r="K8">
        <v>0.127272745380311</v>
      </c>
      <c r="L8">
        <v>0.12800186900686714</v>
      </c>
      <c r="M8">
        <v>0.1199421214242781</v>
      </c>
      <c r="N8">
        <v>9.8731642312309992E-2</v>
      </c>
      <c r="O8">
        <v>8.3599671170260015E-2</v>
      </c>
      <c r="P8">
        <v>7.0803687262160006E-2</v>
      </c>
      <c r="Q8">
        <v>5.9740151997150007E-2</v>
      </c>
      <c r="R8">
        <v>5.0276198266939999E-2</v>
      </c>
      <c r="S8">
        <v>4.5991248077640004E-2</v>
      </c>
      <c r="T8">
        <v>4.2793349657809995E-2</v>
      </c>
      <c r="U8">
        <v>3.6648738845909995E-2</v>
      </c>
      <c r="V8">
        <v>3.0595847544669999E-2</v>
      </c>
      <c r="W8">
        <v>2.4529166030312001E-2</v>
      </c>
      <c r="X8">
        <v>1.6730961601355E-2</v>
      </c>
      <c r="Y8">
        <v>1.0021003458073E-2</v>
      </c>
      <c r="Z8">
        <v>6.9761254691320003E-3</v>
      </c>
      <c r="AA8">
        <v>4.5771411964179998E-3</v>
      </c>
      <c r="AB8">
        <v>2.3732804931153998E-3</v>
      </c>
    </row>
    <row r="9" spans="1:28" x14ac:dyDescent="0.25">
      <c r="A9">
        <v>7.0710700000000001E-2</v>
      </c>
      <c r="B9">
        <v>2.9543004566616515E-2</v>
      </c>
      <c r="C9">
        <v>3.1064538173917744E-2</v>
      </c>
      <c r="D9">
        <v>3.2588324094340919E-2</v>
      </c>
      <c r="E9">
        <v>3.5913073867259962E-2</v>
      </c>
      <c r="F9">
        <v>3.9286775455443845E-2</v>
      </c>
      <c r="G9">
        <v>4.2655795329246113E-2</v>
      </c>
      <c r="H9">
        <v>4.8384221589950538E-2</v>
      </c>
      <c r="I9">
        <v>5.5811029839166415E-2</v>
      </c>
      <c r="J9">
        <v>6.0898471691806205E-2</v>
      </c>
      <c r="K9">
        <v>6.4345060369658064E-2</v>
      </c>
      <c r="L9">
        <v>6.436588366539156E-2</v>
      </c>
      <c r="M9">
        <v>5.9847860893614116E-2</v>
      </c>
      <c r="N9">
        <v>4.7824923052238094E-2</v>
      </c>
      <c r="O9">
        <v>3.99908644227343E-2</v>
      </c>
      <c r="P9">
        <v>3.3525821341406997E-2</v>
      </c>
      <c r="Q9">
        <v>2.7908664549455002E-2</v>
      </c>
      <c r="R9">
        <v>2.3149070165924702E-2</v>
      </c>
      <c r="S9">
        <v>2.1036881865443002E-2</v>
      </c>
      <c r="T9">
        <v>1.94831512490427E-2</v>
      </c>
      <c r="U9">
        <v>1.6506548368479798E-2</v>
      </c>
      <c r="V9">
        <v>1.3614179005111599E-2</v>
      </c>
      <c r="W9">
        <v>1.0764906212067899E-2</v>
      </c>
      <c r="X9">
        <v>7.1809400593832104E-3</v>
      </c>
      <c r="Y9">
        <v>4.1365397158539402E-3</v>
      </c>
      <c r="Z9">
        <v>2.7958904974326199E-3</v>
      </c>
      <c r="AA9">
        <v>1.7999890250643062E-3</v>
      </c>
      <c r="AB9">
        <v>7.9439640579564497E-4</v>
      </c>
    </row>
    <row r="10" spans="1:28" x14ac:dyDescent="0.25">
      <c r="A10">
        <v>0.12992600000000001</v>
      </c>
      <c r="B10">
        <v>1.2331128795881175E-2</v>
      </c>
      <c r="C10">
        <v>1.31021773022874E-2</v>
      </c>
      <c r="D10">
        <v>1.3881563933272476E-2</v>
      </c>
      <c r="E10">
        <v>1.5577452016957663E-2</v>
      </c>
      <c r="F10">
        <v>1.7315698421592973E-2</v>
      </c>
      <c r="G10">
        <v>1.9064807286114926E-2</v>
      </c>
      <c r="H10">
        <v>2.1925254604014031E-2</v>
      </c>
      <c r="I10">
        <v>2.571677724912716E-2</v>
      </c>
      <c r="J10">
        <v>2.8113476460624447E-2</v>
      </c>
      <c r="K10">
        <v>2.978476211928326E-2</v>
      </c>
      <c r="L10">
        <v>2.9757396967003351E-2</v>
      </c>
      <c r="M10">
        <v>2.7577647706099842E-2</v>
      </c>
      <c r="N10">
        <v>2.1453922257177134E-2</v>
      </c>
      <c r="O10">
        <v>1.7734861892490357E-2</v>
      </c>
      <c r="P10">
        <v>1.4694941710214078E-2</v>
      </c>
      <c r="Q10">
        <v>1.2048510097551639E-2</v>
      </c>
      <c r="R10">
        <v>9.8620670303235965E-3</v>
      </c>
      <c r="S10">
        <v>8.9189276350509841E-3</v>
      </c>
      <c r="T10">
        <v>8.2255269314638162E-3</v>
      </c>
      <c r="U10">
        <v>6.8977564292984211E-3</v>
      </c>
      <c r="V10">
        <v>5.6291007640047429E-3</v>
      </c>
      <c r="W10">
        <v>4.3818937812587421E-3</v>
      </c>
      <c r="X10">
        <v>2.8447509801611381E-3</v>
      </c>
      <c r="Y10">
        <v>1.5557478814335612E-3</v>
      </c>
      <c r="Z10">
        <v>1.0068383972470368E-3</v>
      </c>
      <c r="AA10">
        <v>6.2558555976524924E-4</v>
      </c>
      <c r="AB10">
        <v>2.093252736459206E-4</v>
      </c>
    </row>
    <row r="11" spans="1:28" x14ac:dyDescent="0.25">
      <c r="A11">
        <v>0.238731</v>
      </c>
      <c r="B11">
        <v>4.4224047132865197E-3</v>
      </c>
      <c r="C11">
        <v>4.7576173510792009E-3</v>
      </c>
      <c r="D11">
        <v>5.1015410107805477E-3</v>
      </c>
      <c r="E11">
        <v>5.8617122891692405E-3</v>
      </c>
      <c r="F11">
        <v>6.6560421067872258E-3</v>
      </c>
      <c r="G11">
        <v>7.4700067045055246E-3</v>
      </c>
      <c r="H11">
        <v>8.7929664940105644E-3</v>
      </c>
      <c r="I11">
        <v>1.0570722195437039E-2</v>
      </c>
      <c r="J11">
        <v>1.1636026922551492E-2</v>
      </c>
      <c r="K11">
        <v>1.2396389238208275E-2</v>
      </c>
      <c r="L11">
        <v>1.2449242402866687E-2</v>
      </c>
      <c r="M11">
        <v>1.1530258087303347E-2</v>
      </c>
      <c r="N11">
        <v>8.756473572983467E-3</v>
      </c>
      <c r="O11">
        <v>7.1680472623681579E-3</v>
      </c>
      <c r="P11">
        <v>5.861034904219414E-3</v>
      </c>
      <c r="Q11">
        <v>4.72189734462966E-3</v>
      </c>
      <c r="R11">
        <v>3.822280714957966E-3</v>
      </c>
      <c r="S11">
        <v>3.448436616964895E-3</v>
      </c>
      <c r="T11">
        <v>3.1695584711958881E-3</v>
      </c>
      <c r="U11">
        <v>2.6341227371230514E-3</v>
      </c>
      <c r="V11">
        <v>2.1297985791289909E-3</v>
      </c>
      <c r="W11">
        <v>1.6303489769963317E-3</v>
      </c>
      <c r="X11">
        <v>1.0173788879770784E-3</v>
      </c>
      <c r="Y11">
        <v>5.0443197864007551E-4</v>
      </c>
      <c r="Z11">
        <v>2.9885918205939632E-4</v>
      </c>
      <c r="AA11">
        <v>1.6923637797550942E-4</v>
      </c>
      <c r="AB11">
        <v>3.4343764020138144E-5</v>
      </c>
    </row>
    <row r="12" spans="1:28" x14ac:dyDescent="0.25">
      <c r="A12">
        <v>0.43865300000000002</v>
      </c>
      <c r="B12">
        <v>1.2711103367337292E-3</v>
      </c>
      <c r="C12">
        <v>1.3875544622937623E-3</v>
      </c>
      <c r="D12">
        <v>1.5096567413156689E-3</v>
      </c>
      <c r="E12">
        <v>1.7905327205370413E-3</v>
      </c>
      <c r="F12">
        <v>2.0930103920366169E-3</v>
      </c>
      <c r="G12">
        <v>2.4127452908496629E-3</v>
      </c>
      <c r="H12">
        <v>2.9607803321940766E-3</v>
      </c>
      <c r="I12">
        <v>3.7008195528572324E-3</v>
      </c>
      <c r="J12">
        <v>4.1539499827213987E-3</v>
      </c>
      <c r="K12">
        <v>4.4841209906131135E-3</v>
      </c>
      <c r="L12">
        <v>4.5793320627839258E-3</v>
      </c>
      <c r="M12">
        <v>4.2416169634926712E-3</v>
      </c>
      <c r="N12">
        <v>3.1507556799234377E-3</v>
      </c>
      <c r="O12">
        <v>2.5579383294583148E-3</v>
      </c>
      <c r="P12">
        <v>2.0602384988864251E-3</v>
      </c>
      <c r="Q12">
        <v>1.6228005685172248E-3</v>
      </c>
      <c r="R12">
        <v>1.3027610969147251E-3</v>
      </c>
      <c r="S12">
        <v>1.1763615484329251E-3</v>
      </c>
      <c r="T12">
        <v>1.0791445211352751E-3</v>
      </c>
      <c r="U12">
        <v>8.8904761693142501E-4</v>
      </c>
      <c r="V12">
        <v>7.0945000403592495E-4</v>
      </c>
      <c r="W12">
        <v>5.2939873639228996E-4</v>
      </c>
      <c r="X12">
        <v>3.0156935456440476E-4</v>
      </c>
      <c r="Y12">
        <v>1.2083559869265844E-4</v>
      </c>
      <c r="Z12">
        <v>5.8949399596572507E-5</v>
      </c>
      <c r="AA12">
        <v>2.7040077406744099E-5</v>
      </c>
      <c r="AB12">
        <v>3.8067023672633939E-6</v>
      </c>
    </row>
    <row r="13" spans="1:28" x14ac:dyDescent="0.25">
      <c r="A13">
        <v>0.80599699999999996</v>
      </c>
      <c r="B13">
        <v>2.7058283031018579E-4</v>
      </c>
      <c r="C13">
        <v>2.9907934244590773E-4</v>
      </c>
      <c r="D13">
        <v>3.2987233635685983E-4</v>
      </c>
      <c r="E13">
        <v>4.0637601391678365E-4</v>
      </c>
      <c r="F13">
        <v>4.9245373490152506E-4</v>
      </c>
      <c r="G13">
        <v>5.8756754147611047E-4</v>
      </c>
      <c r="H13">
        <v>7.6707066721047026E-4</v>
      </c>
      <c r="I13">
        <v>1.0253641140716072E-3</v>
      </c>
      <c r="J13">
        <v>1.2003924064879642E-3</v>
      </c>
      <c r="K13">
        <v>1.330982058842644E-3</v>
      </c>
      <c r="L13">
        <v>1.4108032956846096E-3</v>
      </c>
      <c r="M13">
        <v>1.299451793729724E-3</v>
      </c>
      <c r="N13">
        <v>9.4215928076251711E-4</v>
      </c>
      <c r="O13">
        <v>7.6282600716135742E-4</v>
      </c>
      <c r="P13">
        <v>6.0165270204820564E-4</v>
      </c>
      <c r="Q13">
        <v>4.5953963100488877E-4</v>
      </c>
      <c r="R13">
        <v>3.6713112689190554E-4</v>
      </c>
      <c r="S13">
        <v>3.314525320597271E-4</v>
      </c>
      <c r="T13">
        <v>3.0243489910438922E-4</v>
      </c>
      <c r="U13">
        <v>2.4430109378237416E-4</v>
      </c>
      <c r="V13">
        <v>1.8945936299079137E-4</v>
      </c>
      <c r="W13">
        <v>1.3283011277091263E-4</v>
      </c>
      <c r="X13">
        <v>6.2441156388274259E-5</v>
      </c>
      <c r="Y13">
        <v>1.95959547130938E-5</v>
      </c>
      <c r="Z13">
        <v>7.3971833719988009E-6</v>
      </c>
      <c r="AA13">
        <v>2.6896305251897846E-6</v>
      </c>
      <c r="AB13">
        <v>4.1026160673802671E-7</v>
      </c>
    </row>
    <row r="14" spans="1:28" x14ac:dyDescent="0.25">
      <c r="A14">
        <v>1.4809699999999999</v>
      </c>
      <c r="B14">
        <v>4.209035456101376E-5</v>
      </c>
      <c r="C14">
        <v>4.6882080915915572E-5</v>
      </c>
      <c r="D14">
        <v>5.2224292247538324E-5</v>
      </c>
      <c r="E14">
        <v>6.6934035687062158E-5</v>
      </c>
      <c r="F14">
        <v>8.4245787377757846E-5</v>
      </c>
      <c r="G14">
        <v>1.0424860117703065E-4</v>
      </c>
      <c r="H14">
        <v>1.4406860866138016E-4</v>
      </c>
      <c r="I14">
        <v>2.1432189147092462E-4</v>
      </c>
      <c r="J14">
        <v>2.6837506269306597E-4</v>
      </c>
      <c r="K14">
        <v>3.107442107335407E-4</v>
      </c>
      <c r="L14">
        <v>3.5037022721657587E-4</v>
      </c>
      <c r="M14">
        <v>3.1427724306846739E-4</v>
      </c>
      <c r="N14">
        <v>2.2149747105636551E-4</v>
      </c>
      <c r="O14">
        <v>1.8436553894435933E-4</v>
      </c>
      <c r="P14">
        <v>1.4036410980745648E-4</v>
      </c>
      <c r="Q14">
        <v>1.0399894302133892E-4</v>
      </c>
      <c r="R14">
        <v>8.2997927073619659E-5</v>
      </c>
      <c r="S14">
        <v>7.4204355513916574E-5</v>
      </c>
      <c r="T14">
        <v>6.6575667967378491E-5</v>
      </c>
      <c r="U14">
        <v>5.1420910285100395E-5</v>
      </c>
      <c r="V14">
        <v>3.8269452044744067E-5</v>
      </c>
      <c r="W14">
        <v>2.3903353736113485E-5</v>
      </c>
      <c r="X14">
        <v>8.8078084372817085E-6</v>
      </c>
      <c r="Y14">
        <v>2.2010624036560982E-6</v>
      </c>
      <c r="Z14">
        <v>6.5561337208388541E-7</v>
      </c>
      <c r="AA14">
        <v>1.9362627668754777E-7</v>
      </c>
      <c r="AB14">
        <v>3.8843849828841249E-8</v>
      </c>
    </row>
    <row r="15" spans="1:28" x14ac:dyDescent="0.25">
      <c r="A15">
        <v>2.7211799999999999</v>
      </c>
      <c r="B15">
        <v>4.4673160399801254E-6</v>
      </c>
      <c r="C15">
        <v>5.0161299588670201E-6</v>
      </c>
      <c r="D15">
        <v>5.6512801746441752E-6</v>
      </c>
      <c r="E15">
        <v>7.6077650947474702E-6</v>
      </c>
      <c r="F15">
        <v>1.0037196124851301E-5</v>
      </c>
      <c r="G15">
        <v>1.2992968713446587E-5</v>
      </c>
      <c r="H15">
        <v>1.9544112529261169E-5</v>
      </c>
      <c r="I15">
        <v>3.3187788341532339E-5</v>
      </c>
      <c r="J15">
        <v>4.5587150594900051E-5</v>
      </c>
      <c r="K15">
        <v>5.619942960403277E-5</v>
      </c>
      <c r="L15">
        <v>6.8905415876023795E-5</v>
      </c>
      <c r="M15">
        <v>5.9062643550473936E-5</v>
      </c>
      <c r="N15">
        <v>4.0488907450115995E-5</v>
      </c>
      <c r="O15">
        <v>3.5332705638205751E-5</v>
      </c>
      <c r="P15">
        <v>2.5525348299959001E-5</v>
      </c>
      <c r="Q15">
        <v>1.8196938366426249E-5</v>
      </c>
      <c r="R15">
        <v>1.416072887865071E-5</v>
      </c>
      <c r="S15">
        <v>1.2398424606525713E-5</v>
      </c>
      <c r="T15">
        <v>1.0842645624553564E-5</v>
      </c>
      <c r="U15">
        <v>7.9083182194127357E-6</v>
      </c>
      <c r="V15">
        <v>5.5444301128992218E-6</v>
      </c>
      <c r="W15">
        <v>2.9899021418472002E-6</v>
      </c>
      <c r="X15">
        <v>8.3301943503001566E-7</v>
      </c>
      <c r="Y15">
        <v>1.52858603227203E-7</v>
      </c>
      <c r="Z15">
        <v>3.6602156100923455E-8</v>
      </c>
      <c r="AA15">
        <v>9.187228588889841E-9</v>
      </c>
      <c r="AB15">
        <v>3.067931939794016E-9</v>
      </c>
    </row>
    <row r="16" spans="1:28" x14ac:dyDescent="0.25">
      <c r="A16">
        <v>5</v>
      </c>
      <c r="B16">
        <v>3.0350866757161069E-7</v>
      </c>
      <c r="C16">
        <v>3.4476627618729436E-7</v>
      </c>
      <c r="D16">
        <v>3.944805833578699E-7</v>
      </c>
      <c r="E16">
        <v>5.6254381318612799E-7</v>
      </c>
      <c r="F16">
        <v>7.8431049750238457E-7</v>
      </c>
      <c r="G16">
        <v>1.0703683469123901E-6</v>
      </c>
      <c r="H16">
        <v>1.7745057317394651E-6</v>
      </c>
      <c r="I16">
        <v>3.4851220107591998E-6</v>
      </c>
      <c r="J16">
        <v>5.3619978150059511E-6</v>
      </c>
      <c r="K16">
        <v>7.1703749286430493E-6</v>
      </c>
      <c r="L16">
        <v>9.704202436362199E-6</v>
      </c>
      <c r="M16">
        <v>7.8781381315572329E-6</v>
      </c>
      <c r="N16">
        <v>5.2080373196755142E-6</v>
      </c>
      <c r="O16">
        <v>4.7797939792886195E-6</v>
      </c>
      <c r="P16">
        <v>3.2203384644681954E-6</v>
      </c>
      <c r="Q16">
        <v>2.1583307601271773E-6</v>
      </c>
      <c r="R16">
        <v>1.5893729025977157E-6</v>
      </c>
      <c r="S16">
        <v>1.3476542770577082E-6</v>
      </c>
      <c r="T16">
        <v>1.1399057655984406E-6</v>
      </c>
      <c r="U16">
        <v>7.7645246029628177E-7</v>
      </c>
      <c r="V16">
        <v>5.0300416662388229E-7</v>
      </c>
      <c r="W16">
        <v>2.2990863929521537E-7</v>
      </c>
      <c r="X16">
        <v>4.7233502018912927E-8</v>
      </c>
      <c r="Y16">
        <v>6.2911131645983949E-9</v>
      </c>
      <c r="Z16">
        <v>1.3297567105226485E-9</v>
      </c>
      <c r="AA16">
        <v>3.2871649071285201E-10</v>
      </c>
      <c r="AB16">
        <v>1.9286170908100002E-10</v>
      </c>
    </row>
    <row r="19" spans="1:28" x14ac:dyDescent="0.25">
      <c r="A19" s="45" t="s">
        <v>86</v>
      </c>
      <c r="B19" s="45">
        <v>1.85</v>
      </c>
    </row>
    <row r="20" spans="1:28" x14ac:dyDescent="0.25">
      <c r="A20" s="46" t="s">
        <v>87</v>
      </c>
      <c r="B20" s="46"/>
    </row>
    <row r="21" spans="1:28" x14ac:dyDescent="0.25">
      <c r="A21" s="50" t="s">
        <v>0</v>
      </c>
      <c r="B21" s="50" t="s">
        <v>2</v>
      </c>
      <c r="C21" s="50" t="s">
        <v>3</v>
      </c>
      <c r="D21" s="50" t="s">
        <v>4</v>
      </c>
      <c r="E21" s="50" t="s">
        <v>5</v>
      </c>
      <c r="F21" s="50" t="s">
        <v>6</v>
      </c>
      <c r="G21" s="50" t="s">
        <v>7</v>
      </c>
      <c r="H21" s="50" t="s">
        <v>8</v>
      </c>
      <c r="I21" s="50" t="s">
        <v>74</v>
      </c>
      <c r="J21" s="50" t="s">
        <v>11</v>
      </c>
      <c r="K21" s="50" t="s">
        <v>12</v>
      </c>
      <c r="L21" s="50" t="s">
        <v>13</v>
      </c>
      <c r="M21" s="50" t="s">
        <v>14</v>
      </c>
      <c r="N21" s="50" t="s">
        <v>16</v>
      </c>
      <c r="O21" s="50" t="s">
        <v>17</v>
      </c>
      <c r="P21" s="50" t="s">
        <v>75</v>
      </c>
      <c r="Q21" s="50" t="s">
        <v>18</v>
      </c>
      <c r="R21" s="50" t="s">
        <v>76</v>
      </c>
      <c r="S21" s="50" t="s">
        <v>77</v>
      </c>
      <c r="T21" s="50" t="s">
        <v>19</v>
      </c>
      <c r="U21" s="50" t="s">
        <v>78</v>
      </c>
      <c r="V21" s="50" t="s">
        <v>79</v>
      </c>
      <c r="W21" s="50" t="s">
        <v>80</v>
      </c>
      <c r="X21" s="50" t="s">
        <v>21</v>
      </c>
      <c r="Y21" s="50" t="s">
        <v>81</v>
      </c>
      <c r="Z21" s="50" t="s">
        <v>82</v>
      </c>
      <c r="AA21" s="50" t="s">
        <v>83</v>
      </c>
      <c r="AB21" s="50" t="s">
        <v>84</v>
      </c>
    </row>
    <row r="22" spans="1:28" x14ac:dyDescent="0.25">
      <c r="A22">
        <v>1E-3</v>
      </c>
      <c r="B22">
        <f>($B$19*B2)</f>
        <v>2.1312701615552503</v>
      </c>
      <c r="C22">
        <f t="shared" ref="C22:AB32" si="0">($B$19*C2)</f>
        <v>2.1449780353025001</v>
      </c>
      <c r="D22">
        <f t="shared" si="0"/>
        <v>2.1578532907145003</v>
      </c>
      <c r="E22">
        <f t="shared" si="0"/>
        <v>2.1959154286245002</v>
      </c>
      <c r="F22">
        <f t="shared" si="0"/>
        <v>2.2332910751482498</v>
      </c>
      <c r="G22">
        <f t="shared" si="0"/>
        <v>2.2815277129939999</v>
      </c>
      <c r="H22">
        <f t="shared" si="0"/>
        <v>2.3443837832270003</v>
      </c>
      <c r="I22">
        <f t="shared" si="0"/>
        <v>2.4321815155165001</v>
      </c>
      <c r="J22">
        <f t="shared" si="0"/>
        <v>2.5013132713467501</v>
      </c>
      <c r="K22">
        <f t="shared" si="0"/>
        <v>2.5414773737715004</v>
      </c>
      <c r="L22">
        <f t="shared" si="0"/>
        <v>2.6277589961607499</v>
      </c>
      <c r="M22">
        <f t="shared" si="0"/>
        <v>2.6452237572507502</v>
      </c>
      <c r="N22">
        <f t="shared" si="0"/>
        <v>2.6107848269600007</v>
      </c>
      <c r="O22">
        <f t="shared" si="0"/>
        <v>2.5136490705050001</v>
      </c>
      <c r="P22">
        <f t="shared" si="0"/>
        <v>2.3759428602999999</v>
      </c>
      <c r="Q22">
        <f t="shared" si="0"/>
        <v>2.2070948257775007</v>
      </c>
      <c r="R22">
        <f t="shared" si="0"/>
        <v>2.0504526033175003</v>
      </c>
      <c r="S22">
        <f t="shared" si="0"/>
        <v>1.9698817468625001</v>
      </c>
      <c r="T22">
        <f t="shared" si="0"/>
        <v>1.9027859458450003</v>
      </c>
      <c r="U22">
        <f t="shared" si="0"/>
        <v>1.7665208629775002</v>
      </c>
      <c r="V22">
        <f t="shared" si="0"/>
        <v>1.6099690386400001</v>
      </c>
      <c r="W22">
        <f t="shared" si="0"/>
        <v>1.4175762508650001</v>
      </c>
      <c r="X22">
        <f t="shared" si="0"/>
        <v>1.1283892528949999</v>
      </c>
      <c r="Y22">
        <f t="shared" si="0"/>
        <v>0.8252682126467501</v>
      </c>
      <c r="Z22">
        <f t="shared" si="0"/>
        <v>0.65924588121299998</v>
      </c>
      <c r="AA22">
        <f t="shared" si="0"/>
        <v>0.50227841453575006</v>
      </c>
      <c r="AB22">
        <f t="shared" si="0"/>
        <v>0.32648066991149999</v>
      </c>
    </row>
    <row r="23" spans="1:28" x14ac:dyDescent="0.25">
      <c r="A23">
        <v>1.8374400000000001E-3</v>
      </c>
      <c r="B23">
        <f t="shared" ref="B23:Q36" si="1">($B$19*B3)</f>
        <v>1.6199987672975</v>
      </c>
      <c r="C23">
        <f t="shared" si="1"/>
        <v>1.6377636844772501</v>
      </c>
      <c r="D23">
        <f t="shared" si="1"/>
        <v>1.6547463643347502</v>
      </c>
      <c r="E23">
        <f t="shared" si="1"/>
        <v>1.6994928441470001</v>
      </c>
      <c r="F23">
        <f t="shared" si="1"/>
        <v>1.7429577505608751</v>
      </c>
      <c r="G23">
        <f t="shared" si="1"/>
        <v>1.7890982219953753</v>
      </c>
      <c r="H23">
        <f t="shared" si="1"/>
        <v>1.8571669534650004</v>
      </c>
      <c r="I23">
        <f t="shared" si="1"/>
        <v>1.94180574198075</v>
      </c>
      <c r="J23">
        <f t="shared" si="1"/>
        <v>2.0140521849135005</v>
      </c>
      <c r="K23">
        <f t="shared" si="1"/>
        <v>2.0592788557947501</v>
      </c>
      <c r="L23">
        <f t="shared" si="1"/>
        <v>2.1298303303185002</v>
      </c>
      <c r="M23">
        <f t="shared" si="1"/>
        <v>2.1328178769294999</v>
      </c>
      <c r="N23">
        <f t="shared" si="1"/>
        <v>2.0793733501580003</v>
      </c>
      <c r="O23">
        <f t="shared" si="1"/>
        <v>1.9688114425159999</v>
      </c>
      <c r="P23">
        <f t="shared" si="1"/>
        <v>1.8177334935830003</v>
      </c>
      <c r="Q23">
        <f t="shared" si="1"/>
        <v>1.65034419603</v>
      </c>
      <c r="R23">
        <f t="shared" si="0"/>
        <v>1.5037854779350002</v>
      </c>
      <c r="S23">
        <f t="shared" si="0"/>
        <v>1.4317084403625002</v>
      </c>
      <c r="T23">
        <f t="shared" si="0"/>
        <v>1.36995885648</v>
      </c>
      <c r="U23">
        <f t="shared" si="0"/>
        <v>1.2475485366104999</v>
      </c>
      <c r="V23">
        <f t="shared" si="0"/>
        <v>1.1155710164070001</v>
      </c>
      <c r="W23">
        <f t="shared" si="0"/>
        <v>0.96196645118424995</v>
      </c>
      <c r="X23">
        <f t="shared" si="0"/>
        <v>0.74094042503174995</v>
      </c>
      <c r="Y23">
        <f t="shared" si="0"/>
        <v>0.52237100018924998</v>
      </c>
      <c r="Z23">
        <f t="shared" si="0"/>
        <v>0.40752055836500001</v>
      </c>
      <c r="AA23">
        <f t="shared" si="0"/>
        <v>0.30138834200500003</v>
      </c>
      <c r="AB23">
        <f t="shared" si="0"/>
        <v>0.19136608617100001</v>
      </c>
    </row>
    <row r="24" spans="1:28" x14ac:dyDescent="0.25">
      <c r="A24">
        <v>3.37617E-3</v>
      </c>
      <c r="B24">
        <f t="shared" si="1"/>
        <v>1.1306651352853749</v>
      </c>
      <c r="C24">
        <f t="shared" si="0"/>
        <v>1.1490021126378749</v>
      </c>
      <c r="D24">
        <f t="shared" si="0"/>
        <v>1.166727596466375</v>
      </c>
      <c r="E24">
        <f t="shared" si="0"/>
        <v>1.2110039677975002</v>
      </c>
      <c r="F24">
        <f t="shared" si="0"/>
        <v>1.2539116824146253</v>
      </c>
      <c r="G24">
        <f t="shared" si="0"/>
        <v>1.2964682484623753</v>
      </c>
      <c r="H24">
        <f t="shared" si="0"/>
        <v>1.3661915822105002</v>
      </c>
      <c r="I24">
        <f t="shared" si="0"/>
        <v>1.4468735686002503</v>
      </c>
      <c r="J24">
        <f t="shared" si="0"/>
        <v>1.51433900156025</v>
      </c>
      <c r="K24">
        <f t="shared" si="0"/>
        <v>1.557398420922625</v>
      </c>
      <c r="L24">
        <f t="shared" si="0"/>
        <v>1.6096007330642501</v>
      </c>
      <c r="M24">
        <f t="shared" si="0"/>
        <v>1.6004339186565004</v>
      </c>
      <c r="N24">
        <f t="shared" si="0"/>
        <v>1.5251079806070003</v>
      </c>
      <c r="O24">
        <f t="shared" si="0"/>
        <v>1.4077784905440001</v>
      </c>
      <c r="P24">
        <f t="shared" si="0"/>
        <v>1.2670870719430001</v>
      </c>
      <c r="Q24">
        <f t="shared" si="0"/>
        <v>1.128193966155</v>
      </c>
      <c r="R24">
        <f t="shared" si="0"/>
        <v>1.0084845815077501</v>
      </c>
      <c r="S24">
        <f t="shared" si="0"/>
        <v>0.95188313343800013</v>
      </c>
      <c r="T24">
        <f t="shared" si="0"/>
        <v>0.90425091304200012</v>
      </c>
      <c r="U24">
        <f t="shared" si="0"/>
        <v>0.81181772848375011</v>
      </c>
      <c r="V24">
        <f t="shared" si="0"/>
        <v>0.71548380472675011</v>
      </c>
      <c r="W24">
        <f t="shared" si="0"/>
        <v>0.60623135202275003</v>
      </c>
      <c r="X24">
        <f t="shared" si="0"/>
        <v>0.45335419077900002</v>
      </c>
      <c r="Y24">
        <f t="shared" si="0"/>
        <v>0.30897280516275005</v>
      </c>
      <c r="Z24">
        <f t="shared" si="0"/>
        <v>0.2355402779645</v>
      </c>
      <c r="AA24">
        <f t="shared" si="0"/>
        <v>0.16918954946200002</v>
      </c>
      <c r="AB24">
        <f t="shared" si="0"/>
        <v>0.104917014481075</v>
      </c>
    </row>
    <row r="25" spans="1:28" x14ac:dyDescent="0.25">
      <c r="A25">
        <v>6.2034899999999999E-3</v>
      </c>
      <c r="B25">
        <f t="shared" si="1"/>
        <v>0.72412785882087505</v>
      </c>
      <c r="C25">
        <f t="shared" si="0"/>
        <v>0.74010667545295006</v>
      </c>
      <c r="D25">
        <f t="shared" si="0"/>
        <v>0.75567758894000003</v>
      </c>
      <c r="E25">
        <f t="shared" si="0"/>
        <v>0.79318124194950002</v>
      </c>
      <c r="F25">
        <f t="shared" si="0"/>
        <v>0.8297552688009</v>
      </c>
      <c r="G25">
        <f t="shared" si="0"/>
        <v>0.86546130940740007</v>
      </c>
      <c r="H25">
        <f t="shared" si="0"/>
        <v>0.92826762883545011</v>
      </c>
      <c r="I25">
        <f t="shared" si="0"/>
        <v>0.99955757271776258</v>
      </c>
      <c r="J25">
        <f t="shared" si="0"/>
        <v>1.0572022563090999</v>
      </c>
      <c r="K25">
        <f t="shared" si="0"/>
        <v>1.093979863889875</v>
      </c>
      <c r="L25">
        <f t="shared" si="0"/>
        <v>1.1265062951311251</v>
      </c>
      <c r="M25">
        <f t="shared" si="0"/>
        <v>1.1064947402796002</v>
      </c>
      <c r="N25">
        <f t="shared" si="0"/>
        <v>1.0200039350955001</v>
      </c>
      <c r="O25">
        <f t="shared" si="0"/>
        <v>0.91687854796125012</v>
      </c>
      <c r="P25">
        <f t="shared" si="0"/>
        <v>0.80777391999750003</v>
      </c>
      <c r="Q25">
        <f t="shared" si="0"/>
        <v>0.70777909257725014</v>
      </c>
      <c r="R25">
        <f t="shared" si="0"/>
        <v>0.62241324196250014</v>
      </c>
      <c r="S25">
        <f t="shared" si="0"/>
        <v>0.58278588814074994</v>
      </c>
      <c r="T25">
        <f t="shared" si="0"/>
        <v>0.55042489062425004</v>
      </c>
      <c r="U25">
        <f t="shared" si="0"/>
        <v>0.48822987083649999</v>
      </c>
      <c r="V25">
        <f t="shared" si="0"/>
        <v>0.42452426546310001</v>
      </c>
      <c r="W25">
        <f t="shared" si="0"/>
        <v>0.35426696132080004</v>
      </c>
      <c r="X25">
        <f t="shared" si="0"/>
        <v>0.25822650812725001</v>
      </c>
      <c r="Y25">
        <f t="shared" si="0"/>
        <v>0.17009741181772497</v>
      </c>
      <c r="Z25">
        <f t="shared" si="0"/>
        <v>0.12689419204044999</v>
      </c>
      <c r="AA25">
        <f t="shared" si="0"/>
        <v>8.8695702772000007E-2</v>
      </c>
      <c r="AB25">
        <f t="shared" si="0"/>
        <v>5.3667448957650001E-2</v>
      </c>
    </row>
    <row r="26" spans="1:28" x14ac:dyDescent="0.25">
      <c r="A26">
        <v>1.1398500000000001E-2</v>
      </c>
      <c r="B26">
        <f t="shared" si="1"/>
        <v>0.42673315898874753</v>
      </c>
      <c r="C26">
        <f t="shared" si="0"/>
        <v>0.43895295642576249</v>
      </c>
      <c r="D26">
        <f t="shared" si="0"/>
        <v>0.45094894356359255</v>
      </c>
      <c r="E26">
        <f t="shared" si="0"/>
        <v>0.47896596240690759</v>
      </c>
      <c r="F26">
        <f t="shared" si="0"/>
        <v>0.50656876043308252</v>
      </c>
      <c r="G26">
        <f t="shared" si="0"/>
        <v>0.53354621297006999</v>
      </c>
      <c r="H26">
        <f t="shared" si="0"/>
        <v>0.58256409208234505</v>
      </c>
      <c r="I26">
        <f t="shared" si="0"/>
        <v>0.63923668451337001</v>
      </c>
      <c r="J26">
        <f t="shared" si="0"/>
        <v>0.6836071833346351</v>
      </c>
      <c r="K26">
        <f t="shared" si="0"/>
        <v>0.71192227522662255</v>
      </c>
      <c r="L26">
        <f t="shared" si="0"/>
        <v>0.72828699717496015</v>
      </c>
      <c r="M26">
        <f t="shared" si="0"/>
        <v>0.70382722212279003</v>
      </c>
      <c r="N26">
        <f t="shared" si="0"/>
        <v>0.62415656122595009</v>
      </c>
      <c r="O26">
        <f t="shared" si="0"/>
        <v>0.54735041306547505</v>
      </c>
      <c r="P26">
        <f t="shared" si="0"/>
        <v>0.47413868388707503</v>
      </c>
      <c r="Q26">
        <f t="shared" si="0"/>
        <v>0.40993813048492506</v>
      </c>
      <c r="R26">
        <f t="shared" si="0"/>
        <v>0.35521372464310003</v>
      </c>
      <c r="S26">
        <f t="shared" si="0"/>
        <v>0.33000580690325004</v>
      </c>
      <c r="T26">
        <f t="shared" si="0"/>
        <v>0.310110754758325</v>
      </c>
      <c r="U26">
        <f t="shared" si="0"/>
        <v>0.27186743951442505</v>
      </c>
      <c r="V26">
        <f t="shared" si="0"/>
        <v>0.23316827791115</v>
      </c>
      <c r="W26">
        <f t="shared" si="0"/>
        <v>0.19183455478992503</v>
      </c>
      <c r="X26">
        <f t="shared" si="0"/>
        <v>0.13664076125657501</v>
      </c>
      <c r="Y26">
        <f t="shared" si="0"/>
        <v>8.7087099928760028E-2</v>
      </c>
      <c r="Z26">
        <f t="shared" si="0"/>
        <v>6.3521223020874998E-2</v>
      </c>
      <c r="AA26">
        <f t="shared" si="0"/>
        <v>4.3315795565835001E-2</v>
      </c>
      <c r="AB26">
        <f t="shared" si="0"/>
        <v>2.5497052413159995E-2</v>
      </c>
    </row>
    <row r="27" spans="1:28" x14ac:dyDescent="0.25">
      <c r="A27">
        <v>2.09441E-2</v>
      </c>
      <c r="B27">
        <f t="shared" si="1"/>
        <v>0.23222993279245127</v>
      </c>
      <c r="C27">
        <f t="shared" si="0"/>
        <v>0.24047331114347581</v>
      </c>
      <c r="D27">
        <f t="shared" si="0"/>
        <v>0.24863623300137869</v>
      </c>
      <c r="E27">
        <f t="shared" si="0"/>
        <v>0.26722711493790252</v>
      </c>
      <c r="F27">
        <f t="shared" si="0"/>
        <v>0.28580245403297816</v>
      </c>
      <c r="G27">
        <f t="shared" si="0"/>
        <v>0.30412979896560494</v>
      </c>
      <c r="H27">
        <f t="shared" si="0"/>
        <v>0.33757230329799037</v>
      </c>
      <c r="I27">
        <f t="shared" si="0"/>
        <v>0.37752178228147543</v>
      </c>
      <c r="J27">
        <f t="shared" si="0"/>
        <v>0.40780511923249058</v>
      </c>
      <c r="K27">
        <f t="shared" si="0"/>
        <v>0.42733682714357579</v>
      </c>
      <c r="L27">
        <f t="shared" si="0"/>
        <v>0.43347390277434106</v>
      </c>
      <c r="M27">
        <f t="shared" si="0"/>
        <v>0.41185573417367605</v>
      </c>
      <c r="N27">
        <f t="shared" si="0"/>
        <v>0.35097641538094998</v>
      </c>
      <c r="O27">
        <f t="shared" si="0"/>
        <v>0.30165538163602496</v>
      </c>
      <c r="P27">
        <f t="shared" si="0"/>
        <v>0.25808931470578</v>
      </c>
      <c r="Q27">
        <f t="shared" si="0"/>
        <v>0.220442323607665</v>
      </c>
      <c r="R27">
        <f t="shared" si="0"/>
        <v>0.18825766532042004</v>
      </c>
      <c r="S27">
        <f t="shared" si="0"/>
        <v>0.17351780753559498</v>
      </c>
      <c r="T27">
        <f t="shared" si="0"/>
        <v>0.16224413583873004</v>
      </c>
      <c r="U27">
        <f t="shared" si="0"/>
        <v>0.14055440575174</v>
      </c>
      <c r="V27">
        <f t="shared" si="0"/>
        <v>0.11890037484668502</v>
      </c>
      <c r="W27">
        <f t="shared" si="0"/>
        <v>9.6538727426839999E-2</v>
      </c>
      <c r="X27">
        <f t="shared" si="0"/>
        <v>6.7253646898984998E-2</v>
      </c>
      <c r="Y27">
        <f t="shared" si="0"/>
        <v>4.1584398988727005E-2</v>
      </c>
      <c r="Z27">
        <f t="shared" si="0"/>
        <v>2.9634287971003006E-2</v>
      </c>
      <c r="AA27">
        <f t="shared" si="0"/>
        <v>1.9783026657161504E-2</v>
      </c>
      <c r="AB27">
        <f t="shared" si="0"/>
        <v>1.1178542018675502E-2</v>
      </c>
    </row>
    <row r="28" spans="1:28" x14ac:dyDescent="0.25">
      <c r="A28">
        <v>3.8483299999999998E-2</v>
      </c>
      <c r="B28">
        <f t="shared" si="1"/>
        <v>0.11738344911526809</v>
      </c>
      <c r="C28">
        <f t="shared" si="0"/>
        <v>0.12240040537704483</v>
      </c>
      <c r="D28">
        <f t="shared" si="0"/>
        <v>0.12739594047190728</v>
      </c>
      <c r="E28">
        <f t="shared" si="0"/>
        <v>0.13849039412380823</v>
      </c>
      <c r="F28">
        <f t="shared" si="0"/>
        <v>0.14968165930289823</v>
      </c>
      <c r="G28">
        <f t="shared" si="0"/>
        <v>0.16081228573862477</v>
      </c>
      <c r="H28">
        <f t="shared" si="0"/>
        <v>0.18064069583305445</v>
      </c>
      <c r="I28">
        <f t="shared" si="0"/>
        <v>0.20544684780515632</v>
      </c>
      <c r="J28">
        <f t="shared" si="0"/>
        <v>0.22354672241479773</v>
      </c>
      <c r="K28">
        <f t="shared" si="0"/>
        <v>0.23545457895357536</v>
      </c>
      <c r="L28">
        <f t="shared" si="0"/>
        <v>0.23680345766270422</v>
      </c>
      <c r="M28">
        <f t="shared" si="0"/>
        <v>0.2218929246349145</v>
      </c>
      <c r="N28">
        <f t="shared" si="0"/>
        <v>0.1826535382777735</v>
      </c>
      <c r="O28">
        <f t="shared" si="0"/>
        <v>0.15465939166498102</v>
      </c>
      <c r="P28">
        <f t="shared" si="0"/>
        <v>0.13098682143499601</v>
      </c>
      <c r="Q28">
        <f t="shared" si="0"/>
        <v>0.11051928119472752</v>
      </c>
      <c r="R28">
        <f t="shared" si="0"/>
        <v>9.3010966793839009E-2</v>
      </c>
      <c r="S28">
        <f t="shared" si="0"/>
        <v>8.5083808943634015E-2</v>
      </c>
      <c r="T28">
        <f t="shared" si="0"/>
        <v>7.9167696866948495E-2</v>
      </c>
      <c r="U28">
        <f t="shared" si="0"/>
        <v>6.7800166864933495E-2</v>
      </c>
      <c r="V28">
        <f t="shared" si="0"/>
        <v>5.6602317957639502E-2</v>
      </c>
      <c r="W28">
        <f t="shared" si="0"/>
        <v>4.5378957156077204E-2</v>
      </c>
      <c r="X28">
        <f t="shared" si="0"/>
        <v>3.0952278962506751E-2</v>
      </c>
      <c r="Y28">
        <f t="shared" si="0"/>
        <v>1.8538856397435053E-2</v>
      </c>
      <c r="Z28">
        <f t="shared" si="0"/>
        <v>1.29058321178942E-2</v>
      </c>
      <c r="AA28">
        <f t="shared" si="0"/>
        <v>8.4677112133732992E-3</v>
      </c>
      <c r="AB28">
        <f t="shared" si="0"/>
        <v>4.3905689122634897E-3</v>
      </c>
    </row>
    <row r="29" spans="1:28" x14ac:dyDescent="0.25">
      <c r="A29">
        <v>7.0710700000000001E-2</v>
      </c>
      <c r="B29">
        <f t="shared" si="1"/>
        <v>5.4654558448240555E-2</v>
      </c>
      <c r="C29">
        <f t="shared" si="0"/>
        <v>5.7469395621747826E-2</v>
      </c>
      <c r="D29">
        <f t="shared" si="0"/>
        <v>6.02883995745307E-2</v>
      </c>
      <c r="E29">
        <f t="shared" si="0"/>
        <v>6.6439186654430937E-2</v>
      </c>
      <c r="F29">
        <f t="shared" si="0"/>
        <v>7.2680534592571122E-2</v>
      </c>
      <c r="G29">
        <f t="shared" si="0"/>
        <v>7.8913221359105307E-2</v>
      </c>
      <c r="H29">
        <f t="shared" si="0"/>
        <v>8.9510809941408503E-2</v>
      </c>
      <c r="I29">
        <f t="shared" si="0"/>
        <v>0.10325040520245787</v>
      </c>
      <c r="J29">
        <f t="shared" si="0"/>
        <v>0.11266217262984149</v>
      </c>
      <c r="K29">
        <f t="shared" si="0"/>
        <v>0.11903836168386743</v>
      </c>
      <c r="L29">
        <f t="shared" si="0"/>
        <v>0.11907688478097439</v>
      </c>
      <c r="M29">
        <f t="shared" si="0"/>
        <v>0.11071854265318612</v>
      </c>
      <c r="N29">
        <f t="shared" si="0"/>
        <v>8.8476107646640476E-2</v>
      </c>
      <c r="O29">
        <f t="shared" si="0"/>
        <v>7.3983099182058462E-2</v>
      </c>
      <c r="P29">
        <f t="shared" si="0"/>
        <v>6.202276948160295E-2</v>
      </c>
      <c r="Q29">
        <f t="shared" si="0"/>
        <v>5.163102941649176E-2</v>
      </c>
      <c r="R29">
        <f t="shared" si="0"/>
        <v>4.2825779806960701E-2</v>
      </c>
      <c r="S29">
        <f t="shared" si="0"/>
        <v>3.8918231451069554E-2</v>
      </c>
      <c r="T29">
        <f t="shared" si="0"/>
        <v>3.6043829810728997E-2</v>
      </c>
      <c r="U29">
        <f t="shared" si="0"/>
        <v>3.0537114481687628E-2</v>
      </c>
      <c r="V29">
        <f t="shared" si="0"/>
        <v>2.5186231159456458E-2</v>
      </c>
      <c r="W29">
        <f t="shared" si="0"/>
        <v>1.9915076492325615E-2</v>
      </c>
      <c r="X29">
        <f t="shared" si="0"/>
        <v>1.328473910985894E-2</v>
      </c>
      <c r="Y29">
        <f t="shared" si="0"/>
        <v>7.6525984743297899E-3</v>
      </c>
      <c r="Z29">
        <f t="shared" si="0"/>
        <v>5.1723974202503471E-3</v>
      </c>
      <c r="AA29">
        <f t="shared" si="0"/>
        <v>3.3299796963689667E-3</v>
      </c>
      <c r="AB29">
        <f t="shared" si="0"/>
        <v>1.4696333507219434E-3</v>
      </c>
    </row>
    <row r="30" spans="1:28" x14ac:dyDescent="0.25">
      <c r="A30">
        <v>0.12992600000000001</v>
      </c>
      <c r="B30">
        <f t="shared" si="1"/>
        <v>2.2812588272380176E-2</v>
      </c>
      <c r="C30">
        <f t="shared" si="0"/>
        <v>2.4239028009231691E-2</v>
      </c>
      <c r="D30">
        <f t="shared" si="0"/>
        <v>2.5680893276554081E-2</v>
      </c>
      <c r="E30">
        <f t="shared" si="0"/>
        <v>2.8818286231371677E-2</v>
      </c>
      <c r="F30">
        <f t="shared" si="0"/>
        <v>3.2034042079946999E-2</v>
      </c>
      <c r="G30">
        <f t="shared" si="0"/>
        <v>3.5269893479312614E-2</v>
      </c>
      <c r="H30">
        <f t="shared" si="0"/>
        <v>4.0561721017425958E-2</v>
      </c>
      <c r="I30">
        <f t="shared" si="0"/>
        <v>4.7576037910885251E-2</v>
      </c>
      <c r="J30">
        <f t="shared" si="0"/>
        <v>5.2009931452155232E-2</v>
      </c>
      <c r="K30">
        <f t="shared" si="0"/>
        <v>5.5101809920674032E-2</v>
      </c>
      <c r="L30">
        <f t="shared" si="0"/>
        <v>5.5051184388956204E-2</v>
      </c>
      <c r="M30">
        <f t="shared" si="0"/>
        <v>5.1018648256284709E-2</v>
      </c>
      <c r="N30">
        <f t="shared" si="0"/>
        <v>3.9689756175777698E-2</v>
      </c>
      <c r="O30">
        <f t="shared" si="0"/>
        <v>3.2809494501107164E-2</v>
      </c>
      <c r="P30">
        <f t="shared" si="0"/>
        <v>2.7185642163896045E-2</v>
      </c>
      <c r="Q30">
        <f t="shared" si="0"/>
        <v>2.2289743680470531E-2</v>
      </c>
      <c r="R30">
        <f t="shared" si="0"/>
        <v>1.8244824006098656E-2</v>
      </c>
      <c r="S30">
        <f t="shared" si="0"/>
        <v>1.6500016124844322E-2</v>
      </c>
      <c r="T30">
        <f t="shared" si="0"/>
        <v>1.521722482320806E-2</v>
      </c>
      <c r="U30">
        <f t="shared" si="0"/>
        <v>1.276084939420208E-2</v>
      </c>
      <c r="V30">
        <f t="shared" si="0"/>
        <v>1.0413836413408775E-2</v>
      </c>
      <c r="W30">
        <f t="shared" si="0"/>
        <v>8.1065034953286732E-3</v>
      </c>
      <c r="X30">
        <f t="shared" si="0"/>
        <v>5.2627893132981057E-3</v>
      </c>
      <c r="Y30">
        <f t="shared" si="0"/>
        <v>2.8781335806520886E-3</v>
      </c>
      <c r="Z30">
        <f t="shared" si="0"/>
        <v>1.8626510349070181E-3</v>
      </c>
      <c r="AA30">
        <f t="shared" si="0"/>
        <v>1.1573332855657112E-3</v>
      </c>
      <c r="AB30">
        <f t="shared" si="0"/>
        <v>3.8725175624495313E-4</v>
      </c>
    </row>
    <row r="31" spans="1:28" x14ac:dyDescent="0.25">
      <c r="A31">
        <v>0.238731</v>
      </c>
      <c r="B31">
        <f t="shared" si="1"/>
        <v>8.1814487195800614E-3</v>
      </c>
      <c r="C31">
        <f t="shared" si="0"/>
        <v>8.8015920994965226E-3</v>
      </c>
      <c r="D31">
        <f t="shared" si="0"/>
        <v>9.4378508699440138E-3</v>
      </c>
      <c r="E31">
        <f t="shared" si="0"/>
        <v>1.0844167734963096E-2</v>
      </c>
      <c r="F31">
        <f t="shared" si="0"/>
        <v>1.2313677897556368E-2</v>
      </c>
      <c r="G31">
        <f t="shared" si="0"/>
        <v>1.3819512403335222E-2</v>
      </c>
      <c r="H31">
        <f t="shared" si="0"/>
        <v>1.6266988013919546E-2</v>
      </c>
      <c r="I31">
        <f t="shared" si="0"/>
        <v>1.9555836061558522E-2</v>
      </c>
      <c r="J31">
        <f t="shared" si="0"/>
        <v>2.1526649806720262E-2</v>
      </c>
      <c r="K31">
        <f t="shared" si="0"/>
        <v>2.293332009068531E-2</v>
      </c>
      <c r="L31">
        <f t="shared" si="0"/>
        <v>2.3031098445303374E-2</v>
      </c>
      <c r="M31">
        <f t="shared" si="0"/>
        <v>2.1330977461511191E-2</v>
      </c>
      <c r="N31">
        <f t="shared" si="0"/>
        <v>1.6199476110019415E-2</v>
      </c>
      <c r="O31">
        <f t="shared" si="0"/>
        <v>1.3260887435381093E-2</v>
      </c>
      <c r="P31">
        <f t="shared" si="0"/>
        <v>1.0842914572805916E-2</v>
      </c>
      <c r="Q31">
        <f t="shared" si="0"/>
        <v>8.7355100875648722E-3</v>
      </c>
      <c r="R31">
        <f t="shared" si="0"/>
        <v>7.0712193226722371E-3</v>
      </c>
      <c r="S31">
        <f t="shared" si="0"/>
        <v>6.3796077413850565E-3</v>
      </c>
      <c r="T31">
        <f t="shared" si="0"/>
        <v>5.8636831717123932E-3</v>
      </c>
      <c r="U31">
        <f t="shared" si="0"/>
        <v>4.8731270636776453E-3</v>
      </c>
      <c r="V31">
        <f t="shared" si="0"/>
        <v>3.9401273713886333E-3</v>
      </c>
      <c r="W31">
        <f t="shared" si="0"/>
        <v>3.0161456074432138E-3</v>
      </c>
      <c r="X31">
        <f t="shared" si="0"/>
        <v>1.882150942757595E-3</v>
      </c>
      <c r="Y31">
        <f t="shared" si="0"/>
        <v>9.3319916048413977E-4</v>
      </c>
      <c r="Z31">
        <f t="shared" si="0"/>
        <v>5.5288948680988319E-4</v>
      </c>
      <c r="AA31">
        <f t="shared" si="0"/>
        <v>3.1308729925469246E-4</v>
      </c>
      <c r="AB31">
        <f t="shared" si="0"/>
        <v>6.3535963437255573E-5</v>
      </c>
    </row>
    <row r="32" spans="1:28" x14ac:dyDescent="0.25">
      <c r="A32">
        <v>0.43865300000000002</v>
      </c>
      <c r="B32">
        <f t="shared" si="1"/>
        <v>2.3515541229573991E-3</v>
      </c>
      <c r="C32">
        <f t="shared" si="0"/>
        <v>2.5669757552434606E-3</v>
      </c>
      <c r="D32">
        <f t="shared" si="0"/>
        <v>2.7928649714339874E-3</v>
      </c>
      <c r="E32">
        <f t="shared" si="0"/>
        <v>3.3124855329935265E-3</v>
      </c>
      <c r="F32">
        <f t="shared" si="0"/>
        <v>3.8720692252677416E-3</v>
      </c>
      <c r="G32">
        <f t="shared" si="0"/>
        <v>4.463578788071877E-3</v>
      </c>
      <c r="H32">
        <f t="shared" si="0"/>
        <v>5.4774436145590419E-3</v>
      </c>
      <c r="I32">
        <f t="shared" si="0"/>
        <v>6.8465161727858806E-3</v>
      </c>
      <c r="J32">
        <f t="shared" si="0"/>
        <v>7.6848074680345877E-3</v>
      </c>
      <c r="K32">
        <f t="shared" si="0"/>
        <v>8.2956238326342604E-3</v>
      </c>
      <c r="L32">
        <f t="shared" si="0"/>
        <v>8.4717643161502636E-3</v>
      </c>
      <c r="M32">
        <f t="shared" ref="C32:AB36" si="2">($B$19*M12)</f>
        <v>7.8469913824614421E-3</v>
      </c>
      <c r="N32">
        <f t="shared" si="2"/>
        <v>5.8288980078583597E-3</v>
      </c>
      <c r="O32">
        <f t="shared" si="2"/>
        <v>4.7321859094978831E-3</v>
      </c>
      <c r="P32">
        <f t="shared" si="2"/>
        <v>3.8114412229398867E-3</v>
      </c>
      <c r="Q32">
        <f t="shared" si="2"/>
        <v>3.0021810517568662E-3</v>
      </c>
      <c r="R32">
        <f t="shared" si="2"/>
        <v>2.4101080292922416E-3</v>
      </c>
      <c r="S32">
        <f t="shared" si="2"/>
        <v>2.1762688646009116E-3</v>
      </c>
      <c r="T32">
        <f t="shared" si="2"/>
        <v>1.996417364100259E-3</v>
      </c>
      <c r="U32">
        <f t="shared" si="2"/>
        <v>1.6447380913231363E-3</v>
      </c>
      <c r="V32">
        <f t="shared" si="2"/>
        <v>1.3124825074664612E-3</v>
      </c>
      <c r="W32">
        <f t="shared" si="2"/>
        <v>9.7938766232573654E-4</v>
      </c>
      <c r="X32">
        <f t="shared" si="2"/>
        <v>5.5790330594414881E-4</v>
      </c>
      <c r="Y32">
        <f t="shared" si="2"/>
        <v>2.2354585758141814E-4</v>
      </c>
      <c r="Z32">
        <f t="shared" si="2"/>
        <v>1.0905638925365914E-4</v>
      </c>
      <c r="AA32">
        <f t="shared" si="2"/>
        <v>5.0024143202476584E-5</v>
      </c>
      <c r="AB32">
        <f t="shared" si="2"/>
        <v>7.0423993794372792E-6</v>
      </c>
    </row>
    <row r="33" spans="1:28" x14ac:dyDescent="0.25">
      <c r="A33">
        <v>0.80599699999999996</v>
      </c>
      <c r="B33">
        <f t="shared" si="1"/>
        <v>5.0057823607384375E-4</v>
      </c>
      <c r="C33">
        <f t="shared" si="2"/>
        <v>5.5329678352492929E-4</v>
      </c>
      <c r="D33">
        <f t="shared" si="2"/>
        <v>6.102638222601907E-4</v>
      </c>
      <c r="E33">
        <f t="shared" si="2"/>
        <v>7.5179562574604979E-4</v>
      </c>
      <c r="F33">
        <f t="shared" si="2"/>
        <v>9.1103940956782138E-4</v>
      </c>
      <c r="G33">
        <f t="shared" si="2"/>
        <v>1.0869999517308044E-3</v>
      </c>
      <c r="H33">
        <f t="shared" si="2"/>
        <v>1.41908073433937E-3</v>
      </c>
      <c r="I33">
        <f t="shared" si="2"/>
        <v>1.8969236110324733E-3</v>
      </c>
      <c r="J33">
        <f t="shared" si="2"/>
        <v>2.2207259520027338E-3</v>
      </c>
      <c r="K33">
        <f t="shared" si="2"/>
        <v>2.4623168088588913E-3</v>
      </c>
      <c r="L33">
        <f t="shared" si="2"/>
        <v>2.609986097016528E-3</v>
      </c>
      <c r="M33">
        <f t="shared" si="2"/>
        <v>2.4039858183999892E-3</v>
      </c>
      <c r="N33">
        <f t="shared" si="2"/>
        <v>1.7429946694106568E-3</v>
      </c>
      <c r="O33">
        <f t="shared" si="2"/>
        <v>1.4112281132485113E-3</v>
      </c>
      <c r="P33">
        <f t="shared" si="2"/>
        <v>1.1130574987891805E-3</v>
      </c>
      <c r="Q33">
        <f t="shared" si="2"/>
        <v>8.5014831735904422E-4</v>
      </c>
      <c r="R33">
        <f t="shared" si="2"/>
        <v>6.7919258475002532E-4</v>
      </c>
      <c r="S33">
        <f t="shared" si="2"/>
        <v>6.1318718431049521E-4</v>
      </c>
      <c r="T33">
        <f t="shared" si="2"/>
        <v>5.5950456334312004E-4</v>
      </c>
      <c r="U33">
        <f t="shared" si="2"/>
        <v>4.5195702349739225E-4</v>
      </c>
      <c r="V33">
        <f t="shared" si="2"/>
        <v>3.5049982153296405E-4</v>
      </c>
      <c r="W33">
        <f t="shared" si="2"/>
        <v>2.457357086261884E-4</v>
      </c>
      <c r="X33">
        <f t="shared" si="2"/>
        <v>1.1551613931830739E-4</v>
      </c>
      <c r="Y33">
        <f t="shared" si="2"/>
        <v>3.6252516219223534E-5</v>
      </c>
      <c r="Z33">
        <f t="shared" si="2"/>
        <v>1.3684789238197782E-5</v>
      </c>
      <c r="AA33">
        <f t="shared" si="2"/>
        <v>4.975816471601102E-6</v>
      </c>
      <c r="AB33">
        <f t="shared" si="2"/>
        <v>7.5898397246534947E-7</v>
      </c>
    </row>
    <row r="34" spans="1:28" x14ac:dyDescent="0.25">
      <c r="A34">
        <v>1.4809699999999999</v>
      </c>
      <c r="B34">
        <f t="shared" si="1"/>
        <v>7.7867155937875465E-5</v>
      </c>
      <c r="C34">
        <f t="shared" si="2"/>
        <v>8.6731849694443813E-5</v>
      </c>
      <c r="D34">
        <f t="shared" si="2"/>
        <v>9.6614940657945898E-5</v>
      </c>
      <c r="E34">
        <f t="shared" si="2"/>
        <v>1.23827966021065E-4</v>
      </c>
      <c r="F34">
        <f t="shared" si="2"/>
        <v>1.5585470664885201E-4</v>
      </c>
      <c r="G34">
        <f t="shared" si="2"/>
        <v>1.9285991217750671E-4</v>
      </c>
      <c r="H34">
        <f t="shared" si="2"/>
        <v>2.6652692602355331E-4</v>
      </c>
      <c r="I34">
        <f t="shared" si="2"/>
        <v>3.9649549922121056E-4</v>
      </c>
      <c r="J34">
        <f t="shared" si="2"/>
        <v>4.9649386598217202E-4</v>
      </c>
      <c r="K34">
        <f t="shared" si="2"/>
        <v>5.7487678985705031E-4</v>
      </c>
      <c r="L34">
        <f t="shared" si="2"/>
        <v>6.4818492035066536E-4</v>
      </c>
      <c r="M34">
        <f t="shared" si="2"/>
        <v>5.8141289967666467E-4</v>
      </c>
      <c r="N34">
        <f t="shared" si="2"/>
        <v>4.0977032145427623E-4</v>
      </c>
      <c r="O34">
        <f t="shared" si="2"/>
        <v>3.4107624704706477E-4</v>
      </c>
      <c r="P34">
        <f t="shared" si="2"/>
        <v>2.5967360314379449E-4</v>
      </c>
      <c r="Q34">
        <f t="shared" si="2"/>
        <v>1.92398044589477E-4</v>
      </c>
      <c r="R34">
        <f t="shared" si="2"/>
        <v>1.5354616508619638E-4</v>
      </c>
      <c r="S34">
        <f t="shared" si="2"/>
        <v>1.3727805770074567E-4</v>
      </c>
      <c r="T34">
        <f t="shared" si="2"/>
        <v>1.2316498573965021E-4</v>
      </c>
      <c r="U34">
        <f t="shared" si="2"/>
        <v>9.5128684027435742E-5</v>
      </c>
      <c r="V34">
        <f t="shared" si="2"/>
        <v>7.0798486282776533E-5</v>
      </c>
      <c r="W34">
        <f t="shared" si="2"/>
        <v>4.422120441180995E-5</v>
      </c>
      <c r="X34">
        <f t="shared" si="2"/>
        <v>1.629444560897116E-5</v>
      </c>
      <c r="Y34">
        <f t="shared" si="2"/>
        <v>4.0719654467637818E-6</v>
      </c>
      <c r="Z34">
        <f t="shared" si="2"/>
        <v>1.212884738355188E-6</v>
      </c>
      <c r="AA34">
        <f t="shared" si="2"/>
        <v>3.5820861187196337E-7</v>
      </c>
      <c r="AB34">
        <f t="shared" si="2"/>
        <v>7.1861122183356312E-8</v>
      </c>
    </row>
    <row r="35" spans="1:28" x14ac:dyDescent="0.25">
      <c r="A35">
        <v>2.7211799999999999</v>
      </c>
      <c r="B35">
        <f t="shared" si="1"/>
        <v>8.2645346739632316E-6</v>
      </c>
      <c r="C35">
        <f t="shared" si="2"/>
        <v>9.2798404239039877E-6</v>
      </c>
      <c r="D35">
        <f t="shared" si="2"/>
        <v>1.0454868323091725E-5</v>
      </c>
      <c r="E35">
        <f t="shared" si="2"/>
        <v>1.407436542528282E-5</v>
      </c>
      <c r="F35">
        <f t="shared" si="2"/>
        <v>1.8568812830974907E-5</v>
      </c>
      <c r="G35">
        <f t="shared" si="2"/>
        <v>2.4036992119876187E-5</v>
      </c>
      <c r="H35">
        <f t="shared" si="2"/>
        <v>3.6156608179133164E-5</v>
      </c>
      <c r="I35">
        <f t="shared" si="2"/>
        <v>6.139740843183483E-5</v>
      </c>
      <c r="J35">
        <f t="shared" si="2"/>
        <v>8.43362286005651E-5</v>
      </c>
      <c r="K35">
        <f t="shared" si="2"/>
        <v>1.0396894476746063E-4</v>
      </c>
      <c r="L35">
        <f t="shared" si="2"/>
        <v>1.2747501937064403E-4</v>
      </c>
      <c r="M35">
        <f t="shared" si="2"/>
        <v>1.0926589056837679E-4</v>
      </c>
      <c r="N35">
        <f t="shared" si="2"/>
        <v>7.4904478782714592E-5</v>
      </c>
      <c r="O35">
        <f t="shared" si="2"/>
        <v>6.5365505430680648E-5</v>
      </c>
      <c r="P35">
        <f t="shared" si="2"/>
        <v>4.7221894354924152E-5</v>
      </c>
      <c r="Q35">
        <f t="shared" si="2"/>
        <v>3.3664335977888565E-5</v>
      </c>
      <c r="R35">
        <f t="shared" si="2"/>
        <v>2.6197348425503815E-5</v>
      </c>
      <c r="S35">
        <f t="shared" si="2"/>
        <v>2.2937085522072569E-5</v>
      </c>
      <c r="T35">
        <f t="shared" si="2"/>
        <v>2.0058894405424093E-5</v>
      </c>
      <c r="U35">
        <f t="shared" si="2"/>
        <v>1.4630388705913562E-5</v>
      </c>
      <c r="V35">
        <f t="shared" si="2"/>
        <v>1.0257195708863561E-5</v>
      </c>
      <c r="W35">
        <f t="shared" si="2"/>
        <v>5.5313189624173203E-6</v>
      </c>
      <c r="X35">
        <f t="shared" si="2"/>
        <v>1.541085954805529E-6</v>
      </c>
      <c r="Y35">
        <f t="shared" si="2"/>
        <v>2.8278841597032556E-7</v>
      </c>
      <c r="Z35">
        <f t="shared" si="2"/>
        <v>6.7713988786708402E-8</v>
      </c>
      <c r="AA35">
        <f t="shared" si="2"/>
        <v>1.6996372889446208E-8</v>
      </c>
      <c r="AB35">
        <f t="shared" si="2"/>
        <v>5.6756740886189297E-9</v>
      </c>
    </row>
    <row r="36" spans="1:28" x14ac:dyDescent="0.25">
      <c r="A36">
        <v>5</v>
      </c>
      <c r="B36">
        <f t="shared" si="1"/>
        <v>5.6149103500747975E-7</v>
      </c>
      <c r="C36">
        <f t="shared" si="2"/>
        <v>6.3781761094649462E-7</v>
      </c>
      <c r="D36">
        <f t="shared" si="2"/>
        <v>7.2978907921205932E-7</v>
      </c>
      <c r="E36">
        <f t="shared" si="2"/>
        <v>1.0407060543943368E-6</v>
      </c>
      <c r="F36">
        <f t="shared" si="2"/>
        <v>1.4509744203794116E-6</v>
      </c>
      <c r="G36">
        <f t="shared" si="2"/>
        <v>1.9801814417879219E-6</v>
      </c>
      <c r="H36">
        <f t="shared" si="2"/>
        <v>3.2828356037180106E-6</v>
      </c>
      <c r="I36">
        <f t="shared" si="2"/>
        <v>6.4474757199045196E-6</v>
      </c>
      <c r="J36">
        <f t="shared" si="2"/>
        <v>9.9196959577610097E-6</v>
      </c>
      <c r="K36">
        <f t="shared" si="2"/>
        <v>1.3265193617989642E-5</v>
      </c>
      <c r="L36">
        <f t="shared" si="2"/>
        <v>1.7952774507270069E-5</v>
      </c>
      <c r="M36">
        <f t="shared" si="2"/>
        <v>1.4574555543380881E-5</v>
      </c>
      <c r="N36">
        <f t="shared" si="2"/>
        <v>9.634869041399701E-6</v>
      </c>
      <c r="O36">
        <f t="shared" si="2"/>
        <v>8.8426188616839473E-6</v>
      </c>
      <c r="P36">
        <f t="shared" si="2"/>
        <v>5.9576261592661615E-6</v>
      </c>
      <c r="Q36">
        <f t="shared" si="2"/>
        <v>3.9929119062352779E-6</v>
      </c>
      <c r="R36">
        <f t="shared" si="2"/>
        <v>2.9403398698057741E-6</v>
      </c>
      <c r="S36">
        <f t="shared" si="2"/>
        <v>2.4931604125567603E-6</v>
      </c>
      <c r="T36">
        <f t="shared" si="2"/>
        <v>2.1088256663571152E-6</v>
      </c>
      <c r="U36">
        <f t="shared" si="2"/>
        <v>1.4364370515481213E-6</v>
      </c>
      <c r="V36">
        <f t="shared" si="2"/>
        <v>9.3055770825418224E-7</v>
      </c>
      <c r="W36">
        <f t="shared" si="2"/>
        <v>4.2533098269614845E-7</v>
      </c>
      <c r="X36">
        <f t="shared" si="2"/>
        <v>8.7381978734988919E-8</v>
      </c>
      <c r="Y36">
        <f t="shared" si="2"/>
        <v>1.1638559354507031E-8</v>
      </c>
      <c r="Z36">
        <f t="shared" si="2"/>
        <v>2.4600499144668996E-9</v>
      </c>
      <c r="AA36">
        <f t="shared" si="2"/>
        <v>6.0812550781877622E-10</v>
      </c>
      <c r="AB36">
        <f t="shared" si="2"/>
        <v>3.5679416179985008E-10</v>
      </c>
    </row>
    <row r="42" spans="1:28" x14ac:dyDescent="0.25">
      <c r="A42" s="46" t="s">
        <v>45</v>
      </c>
    </row>
    <row r="43" spans="1:28" x14ac:dyDescent="0.25">
      <c r="A43" s="76" t="s">
        <v>39</v>
      </c>
      <c r="B43" s="76" t="s">
        <v>44</v>
      </c>
      <c r="C43" s="76" t="s">
        <v>36</v>
      </c>
      <c r="D43" s="92" t="s">
        <v>41</v>
      </c>
      <c r="E43" s="93"/>
      <c r="F43" s="93"/>
      <c r="G43" s="93"/>
    </row>
    <row r="44" spans="1:28" x14ac:dyDescent="0.25">
      <c r="A44" s="76"/>
      <c r="B44" s="76"/>
      <c r="C44" s="76"/>
      <c r="D44" s="76" t="s">
        <v>37</v>
      </c>
      <c r="E44" s="76" t="s">
        <v>40</v>
      </c>
      <c r="F44" s="76" t="s">
        <v>93</v>
      </c>
      <c r="G44" s="76" t="s">
        <v>94</v>
      </c>
    </row>
    <row r="45" spans="1:28" x14ac:dyDescent="0.25">
      <c r="A45" s="3">
        <v>175</v>
      </c>
      <c r="B45" s="3">
        <v>5.7142857142857143E-3</v>
      </c>
      <c r="C45" s="5">
        <v>0.375</v>
      </c>
      <c r="D45" s="5">
        <f>(C45*$D$60)</f>
        <v>0.375</v>
      </c>
      <c r="E45" s="5">
        <f>(C45*$E$60)</f>
        <v>0.375</v>
      </c>
      <c r="F45" s="5">
        <f>(C45*$F$60)</f>
        <v>0.25</v>
      </c>
      <c r="G45" s="5">
        <f>(C45*$G$60)</f>
        <v>0.1875</v>
      </c>
    </row>
    <row r="46" spans="1:28" x14ac:dyDescent="0.25">
      <c r="A46" s="3">
        <v>275</v>
      </c>
      <c r="B46" s="3">
        <v>3.6363636363636364E-3</v>
      </c>
      <c r="C46" s="5">
        <v>0.45</v>
      </c>
      <c r="D46" s="5">
        <f t="shared" ref="D46:D52" si="3">(C46*$D$60)</f>
        <v>0.45</v>
      </c>
      <c r="E46" s="5">
        <f t="shared" ref="E46:E52" si="4">(C46*$E$60)</f>
        <v>0.45</v>
      </c>
      <c r="F46" s="5">
        <f t="shared" ref="F46:F52" si="5">(C46*$F$60)</f>
        <v>0.3</v>
      </c>
      <c r="G46" s="5">
        <f t="shared" ref="G46:G52" si="6">(C46*$G$60)</f>
        <v>0.22500000000000001</v>
      </c>
    </row>
    <row r="47" spans="1:28" x14ac:dyDescent="0.25">
      <c r="A47" s="48">
        <v>475</v>
      </c>
      <c r="B47" s="48">
        <v>2.1052631578947368E-3</v>
      </c>
      <c r="C47" s="49">
        <v>0.5</v>
      </c>
      <c r="D47" s="49">
        <f t="shared" si="3"/>
        <v>0.5</v>
      </c>
      <c r="E47" s="49">
        <f t="shared" si="4"/>
        <v>0.5</v>
      </c>
      <c r="F47" s="49">
        <f t="shared" si="5"/>
        <v>0.33333333333333331</v>
      </c>
      <c r="G47" s="49">
        <f t="shared" si="6"/>
        <v>0.25</v>
      </c>
    </row>
    <row r="48" spans="1:28" x14ac:dyDescent="0.25">
      <c r="A48" s="3">
        <v>975</v>
      </c>
      <c r="B48" s="3">
        <v>1.0256410256410256E-3</v>
      </c>
      <c r="C48" s="5">
        <v>0.6</v>
      </c>
      <c r="D48" s="5">
        <f t="shared" si="3"/>
        <v>0.6</v>
      </c>
      <c r="E48" s="5">
        <f t="shared" si="4"/>
        <v>0.6</v>
      </c>
      <c r="F48" s="5">
        <f t="shared" si="5"/>
        <v>0.39999999999999997</v>
      </c>
      <c r="G48" s="5">
        <f t="shared" si="6"/>
        <v>0.3</v>
      </c>
    </row>
    <row r="49" spans="1:7" x14ac:dyDescent="0.25">
      <c r="A49" s="3">
        <v>1275</v>
      </c>
      <c r="B49" s="3">
        <v>7.8431372549019605E-4</v>
      </c>
      <c r="C49" s="5">
        <v>0.625</v>
      </c>
      <c r="D49" s="5">
        <f t="shared" si="3"/>
        <v>0.625</v>
      </c>
      <c r="E49" s="5">
        <f t="shared" si="4"/>
        <v>0.625</v>
      </c>
      <c r="F49" s="5">
        <f t="shared" si="5"/>
        <v>0.41666666666666663</v>
      </c>
      <c r="G49" s="5">
        <f t="shared" si="6"/>
        <v>0.3125</v>
      </c>
    </row>
    <row r="50" spans="1:7" x14ac:dyDescent="0.25">
      <c r="A50" s="48">
        <v>2475</v>
      </c>
      <c r="B50" s="48">
        <v>4.0404040404040404E-4</v>
      </c>
      <c r="C50" s="49">
        <v>0.75</v>
      </c>
      <c r="D50" s="49">
        <f t="shared" si="3"/>
        <v>0.75</v>
      </c>
      <c r="E50" s="49">
        <f t="shared" si="4"/>
        <v>0.75</v>
      </c>
      <c r="F50" s="49">
        <f t="shared" si="5"/>
        <v>0.5</v>
      </c>
      <c r="G50" s="49">
        <f t="shared" si="6"/>
        <v>0.375</v>
      </c>
    </row>
    <row r="51" spans="1:7" x14ac:dyDescent="0.25">
      <c r="A51" s="3">
        <v>4975</v>
      </c>
      <c r="B51" s="3">
        <v>2.0100502512562814E-4</v>
      </c>
      <c r="C51" s="5">
        <v>0.94</v>
      </c>
      <c r="D51" s="5">
        <f t="shared" si="3"/>
        <v>0.94</v>
      </c>
      <c r="E51" s="5">
        <f t="shared" si="4"/>
        <v>0.94</v>
      </c>
      <c r="F51" s="5">
        <f t="shared" si="5"/>
        <v>0.62666666666666659</v>
      </c>
      <c r="G51" s="5">
        <f t="shared" si="6"/>
        <v>0.47</v>
      </c>
    </row>
    <row r="52" spans="1:7" x14ac:dyDescent="0.25">
      <c r="A52" s="3">
        <v>9975</v>
      </c>
      <c r="B52" s="3">
        <v>1.0025062656641604E-4</v>
      </c>
      <c r="C52" s="5">
        <v>1.125</v>
      </c>
      <c r="D52" s="5">
        <f t="shared" si="3"/>
        <v>1.125</v>
      </c>
      <c r="E52" s="5">
        <f t="shared" si="4"/>
        <v>1.125</v>
      </c>
      <c r="F52" s="5">
        <f t="shared" si="5"/>
        <v>0.75</v>
      </c>
      <c r="G52" s="5">
        <f t="shared" si="6"/>
        <v>0.5625</v>
      </c>
    </row>
    <row r="53" spans="1:7" ht="15.75" thickBot="1" x14ac:dyDescent="0.3"/>
    <row r="54" spans="1:7" x14ac:dyDescent="0.25">
      <c r="A54" s="66" t="s">
        <v>92</v>
      </c>
      <c r="B54" s="67" t="s">
        <v>90</v>
      </c>
      <c r="C54" s="68" t="s">
        <v>91</v>
      </c>
    </row>
    <row r="55" spans="1:7" x14ac:dyDescent="0.25">
      <c r="A55" s="69">
        <v>1E-3</v>
      </c>
      <c r="B55" s="71">
        <f>1/475</f>
        <v>2.1052631578947368E-3</v>
      </c>
      <c r="C55" s="72">
        <f>1/2475</f>
        <v>4.0404040404040404E-4</v>
      </c>
    </row>
    <row r="56" spans="1:7" ht="15.75" thickBot="1" x14ac:dyDescent="0.3">
      <c r="A56" s="70">
        <v>4</v>
      </c>
      <c r="B56" s="73">
        <f>B55</f>
        <v>2.1052631578947368E-3</v>
      </c>
      <c r="C56" s="74">
        <f>C55</f>
        <v>4.0404040404040404E-4</v>
      </c>
    </row>
    <row r="58" spans="1:7" x14ac:dyDescent="0.25">
      <c r="C58" s="3" t="s">
        <v>88</v>
      </c>
      <c r="D58" s="3">
        <v>0</v>
      </c>
      <c r="E58" s="3">
        <v>1</v>
      </c>
      <c r="F58" s="3">
        <v>1.5</v>
      </c>
      <c r="G58" s="3">
        <v>2</v>
      </c>
    </row>
    <row r="59" spans="1:7" x14ac:dyDescent="0.25">
      <c r="C59" s="3"/>
      <c r="D59" s="47" t="s">
        <v>37</v>
      </c>
      <c r="E59" s="47" t="s">
        <v>40</v>
      </c>
      <c r="F59" s="47" t="s">
        <v>93</v>
      </c>
      <c r="G59" s="47" t="s">
        <v>94</v>
      </c>
    </row>
    <row r="60" spans="1:7" x14ac:dyDescent="0.25">
      <c r="C60" s="3" t="s">
        <v>89</v>
      </c>
      <c r="D60" s="75">
        <v>1</v>
      </c>
      <c r="E60" s="75">
        <f>(1/E58)</f>
        <v>1</v>
      </c>
      <c r="F60" s="75">
        <f t="shared" ref="F60:G60" si="7">(1/F58)</f>
        <v>0.66666666666666663</v>
      </c>
      <c r="G60" s="75">
        <f t="shared" si="7"/>
        <v>0.5</v>
      </c>
    </row>
    <row r="81" spans="1:10" x14ac:dyDescent="0.25">
      <c r="A81" s="96" t="s">
        <v>100</v>
      </c>
    </row>
    <row r="82" spans="1:10" ht="21.75" thickBot="1" x14ac:dyDescent="0.4">
      <c r="A82" s="52" t="s">
        <v>1</v>
      </c>
    </row>
    <row r="83" spans="1:10" x14ac:dyDescent="0.25">
      <c r="A83" s="60" t="s">
        <v>59</v>
      </c>
      <c r="B83" s="53">
        <v>75</v>
      </c>
      <c r="C83" s="53">
        <v>175</v>
      </c>
      <c r="D83" s="53">
        <v>275</v>
      </c>
      <c r="E83" s="61">
        <v>475</v>
      </c>
      <c r="F83" s="53">
        <v>975</v>
      </c>
      <c r="G83" s="53">
        <v>1275</v>
      </c>
      <c r="H83" s="61">
        <v>2475</v>
      </c>
      <c r="I83" s="53">
        <v>4975</v>
      </c>
      <c r="J83" s="54">
        <v>9975</v>
      </c>
    </row>
    <row r="84" spans="1:10" ht="15.75" thickBot="1" x14ac:dyDescent="0.3">
      <c r="A84" s="62" t="s">
        <v>60</v>
      </c>
      <c r="B84" s="63">
        <f>1/B83</f>
        <v>1.3333333333333334E-2</v>
      </c>
      <c r="C84" s="63">
        <f t="shared" ref="C84:J84" si="8">1/C83</f>
        <v>5.7142857142857143E-3</v>
      </c>
      <c r="D84" s="63">
        <f t="shared" si="8"/>
        <v>3.6363636363636364E-3</v>
      </c>
      <c r="E84" s="64">
        <f t="shared" si="8"/>
        <v>2.1052631578947368E-3</v>
      </c>
      <c r="F84" s="63">
        <f t="shared" si="8"/>
        <v>1.0256410256410256E-3</v>
      </c>
      <c r="G84" s="63">
        <f t="shared" si="8"/>
        <v>7.8431372549019605E-4</v>
      </c>
      <c r="H84" s="64">
        <f t="shared" si="8"/>
        <v>4.0404040404040404E-4</v>
      </c>
      <c r="I84" s="63">
        <f t="shared" si="8"/>
        <v>2.0100502512562814E-4</v>
      </c>
      <c r="J84" s="65">
        <f t="shared" si="8"/>
        <v>1.0025062656641604E-4</v>
      </c>
    </row>
    <row r="85" spans="1:10" x14ac:dyDescent="0.25">
      <c r="A85" s="16" t="s">
        <v>56</v>
      </c>
      <c r="B85" s="53">
        <v>2.1899999999999999E-2</v>
      </c>
      <c r="C85" s="53">
        <v>3.4599999999999999E-2</v>
      </c>
      <c r="D85" s="53">
        <v>4.36E-2</v>
      </c>
      <c r="E85" s="53">
        <v>5.6899999999999999E-2</v>
      </c>
      <c r="F85" s="53">
        <v>7.8299999999999995E-2</v>
      </c>
      <c r="G85" s="53">
        <v>8.6900000000000005E-2</v>
      </c>
      <c r="H85" s="53">
        <v>0.11119999999999999</v>
      </c>
      <c r="I85" s="53">
        <v>0.14269999999999999</v>
      </c>
      <c r="J85" s="54">
        <v>0.1822</v>
      </c>
    </row>
    <row r="86" spans="1:10" x14ac:dyDescent="0.25">
      <c r="A86" s="20" t="s">
        <v>57</v>
      </c>
      <c r="B86" s="55">
        <v>4.0500000000000001E-2</v>
      </c>
      <c r="C86" s="55">
        <v>7.2300000000000003E-2</v>
      </c>
      <c r="D86" s="55">
        <v>9.6799999999999997E-2</v>
      </c>
      <c r="E86" s="55">
        <v>0.1353</v>
      </c>
      <c r="F86" s="55">
        <v>0.2049</v>
      </c>
      <c r="G86" s="55">
        <v>0.23699999999999999</v>
      </c>
      <c r="H86" s="55">
        <v>0.33300000000000002</v>
      </c>
      <c r="I86" s="55">
        <v>0.46029999999999999</v>
      </c>
      <c r="J86" s="56">
        <v>0.61229999999999996</v>
      </c>
    </row>
    <row r="87" spans="1:10" ht="15.75" thickBot="1" x14ac:dyDescent="0.3">
      <c r="A87" s="57" t="s">
        <v>58</v>
      </c>
      <c r="B87" s="58">
        <v>7.6499999999999999E-2</v>
      </c>
      <c r="C87" s="58">
        <v>0.13089999999999999</v>
      </c>
      <c r="D87" s="58">
        <v>0.1736</v>
      </c>
      <c r="E87" s="58">
        <v>0.2392</v>
      </c>
      <c r="F87" s="58">
        <v>0.34949999999999998</v>
      </c>
      <c r="G87" s="58">
        <v>0.39689999999999998</v>
      </c>
      <c r="H87" s="58">
        <v>0.52990000000000004</v>
      </c>
      <c r="I87" s="58">
        <v>0.69689999999999996</v>
      </c>
      <c r="J87" s="59">
        <v>0.89090000000000003</v>
      </c>
    </row>
    <row r="90" spans="1:10" ht="21" x14ac:dyDescent="0.35">
      <c r="A90" s="52" t="s">
        <v>96</v>
      </c>
    </row>
    <row r="91" spans="1:10" ht="15.75" thickBot="1" x14ac:dyDescent="0.3">
      <c r="A91" s="57" t="s">
        <v>58</v>
      </c>
      <c r="B91">
        <v>5.2293892505633002E-2</v>
      </c>
      <c r="C91">
        <v>9.1064584612919997E-2</v>
      </c>
      <c r="D91">
        <v>0.12191817478853099</v>
      </c>
      <c r="E91">
        <v>0.172158491209953</v>
      </c>
      <c r="F91">
        <v>0.26363969697801198</v>
      </c>
      <c r="G91">
        <v>0.305479555921292</v>
      </c>
      <c r="H91">
        <v>0.426834471978288</v>
      </c>
      <c r="I91">
        <v>0.57765356581347205</v>
      </c>
      <c r="J91">
        <v>0.74716675566533297</v>
      </c>
    </row>
    <row r="93" spans="1:10" ht="21" x14ac:dyDescent="0.35">
      <c r="A93" s="52" t="s">
        <v>95</v>
      </c>
    </row>
    <row r="94" spans="1:10" ht="15.75" thickBot="1" x14ac:dyDescent="0.3">
      <c r="A94" s="57" t="s">
        <v>58</v>
      </c>
      <c r="B94">
        <v>3.3486886000579003E-2</v>
      </c>
      <c r="C94">
        <v>5.9594458260840998E-2</v>
      </c>
      <c r="D94">
        <v>8.0547131615930995E-2</v>
      </c>
      <c r="E94">
        <v>0.11528852544931099</v>
      </c>
      <c r="F94">
        <v>0.181452564394496</v>
      </c>
      <c r="G94">
        <v>0.213195345470754</v>
      </c>
      <c r="H94">
        <v>0.30794023513923302</v>
      </c>
      <c r="I94">
        <v>0.43256041752329799</v>
      </c>
      <c r="J94">
        <v>0.57806747652811596</v>
      </c>
    </row>
    <row r="96" spans="1:10" ht="21" x14ac:dyDescent="0.35">
      <c r="A96" s="52" t="s">
        <v>97</v>
      </c>
    </row>
    <row r="97" spans="1:10" ht="15.75" thickBot="1" x14ac:dyDescent="0.3">
      <c r="A97" s="57" t="s">
        <v>58</v>
      </c>
      <c r="B97">
        <v>2.4702999504088E-2</v>
      </c>
      <c r="C97">
        <v>4.4748869882656001E-2</v>
      </c>
      <c r="D97">
        <v>6.1009352382924001E-2</v>
      </c>
      <c r="E97">
        <v>8.7903875669160997E-2</v>
      </c>
      <c r="F97">
        <v>0.137771126536268</v>
      </c>
      <c r="G97">
        <v>0.161164194566945</v>
      </c>
      <c r="H97">
        <v>0.230078042282644</v>
      </c>
      <c r="I97">
        <v>0.31776596549538499</v>
      </c>
      <c r="J97">
        <v>0.41572709488854198</v>
      </c>
    </row>
  </sheetData>
  <mergeCells count="1">
    <mergeCell ref="D43:G4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2"/>
  <sheetViews>
    <sheetView tabSelected="1" topLeftCell="A43" zoomScale="70" zoomScaleNormal="70" workbookViewId="0">
      <selection activeCell="C65" sqref="C65"/>
    </sheetView>
  </sheetViews>
  <sheetFormatPr defaultRowHeight="15" x14ac:dyDescent="0.25"/>
  <cols>
    <col min="1" max="1" width="12.4257812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45" t="s">
        <v>0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74</v>
      </c>
      <c r="J1" s="45" t="s">
        <v>11</v>
      </c>
      <c r="K1" s="45" t="s">
        <v>12</v>
      </c>
      <c r="L1" s="45" t="s">
        <v>13</v>
      </c>
      <c r="M1" s="45" t="s">
        <v>14</v>
      </c>
      <c r="N1" s="45" t="s">
        <v>16</v>
      </c>
      <c r="O1" s="45" t="s">
        <v>17</v>
      </c>
      <c r="P1" s="45" t="s">
        <v>75</v>
      </c>
      <c r="Q1" s="45" t="s">
        <v>18</v>
      </c>
      <c r="R1" s="45" t="s">
        <v>76</v>
      </c>
      <c r="S1" s="45" t="s">
        <v>77</v>
      </c>
      <c r="T1" s="45" t="s">
        <v>19</v>
      </c>
      <c r="U1" s="45" t="s">
        <v>78</v>
      </c>
      <c r="V1" s="45" t="s">
        <v>79</v>
      </c>
      <c r="W1" s="45" t="s">
        <v>80</v>
      </c>
      <c r="X1" s="45" t="s">
        <v>21</v>
      </c>
      <c r="Y1" s="45" t="s">
        <v>81</v>
      </c>
      <c r="Z1" s="45" t="s">
        <v>82</v>
      </c>
      <c r="AA1" s="45" t="s">
        <v>83</v>
      </c>
      <c r="AB1" s="45" t="s">
        <v>84</v>
      </c>
    </row>
    <row r="2" spans="1:28" x14ac:dyDescent="0.25">
      <c r="A2">
        <v>1E-3</v>
      </c>
      <c r="B2">
        <v>0.62895619882499998</v>
      </c>
      <c r="C2">
        <v>0.63233946477500003</v>
      </c>
      <c r="D2">
        <v>0.63559518879999999</v>
      </c>
      <c r="E2">
        <v>0.65580938577500003</v>
      </c>
      <c r="F2">
        <v>0.67538236289999998</v>
      </c>
      <c r="G2">
        <v>0.72986493895000004</v>
      </c>
      <c r="H2">
        <v>0.76913570902500006</v>
      </c>
      <c r="I2">
        <v>0.81336740510000005</v>
      </c>
      <c r="J2">
        <v>0.83916115797500002</v>
      </c>
      <c r="K2">
        <v>0.85350880374999993</v>
      </c>
      <c r="L2">
        <v>0.89074438225000008</v>
      </c>
      <c r="M2">
        <v>0.91709981200000001</v>
      </c>
      <c r="N2">
        <v>0.93039720400000003</v>
      </c>
      <c r="O2">
        <v>0.86494634775000012</v>
      </c>
      <c r="P2">
        <v>0.77054938725</v>
      </c>
      <c r="Q2">
        <v>0.66623615174999995</v>
      </c>
      <c r="R2">
        <v>0.58147152050000006</v>
      </c>
      <c r="S2">
        <v>0.53614275249999999</v>
      </c>
      <c r="T2">
        <v>0.50243003225000005</v>
      </c>
      <c r="U2">
        <v>0.45129026799999999</v>
      </c>
      <c r="V2">
        <v>0.39717595425000002</v>
      </c>
      <c r="W2">
        <v>0.34051802850000001</v>
      </c>
      <c r="X2">
        <v>0.25698516582499997</v>
      </c>
      <c r="Y2">
        <v>0.17950517729999999</v>
      </c>
      <c r="Z2">
        <v>0.143276017325</v>
      </c>
      <c r="AA2">
        <v>0.109322565575</v>
      </c>
      <c r="AB2">
        <v>6.0438943949999997E-2</v>
      </c>
    </row>
    <row r="3" spans="1:28" x14ac:dyDescent="0.25">
      <c r="A3">
        <v>1.8374400000000001E-3</v>
      </c>
      <c r="B3">
        <v>0.39151487600000001</v>
      </c>
      <c r="C3">
        <v>0.39500273604999997</v>
      </c>
      <c r="D3">
        <v>0.39841814089999994</v>
      </c>
      <c r="E3">
        <v>0.41551573777500006</v>
      </c>
      <c r="F3">
        <v>0.43447469227500002</v>
      </c>
      <c r="G3">
        <v>0.47875349517499999</v>
      </c>
      <c r="H3">
        <v>0.51829463980000001</v>
      </c>
      <c r="I3">
        <v>0.57658184895000009</v>
      </c>
      <c r="J3">
        <v>0.61842563314999999</v>
      </c>
      <c r="K3">
        <v>0.64050258989999986</v>
      </c>
      <c r="L3">
        <v>0.67898657585</v>
      </c>
      <c r="M3">
        <v>0.68673458339999993</v>
      </c>
      <c r="N3">
        <v>0.66404047924999987</v>
      </c>
      <c r="O3">
        <v>0.58775561200000004</v>
      </c>
      <c r="P3">
        <v>0.50716612724999999</v>
      </c>
      <c r="Q3">
        <v>0.42716795000000002</v>
      </c>
      <c r="R3">
        <v>0.36799312637500003</v>
      </c>
      <c r="S3">
        <v>0.33751199337499999</v>
      </c>
      <c r="T3">
        <v>0.31571630300000003</v>
      </c>
      <c r="U3">
        <v>0.27974240797500005</v>
      </c>
      <c r="V3">
        <v>0.24287415877499996</v>
      </c>
      <c r="W3">
        <v>0.20574309629999998</v>
      </c>
      <c r="X3">
        <v>0.15482876925</v>
      </c>
      <c r="Y3">
        <v>0.1055033229</v>
      </c>
      <c r="Z3">
        <v>8.2014701500000009E-2</v>
      </c>
      <c r="AA3">
        <v>6.1554349212499998E-2</v>
      </c>
      <c r="AB3">
        <v>3.214029827875E-2</v>
      </c>
    </row>
    <row r="4" spans="1:28" x14ac:dyDescent="0.25">
      <c r="A4">
        <v>3.37617E-3</v>
      </c>
      <c r="B4">
        <v>0.23031760242500002</v>
      </c>
      <c r="C4">
        <v>0.23321927741249998</v>
      </c>
      <c r="D4">
        <v>0.23609443560000001</v>
      </c>
      <c r="E4">
        <v>0.24976683451250004</v>
      </c>
      <c r="F4">
        <v>0.26583368830000004</v>
      </c>
      <c r="G4">
        <v>0.29119434512499998</v>
      </c>
      <c r="H4">
        <v>0.31537125779999997</v>
      </c>
      <c r="I4">
        <v>0.35507521976249995</v>
      </c>
      <c r="J4">
        <v>0.38998426691249999</v>
      </c>
      <c r="K4">
        <v>0.41193626231250002</v>
      </c>
      <c r="L4">
        <v>0.45387594775000001</v>
      </c>
      <c r="M4">
        <v>0.4535548774</v>
      </c>
      <c r="N4">
        <v>0.41988081172500002</v>
      </c>
      <c r="O4">
        <v>0.36017257674999997</v>
      </c>
      <c r="P4">
        <v>0.30404757112500003</v>
      </c>
      <c r="Q4">
        <v>0.25391455415000003</v>
      </c>
      <c r="R4">
        <v>0.21636582724999998</v>
      </c>
      <c r="S4">
        <v>0.19741905837500001</v>
      </c>
      <c r="T4">
        <v>0.18416050307499998</v>
      </c>
      <c r="U4">
        <v>0.16211692707499997</v>
      </c>
      <c r="V4">
        <v>0.14023626757499999</v>
      </c>
      <c r="W4">
        <v>0.11784373938750001</v>
      </c>
      <c r="X4">
        <v>8.7239708249999992E-2</v>
      </c>
      <c r="Y4">
        <v>5.8185217687499999E-2</v>
      </c>
      <c r="Z4">
        <v>4.4105708162500007E-2</v>
      </c>
      <c r="AA4">
        <v>3.2070830704999997E-2</v>
      </c>
      <c r="AB4">
        <v>1.5852025527499997E-2</v>
      </c>
    </row>
    <row r="5" spans="1:28" x14ac:dyDescent="0.25">
      <c r="A5">
        <v>6.2034899999999999E-3</v>
      </c>
      <c r="B5">
        <v>0.13021499759374999</v>
      </c>
      <c r="C5">
        <v>0.13219292628625001</v>
      </c>
      <c r="D5">
        <v>0.1341731507475</v>
      </c>
      <c r="E5">
        <v>0.14406865896499998</v>
      </c>
      <c r="F5">
        <v>0.15611476208</v>
      </c>
      <c r="G5">
        <v>0.17045991130499999</v>
      </c>
      <c r="H5">
        <v>0.18338925463125</v>
      </c>
      <c r="I5">
        <v>0.20479932809250001</v>
      </c>
      <c r="J5">
        <v>0.22373258924125</v>
      </c>
      <c r="K5">
        <v>0.23664982719999997</v>
      </c>
      <c r="L5">
        <v>0.26478825023750008</v>
      </c>
      <c r="M5">
        <v>0.26510340930000004</v>
      </c>
      <c r="N5">
        <v>0.23943310595000003</v>
      </c>
      <c r="O5">
        <v>0.20264657454999999</v>
      </c>
      <c r="P5">
        <v>0.16888911294999998</v>
      </c>
      <c r="Q5">
        <v>0.14063267085</v>
      </c>
      <c r="R5">
        <v>0.11938101003749998</v>
      </c>
      <c r="S5">
        <v>0.10882068222499999</v>
      </c>
      <c r="T5">
        <v>0.10138449013749999</v>
      </c>
      <c r="U5">
        <v>8.8566760049999999E-2</v>
      </c>
      <c r="V5">
        <v>7.6014487287500002E-2</v>
      </c>
      <c r="W5">
        <v>6.322533990000001E-2</v>
      </c>
      <c r="X5">
        <v>4.6137476262499991E-2</v>
      </c>
      <c r="Y5">
        <v>2.9688888518749998E-2</v>
      </c>
      <c r="Z5">
        <v>2.1952331786250001E-2</v>
      </c>
      <c r="AA5">
        <v>1.5587991411249998E-2</v>
      </c>
      <c r="AB5">
        <v>7.392612865875E-3</v>
      </c>
    </row>
    <row r="6" spans="1:28" x14ac:dyDescent="0.25">
      <c r="A6">
        <v>1.1398500000000001E-2</v>
      </c>
      <c r="B6">
        <v>7.0132479508749998E-2</v>
      </c>
      <c r="C6">
        <v>7.1287486963749994E-2</v>
      </c>
      <c r="D6">
        <v>7.2451759886250008E-2</v>
      </c>
      <c r="E6">
        <v>7.9004813261250001E-2</v>
      </c>
      <c r="F6">
        <v>8.7186510924999988E-2</v>
      </c>
      <c r="G6">
        <v>9.5841035766499993E-2</v>
      </c>
      <c r="H6">
        <v>0.10318920077437499</v>
      </c>
      <c r="I6">
        <v>0.1147647496685</v>
      </c>
      <c r="J6">
        <v>0.12388892919337499</v>
      </c>
      <c r="K6">
        <v>0.13023705335462499</v>
      </c>
      <c r="L6">
        <v>0.14296190990999999</v>
      </c>
      <c r="M6">
        <v>0.14254546426125</v>
      </c>
      <c r="N6">
        <v>0.12713933261749999</v>
      </c>
      <c r="O6">
        <v>0.10671708369999999</v>
      </c>
      <c r="P6">
        <v>8.8399009774999981E-2</v>
      </c>
      <c r="Q6">
        <v>7.3775530275000001E-2</v>
      </c>
      <c r="R6">
        <v>6.2257490400000004E-2</v>
      </c>
      <c r="S6">
        <v>5.6636096922500004E-2</v>
      </c>
      <c r="T6">
        <v>5.2687065285000008E-2</v>
      </c>
      <c r="U6">
        <v>4.5565450567499999E-2</v>
      </c>
      <c r="V6">
        <v>3.8632276202499996E-2</v>
      </c>
      <c r="W6">
        <v>3.1610819234999997E-2</v>
      </c>
      <c r="X6">
        <v>2.25534720625E-2</v>
      </c>
      <c r="Y6">
        <v>1.4084682751250001E-2</v>
      </c>
      <c r="Z6">
        <v>1.0048148524125E-2</v>
      </c>
      <c r="AA6">
        <v>6.9222798885000001E-3</v>
      </c>
      <c r="AB6">
        <v>3.15799599107625E-3</v>
      </c>
    </row>
    <row r="7" spans="1:28" x14ac:dyDescent="0.25">
      <c r="A7">
        <v>2.09441E-2</v>
      </c>
      <c r="B7">
        <v>3.5647570108700004E-2</v>
      </c>
      <c r="C7">
        <v>3.62630045541125E-2</v>
      </c>
      <c r="D7">
        <v>3.6884803153937495E-2</v>
      </c>
      <c r="E7">
        <v>4.0917773116362501E-2</v>
      </c>
      <c r="F7">
        <v>4.6065948731424999E-2</v>
      </c>
      <c r="G7">
        <v>5.1378272536537498E-2</v>
      </c>
      <c r="H7">
        <v>5.5750732736850002E-2</v>
      </c>
      <c r="I7">
        <v>6.2355424416062497E-2</v>
      </c>
      <c r="J7">
        <v>6.6827867493387511E-2</v>
      </c>
      <c r="K7">
        <v>6.9879073309012496E-2</v>
      </c>
      <c r="L7">
        <v>7.4666832875587508E-2</v>
      </c>
      <c r="M7">
        <v>7.3268154041624997E-2</v>
      </c>
      <c r="N7">
        <v>6.4358404892499999E-2</v>
      </c>
      <c r="O7">
        <v>5.3328484447500005E-2</v>
      </c>
      <c r="P7">
        <v>4.3862142273750002E-2</v>
      </c>
      <c r="Q7">
        <v>3.6562483605000001E-2</v>
      </c>
      <c r="R7">
        <v>3.0538810875000003E-2</v>
      </c>
      <c r="S7">
        <v>2.7648188683749998E-2</v>
      </c>
      <c r="T7">
        <v>2.5624608933749998E-2</v>
      </c>
      <c r="U7">
        <v>2.1877639188749999E-2</v>
      </c>
      <c r="V7">
        <v>1.82785635725E-2</v>
      </c>
      <c r="W7">
        <v>1.47059243475E-2</v>
      </c>
      <c r="X7">
        <v>1.0184102786500001E-2</v>
      </c>
      <c r="Y7">
        <v>6.1822878828750004E-3</v>
      </c>
      <c r="Z7">
        <v>4.2567787756499992E-3</v>
      </c>
      <c r="AA7">
        <v>2.8141848547E-3</v>
      </c>
      <c r="AB7">
        <v>1.2488634354563862E-3</v>
      </c>
    </row>
    <row r="8" spans="1:28" x14ac:dyDescent="0.25">
      <c r="A8">
        <v>3.8483299999999998E-2</v>
      </c>
      <c r="B8">
        <v>1.6854862909638002E-2</v>
      </c>
      <c r="C8">
        <v>1.7163679915940002E-2</v>
      </c>
      <c r="D8">
        <v>1.7475928047866247E-2</v>
      </c>
      <c r="E8">
        <v>1.9777774155739249E-2</v>
      </c>
      <c r="F8">
        <v>2.2775673829547375E-2</v>
      </c>
      <c r="G8">
        <v>2.5920040644783496E-2</v>
      </c>
      <c r="H8">
        <v>2.8516948686945674E-2</v>
      </c>
      <c r="I8">
        <v>3.2383240788646871E-2</v>
      </c>
      <c r="J8">
        <v>3.4711787737927748E-2</v>
      </c>
      <c r="K8">
        <v>3.6247208859679143E-2</v>
      </c>
      <c r="L8">
        <v>3.7995051019414881E-2</v>
      </c>
      <c r="M8">
        <v>3.639848877597375E-2</v>
      </c>
      <c r="N8">
        <v>3.11367737441E-2</v>
      </c>
      <c r="O8">
        <v>2.5197261392374999E-2</v>
      </c>
      <c r="P8">
        <v>2.0478679106E-2</v>
      </c>
      <c r="Q8">
        <v>1.7004567976124998E-2</v>
      </c>
      <c r="R8">
        <v>1.4041167029624999E-2</v>
      </c>
      <c r="S8">
        <v>1.2635468142624999E-2</v>
      </c>
      <c r="T8">
        <v>1.166119640675E-2</v>
      </c>
      <c r="U8">
        <v>9.8105925133750004E-3</v>
      </c>
      <c r="V8">
        <v>8.0619317728749997E-3</v>
      </c>
      <c r="W8">
        <v>6.3614389198874983E-3</v>
      </c>
      <c r="X8">
        <v>4.2746145784500001E-3</v>
      </c>
      <c r="Y8">
        <v>2.5090692463775005E-3</v>
      </c>
      <c r="Z8">
        <v>1.6477921914312497E-3</v>
      </c>
      <c r="AA8">
        <v>1.0463432465707499E-3</v>
      </c>
      <c r="AB8">
        <v>4.601140517498175E-4</v>
      </c>
    </row>
    <row r="9" spans="1:28" x14ac:dyDescent="0.25">
      <c r="A9">
        <v>7.0710700000000001E-2</v>
      </c>
      <c r="B9">
        <v>7.2977983982423968E-3</v>
      </c>
      <c r="C9">
        <v>7.4437631985154202E-3</v>
      </c>
      <c r="D9">
        <v>7.5914531210998937E-3</v>
      </c>
      <c r="E9">
        <v>8.7833084184496361E-3</v>
      </c>
      <c r="F9">
        <v>1.036615932053659E-2</v>
      </c>
      <c r="G9">
        <v>1.2078856273283065E-2</v>
      </c>
      <c r="H9">
        <v>1.3531725169095263E-2</v>
      </c>
      <c r="I9">
        <v>1.5713136545213193E-2</v>
      </c>
      <c r="J9">
        <v>1.6964145814493001E-2</v>
      </c>
      <c r="K9">
        <v>1.7774821249774E-2</v>
      </c>
      <c r="L9">
        <v>1.8553139426726008E-2</v>
      </c>
      <c r="M9">
        <v>1.7341224242764894E-2</v>
      </c>
      <c r="N9">
        <v>1.4283615558109825E-2</v>
      </c>
      <c r="O9">
        <v>1.1183149417971251E-2</v>
      </c>
      <c r="P9">
        <v>8.9474671189499998E-3</v>
      </c>
      <c r="Q9">
        <v>7.3841398717237492E-3</v>
      </c>
      <c r="R9">
        <v>6.0188710474725002E-3</v>
      </c>
      <c r="S9">
        <v>5.3765236049575001E-3</v>
      </c>
      <c r="T9">
        <v>4.9439683660587493E-3</v>
      </c>
      <c r="U9">
        <v>4.0989910607337494E-3</v>
      </c>
      <c r="V9">
        <v>3.31330107806125E-3</v>
      </c>
      <c r="W9">
        <v>2.5485055940987502E-3</v>
      </c>
      <c r="X9">
        <v>1.6561986391708753E-3</v>
      </c>
      <c r="Y9">
        <v>9.3817358328850001E-4</v>
      </c>
      <c r="Z9">
        <v>5.7175414417221253E-4</v>
      </c>
      <c r="AA9">
        <v>3.5105291234422255E-4</v>
      </c>
      <c r="AB9">
        <v>1.5311240579986632E-4</v>
      </c>
    </row>
    <row r="10" spans="1:28" x14ac:dyDescent="0.25">
      <c r="A10">
        <v>0.12992600000000001</v>
      </c>
      <c r="B10">
        <v>2.8492364654759549E-3</v>
      </c>
      <c r="C10">
        <v>2.9136820533448102E-3</v>
      </c>
      <c r="D10">
        <v>2.9789385372928768E-3</v>
      </c>
      <c r="E10">
        <v>3.5287643157197401E-3</v>
      </c>
      <c r="F10">
        <v>4.271594895537475E-3</v>
      </c>
      <c r="G10">
        <v>5.1052198496605895E-3</v>
      </c>
      <c r="H10">
        <v>5.84265437082984E-3</v>
      </c>
      <c r="I10">
        <v>6.9724652261593401E-3</v>
      </c>
      <c r="J10">
        <v>7.6188066936648917E-3</v>
      </c>
      <c r="K10">
        <v>8.0376973095893402E-3</v>
      </c>
      <c r="L10">
        <v>8.4762359530079802E-3</v>
      </c>
      <c r="M10">
        <v>7.7996843795261998E-3</v>
      </c>
      <c r="N10">
        <v>6.1340252274300813E-3</v>
      </c>
      <c r="O10">
        <v>4.608611914140576E-3</v>
      </c>
      <c r="P10">
        <v>3.6177003795929245E-3</v>
      </c>
      <c r="Q10">
        <v>2.9599230287115749E-3</v>
      </c>
      <c r="R10">
        <v>2.3738614641126065E-3</v>
      </c>
      <c r="S10">
        <v>2.0995666974270924E-3</v>
      </c>
      <c r="T10">
        <v>1.9248926957428274E-3</v>
      </c>
      <c r="U10">
        <v>1.573404333328214E-3</v>
      </c>
      <c r="V10">
        <v>1.2525816520441899E-3</v>
      </c>
      <c r="W10">
        <v>9.2748483603299209E-4</v>
      </c>
      <c r="X10">
        <v>5.766760730457817E-4</v>
      </c>
      <c r="Y10">
        <v>3.191845237099301E-4</v>
      </c>
      <c r="Z10">
        <v>1.8539034295948602E-4</v>
      </c>
      <c r="AA10">
        <v>1.1893646460803283E-4</v>
      </c>
      <c r="AB10">
        <v>5.9649067170549997E-5</v>
      </c>
    </row>
    <row r="11" spans="1:28" x14ac:dyDescent="0.25">
      <c r="A11">
        <v>0.238731</v>
      </c>
      <c r="B11">
        <v>9.7771603843247075E-4</v>
      </c>
      <c r="C11">
        <v>1.00357083635751E-3</v>
      </c>
      <c r="D11">
        <v>1.0298145220518577E-3</v>
      </c>
      <c r="E11">
        <v>1.2516515168452948E-3</v>
      </c>
      <c r="F11">
        <v>1.556924014906866E-3</v>
      </c>
      <c r="G11">
        <v>1.913759327779046E-3</v>
      </c>
      <c r="H11">
        <v>2.2466507417427842E-3</v>
      </c>
      <c r="I11">
        <v>2.7706829601295366E-3</v>
      </c>
      <c r="J11">
        <v>3.0788433750217011E-3</v>
      </c>
      <c r="K11">
        <v>3.2802747001869697E-3</v>
      </c>
      <c r="L11">
        <v>3.534613228477001E-3</v>
      </c>
      <c r="M11">
        <v>3.2322569013168668E-3</v>
      </c>
      <c r="N11">
        <v>2.431890192395E-3</v>
      </c>
      <c r="O11">
        <v>1.7540590292239751E-3</v>
      </c>
      <c r="P11">
        <v>1.3490578870460261E-3</v>
      </c>
      <c r="Q11">
        <v>1.0894446066947025E-3</v>
      </c>
      <c r="R11">
        <v>8.5041983586977492E-4</v>
      </c>
      <c r="S11">
        <v>7.38087256457325E-4</v>
      </c>
      <c r="T11">
        <v>6.7297180196636253E-4</v>
      </c>
      <c r="U11">
        <v>5.4495039562879371E-4</v>
      </c>
      <c r="V11">
        <v>4.3134504448386502E-4</v>
      </c>
      <c r="W11">
        <v>3.0329428990566562E-4</v>
      </c>
      <c r="X11">
        <v>1.8594749393349935E-4</v>
      </c>
      <c r="Y11">
        <v>1.0758000707867391E-4</v>
      </c>
      <c r="Z11">
        <v>5.963685175652E-5</v>
      </c>
      <c r="AA11">
        <v>3.9995406376256998E-5</v>
      </c>
      <c r="AB11">
        <v>2.5031778224918699E-5</v>
      </c>
    </row>
    <row r="12" spans="1:28" x14ac:dyDescent="0.25">
      <c r="A12">
        <v>0.43865300000000002</v>
      </c>
      <c r="B12">
        <v>2.8403969463420702E-4</v>
      </c>
      <c r="C12">
        <v>2.9280109165131515E-4</v>
      </c>
      <c r="D12">
        <v>3.0174355071678781E-4</v>
      </c>
      <c r="E12">
        <v>3.7465109561079032E-4</v>
      </c>
      <c r="F12">
        <v>4.7899714996334008E-4</v>
      </c>
      <c r="G12">
        <v>6.0875441638846156E-4</v>
      </c>
      <c r="H12">
        <v>7.3911478230171519E-4</v>
      </c>
      <c r="I12">
        <v>9.5219125754346693E-4</v>
      </c>
      <c r="J12">
        <v>1.0849045098567307E-3</v>
      </c>
      <c r="K12">
        <v>1.1728742363873381E-3</v>
      </c>
      <c r="L12">
        <v>1.3118263548546377E-3</v>
      </c>
      <c r="M12">
        <v>1.2015752467326251E-3</v>
      </c>
      <c r="N12">
        <v>8.6920130406115343E-4</v>
      </c>
      <c r="O12">
        <v>6.1046407342926247E-4</v>
      </c>
      <c r="P12">
        <v>4.6663692491981748E-4</v>
      </c>
      <c r="Q12">
        <v>3.7612470475646053E-4</v>
      </c>
      <c r="R12">
        <v>2.8280782993743891E-4</v>
      </c>
      <c r="S12">
        <v>2.3785273635347438E-4</v>
      </c>
      <c r="T12">
        <v>2.1616059520723039E-4</v>
      </c>
      <c r="U12">
        <v>1.7620854441816888E-4</v>
      </c>
      <c r="V12">
        <v>1.4182617764834775E-4</v>
      </c>
      <c r="W12">
        <v>9.1527539101010232E-5</v>
      </c>
      <c r="X12">
        <v>5.6886110641691905E-5</v>
      </c>
      <c r="Y12">
        <v>3.5484510523874228E-5</v>
      </c>
      <c r="Z12">
        <v>1.8094118028979256E-5</v>
      </c>
      <c r="AA12">
        <v>1.2464884302947648E-5</v>
      </c>
      <c r="AB12">
        <v>9.6693549182040742E-6</v>
      </c>
    </row>
    <row r="13" spans="1:28" x14ac:dyDescent="0.25">
      <c r="A13">
        <v>0.80599699999999996</v>
      </c>
      <c r="B13">
        <v>6.913113741951301E-5</v>
      </c>
      <c r="C13">
        <v>7.1502501146962003E-5</v>
      </c>
      <c r="D13">
        <v>7.3935195401717501E-5</v>
      </c>
      <c r="E13">
        <v>9.12920453777175E-5</v>
      </c>
      <c r="F13">
        <v>1.1760375675065538E-4</v>
      </c>
      <c r="G13">
        <v>1.5388385278363077E-4</v>
      </c>
      <c r="H13">
        <v>1.9450811612897365E-4</v>
      </c>
      <c r="I13">
        <v>2.6544781474043775E-4</v>
      </c>
      <c r="J13">
        <v>3.1461103475779713E-4</v>
      </c>
      <c r="K13">
        <v>3.479510921383668E-4</v>
      </c>
      <c r="L13">
        <v>4.1481417453395099E-4</v>
      </c>
      <c r="M13">
        <v>3.8510029580225653E-4</v>
      </c>
      <c r="N13">
        <v>2.6983510382797699E-4</v>
      </c>
      <c r="O13">
        <v>1.8754415857644762E-4</v>
      </c>
      <c r="P13">
        <v>1.4714892283540211E-4</v>
      </c>
      <c r="Q13">
        <v>1.2207082350011717E-4</v>
      </c>
      <c r="R13">
        <v>8.6190223910196523E-5</v>
      </c>
      <c r="S13">
        <v>6.8481715566091729E-5</v>
      </c>
      <c r="T13">
        <v>6.26839628251153E-5</v>
      </c>
      <c r="U13">
        <v>5.2545546523420262E-5</v>
      </c>
      <c r="V13">
        <v>4.4271433996280052E-5</v>
      </c>
      <c r="W13">
        <v>2.4311258760074414E-5</v>
      </c>
      <c r="X13">
        <v>1.5724124954888403E-5</v>
      </c>
      <c r="Y13">
        <v>1.1092141272831569E-5</v>
      </c>
      <c r="Z13">
        <v>4.8981540746380886E-6</v>
      </c>
      <c r="AA13">
        <v>3.3567494976423503E-6</v>
      </c>
      <c r="AB13">
        <v>3.1161257738953502E-6</v>
      </c>
    </row>
    <row r="14" spans="1:28" x14ac:dyDescent="0.25">
      <c r="A14">
        <v>1.4809699999999999</v>
      </c>
      <c r="B14">
        <v>1.4802845531204761E-5</v>
      </c>
      <c r="C14">
        <v>1.5352823047046008E-5</v>
      </c>
      <c r="D14">
        <v>1.591734948525445E-5</v>
      </c>
      <c r="E14">
        <v>1.8770401671223675E-5</v>
      </c>
      <c r="F14">
        <v>2.3178355226122247E-5</v>
      </c>
      <c r="G14">
        <v>3.0093230081652005E-5</v>
      </c>
      <c r="H14">
        <v>3.88255305480665E-5</v>
      </c>
      <c r="I14">
        <v>5.5737674578716507E-5</v>
      </c>
      <c r="J14">
        <v>6.950468519438153E-5</v>
      </c>
      <c r="K14">
        <v>7.9192822331163243E-5</v>
      </c>
      <c r="L14">
        <v>1.0405582619933759E-4</v>
      </c>
      <c r="M14">
        <v>9.9438718666965245E-5</v>
      </c>
      <c r="N14">
        <v>6.7965922188930515E-5</v>
      </c>
      <c r="O14">
        <v>4.8093686539405155E-5</v>
      </c>
      <c r="P14">
        <v>4.1728931305066903E-5</v>
      </c>
      <c r="Q14">
        <v>3.7856046392236005E-5</v>
      </c>
      <c r="R14">
        <v>2.355444381302325E-5</v>
      </c>
      <c r="S14">
        <v>1.6841810497417252E-5</v>
      </c>
      <c r="T14">
        <v>1.5819072812022252E-5</v>
      </c>
      <c r="U14">
        <v>1.4160905324871375E-5</v>
      </c>
      <c r="V14">
        <v>1.2964556750221853E-5</v>
      </c>
      <c r="W14">
        <v>5.4870185339353975E-6</v>
      </c>
      <c r="X14">
        <v>3.766594059597147E-6</v>
      </c>
      <c r="Y14">
        <v>3.100141620092515E-6</v>
      </c>
      <c r="Z14">
        <v>1.0896123130978226E-6</v>
      </c>
      <c r="AA14">
        <v>7.204376619423926E-7</v>
      </c>
      <c r="AB14">
        <v>7.5433344123851134E-7</v>
      </c>
    </row>
    <row r="15" spans="1:28" x14ac:dyDescent="0.25">
      <c r="A15">
        <v>2.7211799999999999</v>
      </c>
      <c r="B15">
        <v>2.7155729759079806E-6</v>
      </c>
      <c r="C15">
        <v>2.8359942049685146E-6</v>
      </c>
      <c r="D15">
        <v>2.9598165783509103E-6</v>
      </c>
      <c r="E15">
        <v>3.3413775167221617E-6</v>
      </c>
      <c r="F15">
        <v>3.8723472738328875E-6</v>
      </c>
      <c r="G15">
        <v>4.7574945964027371E-6</v>
      </c>
      <c r="H15">
        <v>5.9583269765667402E-6</v>
      </c>
      <c r="I15">
        <v>8.5529070176691004E-6</v>
      </c>
      <c r="J15">
        <v>1.1068611514991251E-5</v>
      </c>
      <c r="K15">
        <v>1.2911251839997748E-5</v>
      </c>
      <c r="L15">
        <v>1.8974163319380248E-5</v>
      </c>
      <c r="M15">
        <v>1.8901671770024828E-5</v>
      </c>
      <c r="N15">
        <v>1.2942785657624074E-5</v>
      </c>
      <c r="O15">
        <v>1.0017688046663117E-5</v>
      </c>
      <c r="P15">
        <v>1.074958001650116E-5</v>
      </c>
      <c r="Q15">
        <v>1.1278981106121818E-5</v>
      </c>
      <c r="R15">
        <v>5.7200440414152912E-6</v>
      </c>
      <c r="S15">
        <v>3.4904284249457752E-6</v>
      </c>
      <c r="T15">
        <v>3.4320176838452324E-6</v>
      </c>
      <c r="U15">
        <v>3.3813606969133375E-6</v>
      </c>
      <c r="V15">
        <v>3.4083496804242651E-6</v>
      </c>
      <c r="W15">
        <v>1.0220495260428906E-6</v>
      </c>
      <c r="X15">
        <v>7.2439296048416243E-7</v>
      </c>
      <c r="Y15">
        <v>6.9553201199566131E-7</v>
      </c>
      <c r="Z15">
        <v>1.800558410003794E-7</v>
      </c>
      <c r="AA15">
        <v>1.1318907713349674E-7</v>
      </c>
      <c r="AB15">
        <v>1.2509962994881005E-7</v>
      </c>
    </row>
    <row r="16" spans="1:28" x14ac:dyDescent="0.25">
      <c r="A16">
        <v>5</v>
      </c>
      <c r="B16">
        <v>3.4901867549027744E-7</v>
      </c>
      <c r="C16">
        <v>3.6971350872335101E-7</v>
      </c>
      <c r="D16">
        <v>3.9123801111377806E-7</v>
      </c>
      <c r="E16">
        <v>4.4132181652082998E-7</v>
      </c>
      <c r="F16">
        <v>5.0103467451755994E-7</v>
      </c>
      <c r="G16">
        <v>5.8899905225138947E-7</v>
      </c>
      <c r="H16">
        <v>7.0527890656562253E-7</v>
      </c>
      <c r="I16">
        <v>9.6800142655811273E-7</v>
      </c>
      <c r="J16">
        <v>1.2570965227016485E-6</v>
      </c>
      <c r="K16">
        <v>1.4719394448042942E-6</v>
      </c>
      <c r="L16">
        <v>2.349118642666577E-6</v>
      </c>
      <c r="M16">
        <v>2.5067312845318389E-6</v>
      </c>
      <c r="N16">
        <v>1.877192457253606E-6</v>
      </c>
      <c r="O16">
        <v>1.7175708899013839E-6</v>
      </c>
      <c r="P16">
        <v>2.3845087215249719E-6</v>
      </c>
      <c r="Q16">
        <v>2.8427823667553801E-6</v>
      </c>
      <c r="R16">
        <v>1.1429335203988965E-6</v>
      </c>
      <c r="S16">
        <v>5.8409313828626573E-7</v>
      </c>
      <c r="T16">
        <v>6.036669162455415E-7</v>
      </c>
      <c r="U16">
        <v>6.5227341040863176E-7</v>
      </c>
      <c r="V16">
        <v>7.1317965361588708E-7</v>
      </c>
      <c r="W16">
        <v>1.4516325225549754E-7</v>
      </c>
      <c r="X16">
        <v>1.000876857173599E-7</v>
      </c>
      <c r="Y16">
        <v>1.1267250358923437E-7</v>
      </c>
      <c r="Z16">
        <v>2.0272250767797278E-8</v>
      </c>
      <c r="AA16">
        <v>1.2098331825780325E-8</v>
      </c>
      <c r="AB16">
        <v>1.3387669962E-8</v>
      </c>
    </row>
    <row r="19" spans="1:28" x14ac:dyDescent="0.25">
      <c r="A19" s="45" t="s">
        <v>85</v>
      </c>
      <c r="B19" s="45">
        <v>1.85</v>
      </c>
    </row>
    <row r="20" spans="1:28" x14ac:dyDescent="0.25">
      <c r="A20" s="46" t="s">
        <v>87</v>
      </c>
      <c r="B20" s="46"/>
    </row>
    <row r="21" spans="1:28" x14ac:dyDescent="0.25">
      <c r="A21" s="45" t="s">
        <v>0</v>
      </c>
      <c r="B21" s="45" t="s">
        <v>2</v>
      </c>
      <c r="C21" s="45" t="s">
        <v>3</v>
      </c>
      <c r="D21" s="45" t="s">
        <v>4</v>
      </c>
      <c r="E21" s="45" t="s">
        <v>5</v>
      </c>
      <c r="F21" s="45" t="s">
        <v>6</v>
      </c>
      <c r="G21" s="45" t="s">
        <v>7</v>
      </c>
      <c r="H21" s="45" t="s">
        <v>8</v>
      </c>
      <c r="I21" s="45" t="s">
        <v>74</v>
      </c>
      <c r="J21" s="45" t="s">
        <v>11</v>
      </c>
      <c r="K21" s="45" t="s">
        <v>12</v>
      </c>
      <c r="L21" s="45" t="s">
        <v>13</v>
      </c>
      <c r="M21" s="45" t="s">
        <v>14</v>
      </c>
      <c r="N21" s="45" t="s">
        <v>16</v>
      </c>
      <c r="O21" s="45" t="s">
        <v>17</v>
      </c>
      <c r="P21" s="45" t="s">
        <v>75</v>
      </c>
      <c r="Q21" s="45" t="s">
        <v>18</v>
      </c>
      <c r="R21" s="45" t="s">
        <v>76</v>
      </c>
      <c r="S21" s="45" t="s">
        <v>77</v>
      </c>
      <c r="T21" s="45" t="s">
        <v>19</v>
      </c>
      <c r="U21" s="45" t="s">
        <v>78</v>
      </c>
      <c r="V21" s="45" t="s">
        <v>79</v>
      </c>
      <c r="W21" s="45" t="s">
        <v>80</v>
      </c>
      <c r="X21" s="45" t="s">
        <v>21</v>
      </c>
      <c r="Y21" s="45" t="s">
        <v>81</v>
      </c>
      <c r="Z21" s="45" t="s">
        <v>82</v>
      </c>
      <c r="AA21" s="45" t="s">
        <v>83</v>
      </c>
      <c r="AB21" s="45" t="s">
        <v>84</v>
      </c>
    </row>
    <row r="22" spans="1:28" x14ac:dyDescent="0.25">
      <c r="A22">
        <v>1E-3</v>
      </c>
      <c r="B22">
        <f>($B$19*B2)</f>
        <v>1.16356896782625</v>
      </c>
      <c r="C22">
        <f t="shared" ref="C22:AB32" si="0">($B$19*C2)</f>
        <v>1.1698280098337501</v>
      </c>
      <c r="D22">
        <f t="shared" si="0"/>
        <v>1.17585109928</v>
      </c>
      <c r="E22">
        <f t="shared" si="0"/>
        <v>1.2132473636837502</v>
      </c>
      <c r="F22">
        <f t="shared" si="0"/>
        <v>1.2494573713650001</v>
      </c>
      <c r="G22">
        <f t="shared" si="0"/>
        <v>1.3502501370575002</v>
      </c>
      <c r="H22">
        <f t="shared" si="0"/>
        <v>1.4229010616962501</v>
      </c>
      <c r="I22">
        <f t="shared" si="0"/>
        <v>1.5047296994350001</v>
      </c>
      <c r="J22">
        <f t="shared" si="0"/>
        <v>1.5524481422537502</v>
      </c>
      <c r="K22">
        <f t="shared" si="0"/>
        <v>1.5789912869375</v>
      </c>
      <c r="L22">
        <f t="shared" si="0"/>
        <v>1.6478771071625002</v>
      </c>
      <c r="M22">
        <f t="shared" si="0"/>
        <v>1.6966346522000002</v>
      </c>
      <c r="N22">
        <f t="shared" si="0"/>
        <v>1.7212348274000002</v>
      </c>
      <c r="O22">
        <f t="shared" si="0"/>
        <v>1.6001507433375004</v>
      </c>
      <c r="P22">
        <f t="shared" si="0"/>
        <v>1.4255163664125001</v>
      </c>
      <c r="Q22">
        <f t="shared" si="0"/>
        <v>1.2325368807374999</v>
      </c>
      <c r="R22">
        <f t="shared" si="0"/>
        <v>1.0757223129250002</v>
      </c>
      <c r="S22">
        <f t="shared" si="0"/>
        <v>0.99186409212500004</v>
      </c>
      <c r="T22">
        <f t="shared" si="0"/>
        <v>0.92949555966250008</v>
      </c>
      <c r="U22">
        <f t="shared" si="0"/>
        <v>0.83488699580000003</v>
      </c>
      <c r="V22">
        <f t="shared" si="0"/>
        <v>0.73477551536250008</v>
      </c>
      <c r="W22">
        <f t="shared" si="0"/>
        <v>0.629958352725</v>
      </c>
      <c r="X22">
        <f t="shared" si="0"/>
        <v>0.47542255677624995</v>
      </c>
      <c r="Y22">
        <f t="shared" si="0"/>
        <v>0.33208457800499996</v>
      </c>
      <c r="Z22">
        <f t="shared" si="0"/>
        <v>0.26506063205125002</v>
      </c>
      <c r="AA22">
        <f t="shared" si="0"/>
        <v>0.20224674631375</v>
      </c>
      <c r="AB22">
        <f t="shared" si="0"/>
        <v>0.1118120463075</v>
      </c>
    </row>
    <row r="23" spans="1:28" x14ac:dyDescent="0.25">
      <c r="A23">
        <v>1.8374400000000001E-3</v>
      </c>
      <c r="B23">
        <f t="shared" ref="B23:Q36" si="1">($B$19*B3)</f>
        <v>0.72430252060000011</v>
      </c>
      <c r="C23">
        <f t="shared" si="1"/>
        <v>0.73075506169249993</v>
      </c>
      <c r="D23">
        <f t="shared" si="1"/>
        <v>0.73707356066499996</v>
      </c>
      <c r="E23">
        <f t="shared" si="1"/>
        <v>0.76870411488375012</v>
      </c>
      <c r="F23">
        <f t="shared" si="1"/>
        <v>0.80377818070875007</v>
      </c>
      <c r="G23">
        <f t="shared" si="1"/>
        <v>0.88569396607375006</v>
      </c>
      <c r="H23">
        <f t="shared" si="1"/>
        <v>0.95884508363000009</v>
      </c>
      <c r="I23">
        <f t="shared" si="1"/>
        <v>1.0666764205575001</v>
      </c>
      <c r="J23">
        <f t="shared" si="1"/>
        <v>1.1440874213275001</v>
      </c>
      <c r="K23">
        <f t="shared" si="1"/>
        <v>1.1849297913149999</v>
      </c>
      <c r="L23">
        <f t="shared" si="1"/>
        <v>1.2561251653225001</v>
      </c>
      <c r="M23">
        <f t="shared" si="1"/>
        <v>1.2704589792899998</v>
      </c>
      <c r="N23">
        <f t="shared" si="1"/>
        <v>1.2284748866124999</v>
      </c>
      <c r="O23">
        <f t="shared" si="1"/>
        <v>1.0873478822000002</v>
      </c>
      <c r="P23">
        <f t="shared" si="1"/>
        <v>0.9382573354125</v>
      </c>
      <c r="Q23">
        <f t="shared" si="1"/>
        <v>0.7902607075000001</v>
      </c>
      <c r="R23">
        <f t="shared" si="0"/>
        <v>0.68078728379375009</v>
      </c>
      <c r="S23">
        <f t="shared" si="0"/>
        <v>0.62439718774374997</v>
      </c>
      <c r="T23">
        <f t="shared" si="0"/>
        <v>0.58407516055000008</v>
      </c>
      <c r="U23">
        <f t="shared" si="0"/>
        <v>0.51752345475375017</v>
      </c>
      <c r="V23">
        <f t="shared" si="0"/>
        <v>0.44931719373374995</v>
      </c>
      <c r="W23">
        <f t="shared" si="0"/>
        <v>0.38062472815499998</v>
      </c>
      <c r="X23">
        <f t="shared" si="0"/>
        <v>0.28643322311250002</v>
      </c>
      <c r="Y23">
        <f t="shared" si="0"/>
        <v>0.195181147365</v>
      </c>
      <c r="Z23">
        <f t="shared" si="0"/>
        <v>0.15172719777500002</v>
      </c>
      <c r="AA23">
        <f t="shared" si="0"/>
        <v>0.113875546043125</v>
      </c>
      <c r="AB23">
        <f t="shared" si="0"/>
        <v>5.9459551815687503E-2</v>
      </c>
    </row>
    <row r="24" spans="1:28" x14ac:dyDescent="0.25">
      <c r="A24">
        <v>3.37617E-3</v>
      </c>
      <c r="B24">
        <f t="shared" si="1"/>
        <v>0.42608756448625007</v>
      </c>
      <c r="C24">
        <f t="shared" si="0"/>
        <v>0.43145566321312501</v>
      </c>
      <c r="D24">
        <f t="shared" si="0"/>
        <v>0.43677470586000006</v>
      </c>
      <c r="E24">
        <f t="shared" si="0"/>
        <v>0.46206864384812507</v>
      </c>
      <c r="F24">
        <f t="shared" si="0"/>
        <v>0.49179232335500012</v>
      </c>
      <c r="G24">
        <f t="shared" si="0"/>
        <v>0.53870953848125003</v>
      </c>
      <c r="H24">
        <f t="shared" si="0"/>
        <v>0.58343682692999999</v>
      </c>
      <c r="I24">
        <f t="shared" si="0"/>
        <v>0.65688915656062496</v>
      </c>
      <c r="J24">
        <f t="shared" si="0"/>
        <v>0.72147089378812501</v>
      </c>
      <c r="K24">
        <f t="shared" si="0"/>
        <v>0.76208208527812504</v>
      </c>
      <c r="L24">
        <f t="shared" si="0"/>
        <v>0.83967050333750004</v>
      </c>
      <c r="M24">
        <f t="shared" si="0"/>
        <v>0.83907652319000003</v>
      </c>
      <c r="N24">
        <f t="shared" si="0"/>
        <v>0.7767795016912501</v>
      </c>
      <c r="O24">
        <f t="shared" si="0"/>
        <v>0.66631926698749999</v>
      </c>
      <c r="P24">
        <f t="shared" si="0"/>
        <v>0.56248800658125009</v>
      </c>
      <c r="Q24">
        <f t="shared" si="0"/>
        <v>0.46974192517750007</v>
      </c>
      <c r="R24">
        <f t="shared" si="0"/>
        <v>0.40027678041249998</v>
      </c>
      <c r="S24">
        <f t="shared" si="0"/>
        <v>0.36522525799375005</v>
      </c>
      <c r="T24">
        <f t="shared" si="0"/>
        <v>0.34069693068874995</v>
      </c>
      <c r="U24">
        <f t="shared" si="0"/>
        <v>0.29991631508874994</v>
      </c>
      <c r="V24">
        <f t="shared" si="0"/>
        <v>0.25943709501375001</v>
      </c>
      <c r="W24">
        <f t="shared" si="0"/>
        <v>0.21801091786687501</v>
      </c>
      <c r="X24">
        <f t="shared" si="0"/>
        <v>0.16139346026249998</v>
      </c>
      <c r="Y24">
        <f t="shared" si="0"/>
        <v>0.10764265272187501</v>
      </c>
      <c r="Z24">
        <f t="shared" si="0"/>
        <v>8.159556010062502E-2</v>
      </c>
      <c r="AA24">
        <f t="shared" si="0"/>
        <v>5.9331036804249997E-2</v>
      </c>
      <c r="AB24">
        <f t="shared" si="0"/>
        <v>2.9326247225874996E-2</v>
      </c>
    </row>
    <row r="25" spans="1:28" x14ac:dyDescent="0.25">
      <c r="A25">
        <v>6.2034899999999999E-3</v>
      </c>
      <c r="B25">
        <f t="shared" si="1"/>
        <v>0.24089774554843749</v>
      </c>
      <c r="C25">
        <f t="shared" si="0"/>
        <v>0.24455691362956253</v>
      </c>
      <c r="D25">
        <f t="shared" si="0"/>
        <v>0.24822032888287501</v>
      </c>
      <c r="E25">
        <f t="shared" si="0"/>
        <v>0.26652701908525001</v>
      </c>
      <c r="F25">
        <f t="shared" si="0"/>
        <v>0.28881230984799999</v>
      </c>
      <c r="G25">
        <f t="shared" si="0"/>
        <v>0.31535083591425001</v>
      </c>
      <c r="H25">
        <f t="shared" si="0"/>
        <v>0.33927012106781251</v>
      </c>
      <c r="I25">
        <f t="shared" si="0"/>
        <v>0.37887875697112505</v>
      </c>
      <c r="J25">
        <f t="shared" si="0"/>
        <v>0.41390529009631255</v>
      </c>
      <c r="K25">
        <f t="shared" si="0"/>
        <v>0.43780218031999996</v>
      </c>
      <c r="L25">
        <f t="shared" si="0"/>
        <v>0.48985826293937518</v>
      </c>
      <c r="M25">
        <f t="shared" si="0"/>
        <v>0.49044130720500007</v>
      </c>
      <c r="N25">
        <f t="shared" si="0"/>
        <v>0.44295124600750008</v>
      </c>
      <c r="O25">
        <f t="shared" si="0"/>
        <v>0.3748961629175</v>
      </c>
      <c r="P25">
        <f t="shared" si="0"/>
        <v>0.31244485895749996</v>
      </c>
      <c r="Q25">
        <f t="shared" si="0"/>
        <v>0.26017044107250004</v>
      </c>
      <c r="R25">
        <f t="shared" si="0"/>
        <v>0.22085486856937497</v>
      </c>
      <c r="S25">
        <f t="shared" si="0"/>
        <v>0.20131826211625001</v>
      </c>
      <c r="T25">
        <f t="shared" si="0"/>
        <v>0.18756130675437499</v>
      </c>
      <c r="U25">
        <f t="shared" si="0"/>
        <v>0.16384850609250001</v>
      </c>
      <c r="V25">
        <f t="shared" si="0"/>
        <v>0.14062680148187501</v>
      </c>
      <c r="W25">
        <f t="shared" si="0"/>
        <v>0.11696687881500002</v>
      </c>
      <c r="X25">
        <f t="shared" si="0"/>
        <v>8.5354331085624985E-2</v>
      </c>
      <c r="Y25">
        <f t="shared" si="0"/>
        <v>5.4924443759687497E-2</v>
      </c>
      <c r="Z25">
        <f t="shared" si="0"/>
        <v>4.0611813804562504E-2</v>
      </c>
      <c r="AA25">
        <f t="shared" si="0"/>
        <v>2.88377841108125E-2</v>
      </c>
      <c r="AB25">
        <f t="shared" si="0"/>
        <v>1.3676333801868751E-2</v>
      </c>
    </row>
    <row r="26" spans="1:28" x14ac:dyDescent="0.25">
      <c r="A26">
        <v>1.1398500000000001E-2</v>
      </c>
      <c r="B26">
        <f t="shared" si="1"/>
        <v>0.12974508709118751</v>
      </c>
      <c r="C26">
        <f t="shared" si="0"/>
        <v>0.1318818508829375</v>
      </c>
      <c r="D26">
        <f t="shared" si="0"/>
        <v>0.13403575578956253</v>
      </c>
      <c r="E26">
        <f t="shared" si="0"/>
        <v>0.14615890453331251</v>
      </c>
      <c r="F26">
        <f t="shared" si="0"/>
        <v>0.16129504521124999</v>
      </c>
      <c r="G26">
        <f t="shared" si="0"/>
        <v>0.17730591616802499</v>
      </c>
      <c r="H26">
        <f t="shared" si="0"/>
        <v>0.19090002143259374</v>
      </c>
      <c r="I26">
        <f t="shared" si="0"/>
        <v>0.21231478688672503</v>
      </c>
      <c r="J26">
        <f t="shared" si="0"/>
        <v>0.22919451900774374</v>
      </c>
      <c r="K26">
        <f t="shared" si="0"/>
        <v>0.24093854870605624</v>
      </c>
      <c r="L26">
        <f t="shared" si="0"/>
        <v>0.26447953333349999</v>
      </c>
      <c r="M26">
        <f t="shared" si="0"/>
        <v>0.2637091088833125</v>
      </c>
      <c r="N26">
        <f t="shared" si="0"/>
        <v>0.235207765342375</v>
      </c>
      <c r="O26">
        <f t="shared" si="0"/>
        <v>0.19742660484499999</v>
      </c>
      <c r="P26">
        <f t="shared" si="0"/>
        <v>0.16353816808374996</v>
      </c>
      <c r="Q26">
        <f t="shared" si="0"/>
        <v>0.13648473100875</v>
      </c>
      <c r="R26">
        <f t="shared" si="0"/>
        <v>0.11517635724000001</v>
      </c>
      <c r="S26">
        <f t="shared" si="0"/>
        <v>0.10477677930662502</v>
      </c>
      <c r="T26">
        <f t="shared" si="0"/>
        <v>9.7471070777250021E-2</v>
      </c>
      <c r="U26">
        <f t="shared" si="0"/>
        <v>8.4296083549875001E-2</v>
      </c>
      <c r="V26">
        <f t="shared" si="0"/>
        <v>7.1469710974624998E-2</v>
      </c>
      <c r="W26">
        <f t="shared" si="0"/>
        <v>5.8480015584749995E-2</v>
      </c>
      <c r="X26">
        <f t="shared" si="0"/>
        <v>4.1723923315625001E-2</v>
      </c>
      <c r="Y26">
        <f t="shared" si="0"/>
        <v>2.6056663089812502E-2</v>
      </c>
      <c r="Z26">
        <f t="shared" si="0"/>
        <v>1.8589074769631252E-2</v>
      </c>
      <c r="AA26">
        <f t="shared" si="0"/>
        <v>1.2806217793725001E-2</v>
      </c>
      <c r="AB26">
        <f t="shared" si="0"/>
        <v>5.8422925834910626E-3</v>
      </c>
    </row>
    <row r="27" spans="1:28" x14ac:dyDescent="0.25">
      <c r="A27">
        <v>2.09441E-2</v>
      </c>
      <c r="B27">
        <f t="shared" si="1"/>
        <v>6.5948004701095006E-2</v>
      </c>
      <c r="C27">
        <f t="shared" si="0"/>
        <v>6.7086558425108134E-2</v>
      </c>
      <c r="D27">
        <f t="shared" si="0"/>
        <v>6.8236885834784364E-2</v>
      </c>
      <c r="E27">
        <f t="shared" si="0"/>
        <v>7.5697880265270634E-2</v>
      </c>
      <c r="F27">
        <f t="shared" si="0"/>
        <v>8.5222005153136257E-2</v>
      </c>
      <c r="G27">
        <f t="shared" si="0"/>
        <v>9.5049804192594373E-2</v>
      </c>
      <c r="H27">
        <f t="shared" si="0"/>
        <v>0.10313885556317251</v>
      </c>
      <c r="I27">
        <f t="shared" si="0"/>
        <v>0.11535753516971563</v>
      </c>
      <c r="J27">
        <f t="shared" si="0"/>
        <v>0.1236315548627669</v>
      </c>
      <c r="K27">
        <f t="shared" si="0"/>
        <v>0.12927628562167312</v>
      </c>
      <c r="L27">
        <f t="shared" si="0"/>
        <v>0.13813364081983689</v>
      </c>
      <c r="M27">
        <f t="shared" si="0"/>
        <v>0.13554608497700626</v>
      </c>
      <c r="N27">
        <f t="shared" si="0"/>
        <v>0.119063049051125</v>
      </c>
      <c r="O27">
        <f t="shared" si="0"/>
        <v>9.8657696227875014E-2</v>
      </c>
      <c r="P27">
        <f t="shared" si="0"/>
        <v>8.1144963206437506E-2</v>
      </c>
      <c r="Q27">
        <f t="shared" si="0"/>
        <v>6.7640594669250001E-2</v>
      </c>
      <c r="R27">
        <f t="shared" si="0"/>
        <v>5.649680011875001E-2</v>
      </c>
      <c r="S27">
        <f t="shared" si="0"/>
        <v>5.1149149064937498E-2</v>
      </c>
      <c r="T27">
        <f t="shared" si="0"/>
        <v>4.74055265274375E-2</v>
      </c>
      <c r="U27">
        <f t="shared" si="0"/>
        <v>4.0473632499187499E-2</v>
      </c>
      <c r="V27">
        <f t="shared" si="0"/>
        <v>3.3815342609124999E-2</v>
      </c>
      <c r="W27">
        <f t="shared" si="0"/>
        <v>2.7205960042875E-2</v>
      </c>
      <c r="X27">
        <f t="shared" si="0"/>
        <v>1.8840590155025004E-2</v>
      </c>
      <c r="Y27">
        <f t="shared" si="0"/>
        <v>1.1437232583318751E-2</v>
      </c>
      <c r="Z27">
        <f t="shared" si="0"/>
        <v>7.8750407349524997E-3</v>
      </c>
      <c r="AA27">
        <f t="shared" si="0"/>
        <v>5.2062419811950006E-3</v>
      </c>
      <c r="AB27">
        <f t="shared" si="0"/>
        <v>2.3103973555943145E-3</v>
      </c>
    </row>
    <row r="28" spans="1:28" x14ac:dyDescent="0.25">
      <c r="A28">
        <v>3.8483299999999998E-2</v>
      </c>
      <c r="B28">
        <f t="shared" si="1"/>
        <v>3.1181496382830305E-2</v>
      </c>
      <c r="C28">
        <f t="shared" si="0"/>
        <v>3.1752807844489007E-2</v>
      </c>
      <c r="D28">
        <f t="shared" si="0"/>
        <v>3.233046688855256E-2</v>
      </c>
      <c r="E28">
        <f t="shared" si="0"/>
        <v>3.6588882188117615E-2</v>
      </c>
      <c r="F28">
        <f t="shared" si="0"/>
        <v>4.2134996584662646E-2</v>
      </c>
      <c r="G28">
        <f t="shared" si="0"/>
        <v>4.7952075192849469E-2</v>
      </c>
      <c r="H28">
        <f t="shared" si="0"/>
        <v>5.2756355070849498E-2</v>
      </c>
      <c r="I28">
        <f t="shared" si="0"/>
        <v>5.9908995458996715E-2</v>
      </c>
      <c r="J28">
        <f t="shared" si="0"/>
        <v>6.4216807315166338E-2</v>
      </c>
      <c r="K28">
        <f t="shared" si="0"/>
        <v>6.7057336390406425E-2</v>
      </c>
      <c r="L28">
        <f t="shared" si="0"/>
        <v>7.0290844385917539E-2</v>
      </c>
      <c r="M28">
        <f t="shared" si="0"/>
        <v>6.7337204235551437E-2</v>
      </c>
      <c r="N28">
        <f t="shared" si="0"/>
        <v>5.7603031426585002E-2</v>
      </c>
      <c r="O28">
        <f t="shared" si="0"/>
        <v>4.6614933575893754E-2</v>
      </c>
      <c r="P28">
        <f t="shared" si="0"/>
        <v>3.7885556346100004E-2</v>
      </c>
      <c r="Q28">
        <f t="shared" si="0"/>
        <v>3.1458450755831251E-2</v>
      </c>
      <c r="R28">
        <f t="shared" si="0"/>
        <v>2.5976159004806248E-2</v>
      </c>
      <c r="S28">
        <f t="shared" si="0"/>
        <v>2.3375616063856249E-2</v>
      </c>
      <c r="T28">
        <f t="shared" si="0"/>
        <v>2.1573213352487502E-2</v>
      </c>
      <c r="U28">
        <f t="shared" si="0"/>
        <v>1.8149596149743753E-2</v>
      </c>
      <c r="V28">
        <f t="shared" si="0"/>
        <v>1.491457377981875E-2</v>
      </c>
      <c r="W28">
        <f t="shared" si="0"/>
        <v>1.1768662001791873E-2</v>
      </c>
      <c r="X28">
        <f t="shared" si="0"/>
        <v>7.9080369701325006E-3</v>
      </c>
      <c r="Y28">
        <f t="shared" si="0"/>
        <v>4.6417781057983762E-3</v>
      </c>
      <c r="Z28">
        <f t="shared" si="0"/>
        <v>3.0484155541478119E-3</v>
      </c>
      <c r="AA28">
        <f t="shared" si="0"/>
        <v>1.9357350061558873E-3</v>
      </c>
      <c r="AB28">
        <f t="shared" si="0"/>
        <v>8.5121099573716246E-4</v>
      </c>
    </row>
    <row r="29" spans="1:28" x14ac:dyDescent="0.25">
      <c r="A29">
        <v>7.0710700000000001E-2</v>
      </c>
      <c r="B29">
        <f t="shared" si="1"/>
        <v>1.3500927036748435E-2</v>
      </c>
      <c r="C29">
        <f t="shared" si="0"/>
        <v>1.3770961917253528E-2</v>
      </c>
      <c r="D29">
        <f t="shared" si="0"/>
        <v>1.4044188274034804E-2</v>
      </c>
      <c r="E29">
        <f t="shared" si="0"/>
        <v>1.6249120574131828E-2</v>
      </c>
      <c r="F29">
        <f t="shared" si="0"/>
        <v>1.9177394742992692E-2</v>
      </c>
      <c r="G29">
        <f t="shared" si="0"/>
        <v>2.2345884105573671E-2</v>
      </c>
      <c r="H29">
        <f t="shared" si="0"/>
        <v>2.5033691562826237E-2</v>
      </c>
      <c r="I29">
        <f t="shared" si="0"/>
        <v>2.9069302608644407E-2</v>
      </c>
      <c r="J29">
        <f t="shared" si="0"/>
        <v>3.1383669756812053E-2</v>
      </c>
      <c r="K29">
        <f t="shared" si="0"/>
        <v>3.2883419312081899E-2</v>
      </c>
      <c r="L29">
        <f t="shared" si="0"/>
        <v>3.4323307939443118E-2</v>
      </c>
      <c r="M29">
        <f t="shared" si="0"/>
        <v>3.2081264849115054E-2</v>
      </c>
      <c r="N29">
        <f t="shared" si="0"/>
        <v>2.6424688782503179E-2</v>
      </c>
      <c r="O29">
        <f t="shared" si="0"/>
        <v>2.0688826423246817E-2</v>
      </c>
      <c r="P29">
        <f t="shared" si="0"/>
        <v>1.6552814170057502E-2</v>
      </c>
      <c r="Q29">
        <f t="shared" si="0"/>
        <v>1.3660658762688937E-2</v>
      </c>
      <c r="R29">
        <f t="shared" si="0"/>
        <v>1.1134911437824127E-2</v>
      </c>
      <c r="S29">
        <f t="shared" si="0"/>
        <v>9.9465686691713757E-3</v>
      </c>
      <c r="T29">
        <f t="shared" si="0"/>
        <v>9.1463414772086863E-3</v>
      </c>
      <c r="U29">
        <f t="shared" si="0"/>
        <v>7.5831334623574368E-3</v>
      </c>
      <c r="V29">
        <f t="shared" si="0"/>
        <v>6.1296069944133131E-3</v>
      </c>
      <c r="W29">
        <f t="shared" si="0"/>
        <v>4.7147353490826884E-3</v>
      </c>
      <c r="X29">
        <f t="shared" si="0"/>
        <v>3.0639674824661195E-3</v>
      </c>
      <c r="Y29">
        <f t="shared" si="0"/>
        <v>1.7356211290837252E-3</v>
      </c>
      <c r="Z29">
        <f t="shared" si="0"/>
        <v>1.0577451667185933E-3</v>
      </c>
      <c r="AA29">
        <f t="shared" si="0"/>
        <v>6.4944788783681171E-4</v>
      </c>
      <c r="AB29">
        <f t="shared" si="0"/>
        <v>2.8325795072975271E-4</v>
      </c>
    </row>
    <row r="30" spans="1:28" x14ac:dyDescent="0.25">
      <c r="A30">
        <v>0.12992600000000001</v>
      </c>
      <c r="B30">
        <f t="shared" si="1"/>
        <v>5.2710874611305164E-3</v>
      </c>
      <c r="C30">
        <f t="shared" si="0"/>
        <v>5.3903117986878989E-3</v>
      </c>
      <c r="D30">
        <f t="shared" si="0"/>
        <v>5.5110362939918226E-3</v>
      </c>
      <c r="E30">
        <f t="shared" si="0"/>
        <v>6.5282139840815191E-3</v>
      </c>
      <c r="F30">
        <f t="shared" si="0"/>
        <v>7.9024505567443296E-3</v>
      </c>
      <c r="G30">
        <f t="shared" si="0"/>
        <v>9.4446567218720908E-3</v>
      </c>
      <c r="H30">
        <f t="shared" si="0"/>
        <v>1.0808910586035204E-2</v>
      </c>
      <c r="I30">
        <f t="shared" si="0"/>
        <v>1.2899060668394779E-2</v>
      </c>
      <c r="J30">
        <f t="shared" si="0"/>
        <v>1.409479238328005E-2</v>
      </c>
      <c r="K30">
        <f t="shared" si="0"/>
        <v>1.4869740022740279E-2</v>
      </c>
      <c r="L30">
        <f t="shared" si="0"/>
        <v>1.5681036513064763E-2</v>
      </c>
      <c r="M30">
        <f t="shared" si="0"/>
        <v>1.442941610212347E-2</v>
      </c>
      <c r="N30">
        <f t="shared" si="0"/>
        <v>1.1347946670745651E-2</v>
      </c>
      <c r="O30">
        <f t="shared" si="0"/>
        <v>8.5259320411600666E-3</v>
      </c>
      <c r="P30">
        <f t="shared" si="0"/>
        <v>6.6927457022469107E-3</v>
      </c>
      <c r="Q30">
        <f t="shared" si="0"/>
        <v>5.4758576031164142E-3</v>
      </c>
      <c r="R30">
        <f t="shared" si="0"/>
        <v>4.391643708608322E-3</v>
      </c>
      <c r="S30">
        <f t="shared" si="0"/>
        <v>3.8841983902401212E-3</v>
      </c>
      <c r="T30">
        <f t="shared" si="0"/>
        <v>3.5610514871242307E-3</v>
      </c>
      <c r="U30">
        <f t="shared" si="0"/>
        <v>2.9107980166571961E-3</v>
      </c>
      <c r="V30">
        <f t="shared" si="0"/>
        <v>2.3172760562817515E-3</v>
      </c>
      <c r="W30">
        <f t="shared" si="0"/>
        <v>1.7158469466610354E-3</v>
      </c>
      <c r="X30">
        <f t="shared" si="0"/>
        <v>1.0668507351346962E-3</v>
      </c>
      <c r="Y30">
        <f t="shared" si="0"/>
        <v>5.9049136886337068E-4</v>
      </c>
      <c r="Z30">
        <f t="shared" si="0"/>
        <v>3.4297213447504913E-4</v>
      </c>
      <c r="AA30">
        <f t="shared" si="0"/>
        <v>2.2003245952486076E-4</v>
      </c>
      <c r="AB30">
        <f t="shared" si="0"/>
        <v>1.103507742655175E-4</v>
      </c>
    </row>
    <row r="31" spans="1:28" x14ac:dyDescent="0.25">
      <c r="A31">
        <v>0.238731</v>
      </c>
      <c r="B31">
        <f t="shared" si="1"/>
        <v>1.8087746711000709E-3</v>
      </c>
      <c r="C31">
        <f t="shared" si="0"/>
        <v>1.8566060472613936E-3</v>
      </c>
      <c r="D31">
        <f t="shared" si="0"/>
        <v>1.9051568657959368E-3</v>
      </c>
      <c r="E31">
        <f t="shared" si="0"/>
        <v>2.3155553061637952E-3</v>
      </c>
      <c r="F31">
        <f t="shared" si="0"/>
        <v>2.8803094275777021E-3</v>
      </c>
      <c r="G31">
        <f t="shared" si="0"/>
        <v>3.5404547563912354E-3</v>
      </c>
      <c r="H31">
        <f t="shared" si="0"/>
        <v>4.1563038722241506E-3</v>
      </c>
      <c r="I31">
        <f t="shared" si="0"/>
        <v>5.1257634762396434E-3</v>
      </c>
      <c r="J31">
        <f t="shared" si="0"/>
        <v>5.6958602437901474E-3</v>
      </c>
      <c r="K31">
        <f t="shared" si="0"/>
        <v>6.0685081953458942E-3</v>
      </c>
      <c r="L31">
        <f t="shared" si="0"/>
        <v>6.5390344726824522E-3</v>
      </c>
      <c r="M31">
        <f t="shared" si="0"/>
        <v>5.9796752674362037E-3</v>
      </c>
      <c r="N31">
        <f t="shared" si="0"/>
        <v>4.4989968559307507E-3</v>
      </c>
      <c r="O31">
        <f t="shared" si="0"/>
        <v>3.245009204064354E-3</v>
      </c>
      <c r="P31">
        <f t="shared" si="0"/>
        <v>2.4957570910351485E-3</v>
      </c>
      <c r="Q31">
        <f t="shared" si="0"/>
        <v>2.0154725223851997E-3</v>
      </c>
      <c r="R31">
        <f t="shared" si="0"/>
        <v>1.5732766963590836E-3</v>
      </c>
      <c r="S31">
        <f t="shared" si="0"/>
        <v>1.3654614244460513E-3</v>
      </c>
      <c r="T31">
        <f t="shared" si="0"/>
        <v>1.2449978336377707E-3</v>
      </c>
      <c r="U31">
        <f t="shared" si="0"/>
        <v>1.0081582319132684E-3</v>
      </c>
      <c r="V31">
        <f t="shared" si="0"/>
        <v>7.9798833229515029E-4</v>
      </c>
      <c r="W31">
        <f t="shared" si="0"/>
        <v>5.6109443632548143E-4</v>
      </c>
      <c r="X31">
        <f t="shared" si="0"/>
        <v>3.4400286377697382E-4</v>
      </c>
      <c r="Y31">
        <f t="shared" si="0"/>
        <v>1.9902301309554675E-4</v>
      </c>
      <c r="Z31">
        <f t="shared" si="0"/>
        <v>1.10328175749562E-4</v>
      </c>
      <c r="AA31">
        <f t="shared" si="0"/>
        <v>7.3991501796075453E-5</v>
      </c>
      <c r="AB31">
        <f t="shared" si="0"/>
        <v>4.6308789716099593E-5</v>
      </c>
    </row>
    <row r="32" spans="1:28" x14ac:dyDescent="0.25">
      <c r="A32">
        <v>0.43865300000000002</v>
      </c>
      <c r="B32">
        <f t="shared" si="1"/>
        <v>5.25473435073283E-4</v>
      </c>
      <c r="C32">
        <f t="shared" si="0"/>
        <v>5.4168201955493301E-4</v>
      </c>
      <c r="D32">
        <f t="shared" si="0"/>
        <v>5.5822556882605752E-4</v>
      </c>
      <c r="E32">
        <f t="shared" si="0"/>
        <v>6.9310452687996213E-4</v>
      </c>
      <c r="F32">
        <f t="shared" si="0"/>
        <v>8.8614472743217922E-4</v>
      </c>
      <c r="G32">
        <f t="shared" si="0"/>
        <v>1.1261956703186539E-3</v>
      </c>
      <c r="H32">
        <f t="shared" si="0"/>
        <v>1.3673623472581732E-3</v>
      </c>
      <c r="I32">
        <f t="shared" si="0"/>
        <v>1.761553826455414E-3</v>
      </c>
      <c r="J32">
        <f t="shared" si="0"/>
        <v>2.0070733432349516E-3</v>
      </c>
      <c r="K32">
        <f t="shared" si="0"/>
        <v>2.1698173373165754E-3</v>
      </c>
      <c r="L32">
        <f t="shared" si="0"/>
        <v>2.42687875648108E-3</v>
      </c>
      <c r="M32">
        <f t="shared" ref="C32:AB36" si="2">($B$19*M12)</f>
        <v>2.2229142064553566E-3</v>
      </c>
      <c r="N32">
        <f t="shared" si="2"/>
        <v>1.6080224125131339E-3</v>
      </c>
      <c r="O32">
        <f t="shared" si="2"/>
        <v>1.1293585358441356E-3</v>
      </c>
      <c r="P32">
        <f t="shared" si="2"/>
        <v>8.6327831110166232E-4</v>
      </c>
      <c r="Q32">
        <f t="shared" si="2"/>
        <v>6.9583070379945202E-4</v>
      </c>
      <c r="R32">
        <f t="shared" si="2"/>
        <v>5.2319448538426202E-4</v>
      </c>
      <c r="S32">
        <f t="shared" si="2"/>
        <v>4.4002756225392761E-4</v>
      </c>
      <c r="T32">
        <f t="shared" si="2"/>
        <v>3.9989710113337622E-4</v>
      </c>
      <c r="U32">
        <f t="shared" si="2"/>
        <v>3.2598580717361244E-4</v>
      </c>
      <c r="V32">
        <f t="shared" si="2"/>
        <v>2.6237842864944337E-4</v>
      </c>
      <c r="W32">
        <f t="shared" si="2"/>
        <v>1.6932594733686893E-4</v>
      </c>
      <c r="X32">
        <f t="shared" si="2"/>
        <v>1.0523930468713003E-4</v>
      </c>
      <c r="Y32">
        <f t="shared" si="2"/>
        <v>6.564634446916733E-5</v>
      </c>
      <c r="Z32">
        <f t="shared" si="2"/>
        <v>3.3474118353611625E-5</v>
      </c>
      <c r="AA32">
        <f t="shared" si="2"/>
        <v>2.3060035960453151E-5</v>
      </c>
      <c r="AB32">
        <f t="shared" si="2"/>
        <v>1.788830659867754E-5</v>
      </c>
    </row>
    <row r="33" spans="1:28" x14ac:dyDescent="0.25">
      <c r="A33">
        <v>0.80599699999999996</v>
      </c>
      <c r="B33">
        <f t="shared" si="1"/>
        <v>1.2789260422609909E-4</v>
      </c>
      <c r="C33">
        <f t="shared" si="2"/>
        <v>1.3227962712187972E-4</v>
      </c>
      <c r="D33">
        <f t="shared" si="2"/>
        <v>1.3678011149317738E-4</v>
      </c>
      <c r="E33">
        <f t="shared" si="2"/>
        <v>1.6889028394877738E-4</v>
      </c>
      <c r="F33">
        <f t="shared" si="2"/>
        <v>2.1756694998871246E-4</v>
      </c>
      <c r="G33">
        <f t="shared" si="2"/>
        <v>2.8468512764971693E-4</v>
      </c>
      <c r="H33">
        <f t="shared" si="2"/>
        <v>3.5984001483860126E-4</v>
      </c>
      <c r="I33">
        <f t="shared" si="2"/>
        <v>4.9107845726980984E-4</v>
      </c>
      <c r="J33">
        <f t="shared" si="2"/>
        <v>5.8203041430192467E-4</v>
      </c>
      <c r="K33">
        <f t="shared" si="2"/>
        <v>6.4370952045597857E-4</v>
      </c>
      <c r="L33">
        <f t="shared" si="2"/>
        <v>7.6740622288780933E-4</v>
      </c>
      <c r="M33">
        <f t="shared" si="2"/>
        <v>7.1243554723417462E-4</v>
      </c>
      <c r="N33">
        <f t="shared" si="2"/>
        <v>4.9919494208175744E-4</v>
      </c>
      <c r="O33">
        <f t="shared" si="2"/>
        <v>3.4695669336642812E-4</v>
      </c>
      <c r="P33">
        <f t="shared" si="2"/>
        <v>2.7222550724549394E-4</v>
      </c>
      <c r="Q33">
        <f t="shared" si="2"/>
        <v>2.2583102347521677E-4</v>
      </c>
      <c r="R33">
        <f t="shared" si="2"/>
        <v>1.5945191423386357E-4</v>
      </c>
      <c r="S33">
        <f t="shared" si="2"/>
        <v>1.2669117379726969E-4</v>
      </c>
      <c r="T33">
        <f t="shared" si="2"/>
        <v>1.1596533122646331E-4</v>
      </c>
      <c r="U33">
        <f t="shared" si="2"/>
        <v>9.7209261068327489E-5</v>
      </c>
      <c r="V33">
        <f t="shared" si="2"/>
        <v>8.1902152893118104E-5</v>
      </c>
      <c r="W33">
        <f t="shared" si="2"/>
        <v>4.497582870613767E-5</v>
      </c>
      <c r="X33">
        <f t="shared" si="2"/>
        <v>2.9089631166543549E-5</v>
      </c>
      <c r="Y33">
        <f t="shared" si="2"/>
        <v>2.0520461354738406E-5</v>
      </c>
      <c r="Z33">
        <f t="shared" si="2"/>
        <v>9.0615850380804638E-6</v>
      </c>
      <c r="AA33">
        <f t="shared" si="2"/>
        <v>6.2099865706383486E-6</v>
      </c>
      <c r="AB33">
        <f t="shared" si="2"/>
        <v>5.7648326817063981E-6</v>
      </c>
    </row>
    <row r="34" spans="1:28" x14ac:dyDescent="0.25">
      <c r="A34">
        <v>1.4809699999999999</v>
      </c>
      <c r="B34">
        <f t="shared" si="1"/>
        <v>2.7385264232728809E-5</v>
      </c>
      <c r="C34">
        <f t="shared" si="2"/>
        <v>2.8402722637035118E-5</v>
      </c>
      <c r="D34">
        <f t="shared" si="2"/>
        <v>2.9447096547720734E-5</v>
      </c>
      <c r="E34">
        <f t="shared" si="2"/>
        <v>3.4725243091763797E-5</v>
      </c>
      <c r="F34">
        <f t="shared" si="2"/>
        <v>4.287995716832616E-5</v>
      </c>
      <c r="G34">
        <f t="shared" si="2"/>
        <v>5.5672475651056213E-5</v>
      </c>
      <c r="H34">
        <f t="shared" si="2"/>
        <v>7.1827231513923025E-5</v>
      </c>
      <c r="I34">
        <f t="shared" si="2"/>
        <v>1.0311469797062554E-4</v>
      </c>
      <c r="J34">
        <f t="shared" si="2"/>
        <v>1.2858366760960585E-4</v>
      </c>
      <c r="K34">
        <f t="shared" si="2"/>
        <v>1.4650672131265202E-4</v>
      </c>
      <c r="L34">
        <f t="shared" si="2"/>
        <v>1.9250327846877455E-4</v>
      </c>
      <c r="M34">
        <f t="shared" si="2"/>
        <v>1.8396162953388572E-4</v>
      </c>
      <c r="N34">
        <f t="shared" si="2"/>
        <v>1.2573695604952147E-4</v>
      </c>
      <c r="O34">
        <f t="shared" si="2"/>
        <v>8.8973320097899538E-5</v>
      </c>
      <c r="P34">
        <f t="shared" si="2"/>
        <v>7.7198522914373777E-5</v>
      </c>
      <c r="Q34">
        <f t="shared" si="2"/>
        <v>7.0033685825636609E-5</v>
      </c>
      <c r="R34">
        <f t="shared" si="2"/>
        <v>4.3575721054093016E-5</v>
      </c>
      <c r="S34">
        <f t="shared" si="2"/>
        <v>3.1157349420221917E-5</v>
      </c>
      <c r="T34">
        <f t="shared" si="2"/>
        <v>2.9265284702241168E-5</v>
      </c>
      <c r="U34">
        <f t="shared" si="2"/>
        <v>2.6197674851012044E-5</v>
      </c>
      <c r="V34">
        <f t="shared" si="2"/>
        <v>2.398442998791043E-5</v>
      </c>
      <c r="W34">
        <f t="shared" si="2"/>
        <v>1.0150984287780485E-5</v>
      </c>
      <c r="X34">
        <f t="shared" si="2"/>
        <v>6.9681990102547223E-6</v>
      </c>
      <c r="Y34">
        <f t="shared" si="2"/>
        <v>5.7352619971711532E-6</v>
      </c>
      <c r="Z34">
        <f t="shared" si="2"/>
        <v>2.0157827792309721E-6</v>
      </c>
      <c r="AA34">
        <f t="shared" si="2"/>
        <v>1.3328096745934263E-6</v>
      </c>
      <c r="AB34">
        <f t="shared" si="2"/>
        <v>1.3955168662912461E-6</v>
      </c>
    </row>
    <row r="35" spans="1:28" x14ac:dyDescent="0.25">
      <c r="A35">
        <v>2.7211799999999999</v>
      </c>
      <c r="B35">
        <f t="shared" si="1"/>
        <v>5.023810005429764E-6</v>
      </c>
      <c r="C35">
        <f t="shared" si="2"/>
        <v>5.2465892791917526E-6</v>
      </c>
      <c r="D35">
        <f t="shared" si="2"/>
        <v>5.4756606699491846E-6</v>
      </c>
      <c r="E35">
        <f t="shared" si="2"/>
        <v>6.1815484059359995E-6</v>
      </c>
      <c r="F35">
        <f t="shared" si="2"/>
        <v>7.1638424565908425E-6</v>
      </c>
      <c r="G35">
        <f t="shared" si="2"/>
        <v>8.8013650033450646E-6</v>
      </c>
      <c r="H35">
        <f t="shared" si="2"/>
        <v>1.102290490664847E-5</v>
      </c>
      <c r="I35">
        <f t="shared" si="2"/>
        <v>1.5822877982687836E-5</v>
      </c>
      <c r="J35">
        <f t="shared" si="2"/>
        <v>2.0476931302733816E-5</v>
      </c>
      <c r="K35">
        <f t="shared" si="2"/>
        <v>2.3885815903995834E-5</v>
      </c>
      <c r="L35">
        <f t="shared" si="2"/>
        <v>3.5102202140853464E-5</v>
      </c>
      <c r="M35">
        <f t="shared" si="2"/>
        <v>3.4968092774545934E-5</v>
      </c>
      <c r="N35">
        <f t="shared" si="2"/>
        <v>2.394415346660454E-5</v>
      </c>
      <c r="O35">
        <f t="shared" si="2"/>
        <v>1.8532722886326768E-5</v>
      </c>
      <c r="P35">
        <f t="shared" si="2"/>
        <v>1.9886723030527149E-5</v>
      </c>
      <c r="Q35">
        <f t="shared" si="2"/>
        <v>2.0866115046325365E-5</v>
      </c>
      <c r="R35">
        <f t="shared" si="2"/>
        <v>1.058208147661829E-5</v>
      </c>
      <c r="S35">
        <f t="shared" si="2"/>
        <v>6.4572925861496843E-6</v>
      </c>
      <c r="T35">
        <f t="shared" si="2"/>
        <v>6.3492327151136806E-6</v>
      </c>
      <c r="U35">
        <f t="shared" si="2"/>
        <v>6.2555172892896743E-6</v>
      </c>
      <c r="V35">
        <f t="shared" si="2"/>
        <v>6.3054469087848905E-6</v>
      </c>
      <c r="W35">
        <f t="shared" si="2"/>
        <v>1.8907916231793475E-6</v>
      </c>
      <c r="X35">
        <f t="shared" si="2"/>
        <v>1.3401269768957006E-6</v>
      </c>
      <c r="Y35">
        <f t="shared" si="2"/>
        <v>1.2867342221919734E-6</v>
      </c>
      <c r="Z35">
        <f t="shared" si="2"/>
        <v>3.3310330585070193E-7</v>
      </c>
      <c r="AA35">
        <f t="shared" si="2"/>
        <v>2.0939979269696899E-7</v>
      </c>
      <c r="AB35">
        <f t="shared" si="2"/>
        <v>2.3143431540529861E-7</v>
      </c>
    </row>
    <row r="36" spans="1:28" x14ac:dyDescent="0.25">
      <c r="A36">
        <v>5</v>
      </c>
      <c r="B36">
        <f t="shared" si="1"/>
        <v>6.4568454965701326E-7</v>
      </c>
      <c r="C36">
        <f t="shared" si="2"/>
        <v>6.8396999113819938E-7</v>
      </c>
      <c r="D36">
        <f t="shared" si="2"/>
        <v>7.2379032056048942E-7</v>
      </c>
      <c r="E36">
        <f t="shared" si="2"/>
        <v>8.164453605635355E-7</v>
      </c>
      <c r="F36">
        <f t="shared" si="2"/>
        <v>9.269141478574859E-7</v>
      </c>
      <c r="G36">
        <f t="shared" si="2"/>
        <v>1.0896482466650706E-6</v>
      </c>
      <c r="H36">
        <f t="shared" si="2"/>
        <v>1.3047659771464017E-6</v>
      </c>
      <c r="I36">
        <f t="shared" si="2"/>
        <v>1.7908026391325086E-6</v>
      </c>
      <c r="J36">
        <f t="shared" si="2"/>
        <v>2.3256285669980499E-6</v>
      </c>
      <c r="K36">
        <f t="shared" si="2"/>
        <v>2.7230879728879444E-6</v>
      </c>
      <c r="L36">
        <f t="shared" si="2"/>
        <v>4.3458694889331673E-6</v>
      </c>
      <c r="M36">
        <f t="shared" si="2"/>
        <v>4.6374528763839022E-6</v>
      </c>
      <c r="N36">
        <f t="shared" si="2"/>
        <v>3.4728060459191712E-6</v>
      </c>
      <c r="O36">
        <f t="shared" si="2"/>
        <v>3.1775061463175604E-6</v>
      </c>
      <c r="P36">
        <f t="shared" si="2"/>
        <v>4.4113411348211984E-6</v>
      </c>
      <c r="Q36">
        <f t="shared" si="2"/>
        <v>5.259147378497453E-6</v>
      </c>
      <c r="R36">
        <f t="shared" si="2"/>
        <v>2.1144270127379586E-6</v>
      </c>
      <c r="S36">
        <f t="shared" si="2"/>
        <v>1.0805723058295916E-6</v>
      </c>
      <c r="T36">
        <f t="shared" si="2"/>
        <v>1.1167837950542519E-6</v>
      </c>
      <c r="U36">
        <f t="shared" si="2"/>
        <v>1.2067058092559687E-6</v>
      </c>
      <c r="V36">
        <f t="shared" si="2"/>
        <v>1.3193823591893911E-6</v>
      </c>
      <c r="W36">
        <f t="shared" si="2"/>
        <v>2.6855201667267043E-7</v>
      </c>
      <c r="X36">
        <f t="shared" si="2"/>
        <v>1.8516221857711584E-7</v>
      </c>
      <c r="Y36">
        <f t="shared" si="2"/>
        <v>2.0844413164008359E-7</v>
      </c>
      <c r="Z36">
        <f t="shared" si="2"/>
        <v>3.7503663920424969E-8</v>
      </c>
      <c r="AA36">
        <f t="shared" si="2"/>
        <v>2.2381913877693601E-8</v>
      </c>
      <c r="AB36">
        <f t="shared" si="2"/>
        <v>2.4767189429700003E-8</v>
      </c>
    </row>
    <row r="42" spans="1:28" x14ac:dyDescent="0.25">
      <c r="A42" s="46" t="s">
        <v>45</v>
      </c>
    </row>
    <row r="43" spans="1:28" x14ac:dyDescent="0.25">
      <c r="A43" s="76" t="s">
        <v>39</v>
      </c>
      <c r="B43" s="76" t="s">
        <v>44</v>
      </c>
      <c r="C43" s="76" t="s">
        <v>99</v>
      </c>
      <c r="D43" s="94" t="s">
        <v>41</v>
      </c>
      <c r="E43" s="95"/>
      <c r="F43" s="95"/>
      <c r="G43" s="95"/>
    </row>
    <row r="44" spans="1:28" x14ac:dyDescent="0.25">
      <c r="A44" s="47"/>
      <c r="B44" s="47"/>
      <c r="C44" s="47"/>
      <c r="D44" s="76" t="s">
        <v>37</v>
      </c>
      <c r="E44" s="76" t="s">
        <v>40</v>
      </c>
      <c r="F44" s="76" t="s">
        <v>93</v>
      </c>
      <c r="G44" s="76" t="s">
        <v>94</v>
      </c>
    </row>
    <row r="45" spans="1:28" x14ac:dyDescent="0.25">
      <c r="A45" s="3">
        <v>175</v>
      </c>
      <c r="B45" s="3">
        <v>5.7142857142857143E-3</v>
      </c>
      <c r="C45" s="5">
        <v>0.17499999999999999</v>
      </c>
      <c r="D45" s="5">
        <f t="shared" ref="D45:D52" si="3">(C45*$D$62)</f>
        <v>0.17499999999999999</v>
      </c>
      <c r="E45" s="5">
        <f t="shared" ref="E45:E52" si="4">(C45*$E$62)</f>
        <v>0.17499999999999999</v>
      </c>
      <c r="F45" s="5">
        <f t="shared" ref="F45:F52" si="5">(C45*$F$62)</f>
        <v>0.11666666666666665</v>
      </c>
      <c r="G45" s="5">
        <f t="shared" ref="G45:G52" si="6">(C45*$G$62)</f>
        <v>8.7499999999999994E-2</v>
      </c>
    </row>
    <row r="46" spans="1:28" x14ac:dyDescent="0.25">
      <c r="A46" s="3">
        <v>275</v>
      </c>
      <c r="B46" s="3">
        <v>3.6363636363636364E-3</v>
      </c>
      <c r="C46" s="5">
        <v>0.21</v>
      </c>
      <c r="D46" s="5">
        <f t="shared" si="3"/>
        <v>0.21</v>
      </c>
      <c r="E46" s="5">
        <f t="shared" si="4"/>
        <v>0.21</v>
      </c>
      <c r="F46" s="5">
        <f t="shared" si="5"/>
        <v>0.13999999999999999</v>
      </c>
      <c r="G46" s="5">
        <f t="shared" si="6"/>
        <v>0.105</v>
      </c>
    </row>
    <row r="47" spans="1:28" x14ac:dyDescent="0.25">
      <c r="A47" s="48">
        <v>475</v>
      </c>
      <c r="B47" s="48">
        <v>2.1052631578947368E-3</v>
      </c>
      <c r="C47" s="49">
        <v>0.23300000000000001</v>
      </c>
      <c r="D47" s="49">
        <f t="shared" si="3"/>
        <v>0.23300000000000001</v>
      </c>
      <c r="E47" s="49">
        <f t="shared" si="4"/>
        <v>0.23300000000000001</v>
      </c>
      <c r="F47" s="49">
        <f t="shared" si="5"/>
        <v>0.15533333333333332</v>
      </c>
      <c r="G47" s="49">
        <f t="shared" si="6"/>
        <v>0.11650000000000001</v>
      </c>
    </row>
    <row r="48" spans="1:28" x14ac:dyDescent="0.25">
      <c r="A48" s="3">
        <v>975</v>
      </c>
      <c r="B48" s="3">
        <v>1.0256410256410256E-3</v>
      </c>
      <c r="C48" s="5">
        <v>0.28000000000000003</v>
      </c>
      <c r="D48" s="5">
        <f t="shared" si="3"/>
        <v>0.28000000000000003</v>
      </c>
      <c r="E48" s="5">
        <f t="shared" si="4"/>
        <v>0.28000000000000003</v>
      </c>
      <c r="F48" s="5">
        <f t="shared" si="5"/>
        <v>0.18666666666666668</v>
      </c>
      <c r="G48" s="5">
        <f t="shared" si="6"/>
        <v>0.14000000000000001</v>
      </c>
    </row>
    <row r="49" spans="1:7" x14ac:dyDescent="0.25">
      <c r="A49" s="3">
        <v>1275</v>
      </c>
      <c r="B49" s="3">
        <v>7.8431372549019605E-4</v>
      </c>
      <c r="C49" s="5">
        <v>0.29170000000000001</v>
      </c>
      <c r="D49" s="5">
        <f t="shared" si="3"/>
        <v>0.29170000000000001</v>
      </c>
      <c r="E49" s="5">
        <f t="shared" si="4"/>
        <v>0.29170000000000001</v>
      </c>
      <c r="F49" s="5">
        <f t="shared" si="5"/>
        <v>0.19446666666666668</v>
      </c>
      <c r="G49" s="5">
        <f t="shared" si="6"/>
        <v>0.14585000000000001</v>
      </c>
    </row>
    <row r="50" spans="1:7" x14ac:dyDescent="0.25">
      <c r="A50" s="48">
        <v>2475</v>
      </c>
      <c r="B50" s="48">
        <v>4.0404040404040404E-4</v>
      </c>
      <c r="C50" s="49">
        <v>0.35</v>
      </c>
      <c r="D50" s="49">
        <f t="shared" si="3"/>
        <v>0.35</v>
      </c>
      <c r="E50" s="49">
        <f t="shared" si="4"/>
        <v>0.35</v>
      </c>
      <c r="F50" s="49">
        <f t="shared" si="5"/>
        <v>0.23333333333333331</v>
      </c>
      <c r="G50" s="49">
        <f t="shared" si="6"/>
        <v>0.17499999999999999</v>
      </c>
    </row>
    <row r="51" spans="1:7" x14ac:dyDescent="0.25">
      <c r="A51" s="3">
        <v>4975</v>
      </c>
      <c r="B51" s="3">
        <v>2.0100502512562814E-4</v>
      </c>
      <c r="C51" s="5">
        <v>0.44</v>
      </c>
      <c r="D51" s="5">
        <f t="shared" si="3"/>
        <v>0.44</v>
      </c>
      <c r="E51" s="5">
        <f t="shared" si="4"/>
        <v>0.44</v>
      </c>
      <c r="F51" s="5">
        <f t="shared" si="5"/>
        <v>0.29333333333333333</v>
      </c>
      <c r="G51" s="5">
        <f t="shared" si="6"/>
        <v>0.22</v>
      </c>
    </row>
    <row r="52" spans="1:7" x14ac:dyDescent="0.25">
      <c r="A52" s="3">
        <v>9975</v>
      </c>
      <c r="B52" s="3">
        <v>1.0025062656641604E-4</v>
      </c>
      <c r="C52" s="5">
        <v>0.52500000000000002</v>
      </c>
      <c r="D52" s="5">
        <f t="shared" si="3"/>
        <v>0.52500000000000002</v>
      </c>
      <c r="E52" s="5">
        <f t="shared" si="4"/>
        <v>0.52500000000000002</v>
      </c>
      <c r="F52" s="5">
        <f t="shared" si="5"/>
        <v>0.35</v>
      </c>
      <c r="G52" s="5">
        <f t="shared" si="6"/>
        <v>0.26250000000000001</v>
      </c>
    </row>
    <row r="53" spans="1:7" x14ac:dyDescent="0.25">
      <c r="A53" s="3"/>
      <c r="B53" s="3"/>
      <c r="C53" s="5"/>
      <c r="D53" s="5"/>
      <c r="E53" s="5"/>
      <c r="F53" s="5"/>
      <c r="G53" s="5"/>
    </row>
    <row r="54" spans="1:7" x14ac:dyDescent="0.25">
      <c r="A54" s="3"/>
      <c r="B54" s="3"/>
      <c r="C54" s="5"/>
      <c r="D54" s="5"/>
      <c r="E54" s="5"/>
      <c r="F54" s="5"/>
      <c r="G54" s="5"/>
    </row>
    <row r="55" spans="1:7" ht="15.75" thickBot="1" x14ac:dyDescent="0.3"/>
    <row r="56" spans="1:7" x14ac:dyDescent="0.25">
      <c r="A56" s="66" t="s">
        <v>92</v>
      </c>
      <c r="B56" s="67" t="s">
        <v>90</v>
      </c>
      <c r="C56" s="68" t="s">
        <v>91</v>
      </c>
    </row>
    <row r="57" spans="1:7" x14ac:dyDescent="0.25">
      <c r="A57" s="69">
        <v>1E-3</v>
      </c>
      <c r="B57" s="71">
        <f>1/475</f>
        <v>2.1052631578947368E-3</v>
      </c>
      <c r="C57" s="72">
        <f>1/2475</f>
        <v>4.0404040404040404E-4</v>
      </c>
    </row>
    <row r="58" spans="1:7" ht="15.75" thickBot="1" x14ac:dyDescent="0.3">
      <c r="A58" s="70">
        <v>4</v>
      </c>
      <c r="B58" s="73">
        <f>B57</f>
        <v>2.1052631578947368E-3</v>
      </c>
      <c r="C58" s="74">
        <f>C57</f>
        <v>4.0404040404040404E-4</v>
      </c>
    </row>
    <row r="59" spans="1:7" x14ac:dyDescent="0.25">
      <c r="A59" s="79"/>
      <c r="B59" s="71"/>
      <c r="C59" s="71"/>
    </row>
    <row r="60" spans="1:7" x14ac:dyDescent="0.25">
      <c r="C60" s="3" t="s">
        <v>88</v>
      </c>
      <c r="D60" s="3">
        <v>0</v>
      </c>
      <c r="E60" s="3">
        <v>1</v>
      </c>
      <c r="F60" s="3">
        <v>1.5</v>
      </c>
      <c r="G60" s="3">
        <v>2</v>
      </c>
    </row>
    <row r="61" spans="1:7" x14ac:dyDescent="0.25">
      <c r="C61" s="3"/>
      <c r="D61" s="47" t="s">
        <v>37</v>
      </c>
      <c r="E61" s="47" t="s">
        <v>40</v>
      </c>
      <c r="F61" s="47" t="s">
        <v>93</v>
      </c>
      <c r="G61" s="47" t="s">
        <v>94</v>
      </c>
    </row>
    <row r="62" spans="1:7" x14ac:dyDescent="0.25">
      <c r="C62" s="3" t="s">
        <v>89</v>
      </c>
      <c r="D62" s="3">
        <v>1</v>
      </c>
      <c r="E62" s="3">
        <v>1</v>
      </c>
      <c r="F62" s="75">
        <f>(1/F60)</f>
        <v>0.66666666666666663</v>
      </c>
      <c r="G62" s="75">
        <f>(1/G60)</f>
        <v>0.5</v>
      </c>
    </row>
    <row r="66" spans="1:10" x14ac:dyDescent="0.25">
      <c r="A66" s="96" t="s">
        <v>100</v>
      </c>
    </row>
    <row r="67" spans="1:10" ht="21.75" thickBot="1" x14ac:dyDescent="0.4">
      <c r="A67" s="52" t="s">
        <v>1</v>
      </c>
    </row>
    <row r="68" spans="1:10" x14ac:dyDescent="0.25">
      <c r="A68" s="60" t="s">
        <v>59</v>
      </c>
      <c r="B68" s="53">
        <v>75</v>
      </c>
      <c r="C68" s="53">
        <v>175</v>
      </c>
      <c r="D68" s="53">
        <v>275</v>
      </c>
      <c r="E68" s="61">
        <v>475</v>
      </c>
      <c r="F68" s="53">
        <v>975</v>
      </c>
      <c r="G68" s="53">
        <v>1275</v>
      </c>
      <c r="H68" s="61">
        <v>2475</v>
      </c>
      <c r="I68" s="53">
        <v>4975</v>
      </c>
      <c r="J68" s="54">
        <v>9975</v>
      </c>
    </row>
    <row r="69" spans="1:10" ht="15.75" thickBot="1" x14ac:dyDescent="0.3">
      <c r="A69" s="62" t="s">
        <v>60</v>
      </c>
      <c r="B69" s="63">
        <f>1/B68</f>
        <v>1.3333333333333334E-2</v>
      </c>
      <c r="C69" s="63">
        <f t="shared" ref="C69:J69" si="7">1/C68</f>
        <v>5.7142857142857143E-3</v>
      </c>
      <c r="D69" s="63">
        <f t="shared" si="7"/>
        <v>3.6363636363636364E-3</v>
      </c>
      <c r="E69" s="64">
        <f t="shared" si="7"/>
        <v>2.1052631578947368E-3</v>
      </c>
      <c r="F69" s="63">
        <f t="shared" si="7"/>
        <v>1.0256410256410256E-3</v>
      </c>
      <c r="G69" s="63">
        <f t="shared" si="7"/>
        <v>7.8431372549019605E-4</v>
      </c>
      <c r="H69" s="64">
        <f t="shared" si="7"/>
        <v>4.0404040404040404E-4</v>
      </c>
      <c r="I69" s="63">
        <f t="shared" si="7"/>
        <v>2.0100502512562814E-4</v>
      </c>
      <c r="J69" s="65">
        <f t="shared" si="7"/>
        <v>1.0025062656641604E-4</v>
      </c>
    </row>
    <row r="70" spans="1:10" x14ac:dyDescent="0.25">
      <c r="A70" s="16" t="s">
        <v>56</v>
      </c>
      <c r="B70" s="53">
        <v>2.1899999999999999E-2</v>
      </c>
      <c r="C70" s="53">
        <v>3.4599999999999999E-2</v>
      </c>
      <c r="D70" s="53">
        <v>4.36E-2</v>
      </c>
      <c r="E70" s="53">
        <v>5.6899999999999999E-2</v>
      </c>
      <c r="F70" s="53">
        <v>7.8299999999999995E-2</v>
      </c>
      <c r="G70" s="53">
        <v>8.6900000000000005E-2</v>
      </c>
      <c r="H70" s="53">
        <v>0.11119999999999999</v>
      </c>
      <c r="I70" s="53">
        <v>0.14269999999999999</v>
      </c>
      <c r="J70" s="54">
        <v>0.1822</v>
      </c>
    </row>
    <row r="71" spans="1:10" x14ac:dyDescent="0.25">
      <c r="A71" s="20" t="s">
        <v>57</v>
      </c>
      <c r="B71" s="55">
        <v>4.0500000000000001E-2</v>
      </c>
      <c r="C71" s="55">
        <v>7.2300000000000003E-2</v>
      </c>
      <c r="D71" s="55">
        <v>9.6799999999999997E-2</v>
      </c>
      <c r="E71" s="55">
        <v>0.1353</v>
      </c>
      <c r="F71" s="55">
        <v>0.2049</v>
      </c>
      <c r="G71" s="55">
        <v>0.23699999999999999</v>
      </c>
      <c r="H71" s="55">
        <v>0.33300000000000002</v>
      </c>
      <c r="I71" s="55">
        <v>0.46029999999999999</v>
      </c>
      <c r="J71" s="56">
        <v>0.61229999999999996</v>
      </c>
    </row>
    <row r="72" spans="1:10" ht="15.75" thickBot="1" x14ac:dyDescent="0.3">
      <c r="A72" s="57" t="s">
        <v>58</v>
      </c>
      <c r="B72" s="58">
        <v>7.6499999999999999E-2</v>
      </c>
      <c r="C72" s="58">
        <v>0.13089999999999999</v>
      </c>
      <c r="D72" s="58">
        <v>0.1736</v>
      </c>
      <c r="E72" s="58">
        <v>0.2392</v>
      </c>
      <c r="F72" s="58">
        <v>0.34949999999999998</v>
      </c>
      <c r="G72" s="58">
        <v>0.39689999999999998</v>
      </c>
      <c r="H72" s="58">
        <v>0.52990000000000004</v>
      </c>
      <c r="I72" s="58">
        <v>0.69689999999999996</v>
      </c>
      <c r="J72" s="59">
        <v>0.89090000000000003</v>
      </c>
    </row>
    <row r="74" spans="1:10" x14ac:dyDescent="0.25">
      <c r="B74" s="78"/>
      <c r="C74" s="78"/>
      <c r="D74" s="78"/>
      <c r="E74" s="78"/>
      <c r="F74" s="78"/>
      <c r="G74" s="78"/>
      <c r="H74" s="78"/>
      <c r="I74" s="78"/>
      <c r="J74" s="78"/>
    </row>
    <row r="75" spans="1:10" ht="21" x14ac:dyDescent="0.35">
      <c r="A75" s="52" t="s">
        <v>96</v>
      </c>
    </row>
    <row r="76" spans="1:10" x14ac:dyDescent="0.25">
      <c r="A76" s="20" t="s">
        <v>57</v>
      </c>
      <c r="B76" s="77">
        <v>3.0534253552491002E-2</v>
      </c>
      <c r="C76" s="77">
        <v>5.2247799204166001E-2</v>
      </c>
      <c r="D76" s="77">
        <v>6.8864213966061003E-2</v>
      </c>
      <c r="E76" s="77">
        <v>9.4689758228719001E-2</v>
      </c>
      <c r="F76" s="77">
        <v>0.14097016526665701</v>
      </c>
      <c r="G76" s="77">
        <v>0.162832985239144</v>
      </c>
      <c r="H76" s="77">
        <v>0.23135077772705301</v>
      </c>
      <c r="I76" s="77">
        <v>0.332024386493319</v>
      </c>
      <c r="J76" s="77">
        <v>0.47259360336538903</v>
      </c>
    </row>
    <row r="78" spans="1:10" ht="21" x14ac:dyDescent="0.35">
      <c r="A78" s="52" t="s">
        <v>95</v>
      </c>
    </row>
    <row r="79" spans="1:10" x14ac:dyDescent="0.25">
      <c r="A79" s="20" t="s">
        <v>57</v>
      </c>
      <c r="B79" s="77">
        <v>2.6119697499103998E-2</v>
      </c>
      <c r="C79" s="77">
        <v>4.4263655745839001E-2</v>
      </c>
      <c r="D79" s="77">
        <v>5.7840751599430001E-2</v>
      </c>
      <c r="E79" s="77">
        <v>7.9059267015249998E-2</v>
      </c>
      <c r="F79" s="77">
        <v>0.116949276929855</v>
      </c>
      <c r="G79" s="77">
        <v>0.13521223795982901</v>
      </c>
      <c r="H79" s="77">
        <v>0.194528978104341</v>
      </c>
      <c r="I79" s="77">
        <v>0.28896669111729101</v>
      </c>
      <c r="J79" s="77">
        <v>0.43849156574250803</v>
      </c>
    </row>
    <row r="81" spans="1:10" ht="21" x14ac:dyDescent="0.35">
      <c r="A81" s="52" t="s">
        <v>97</v>
      </c>
    </row>
    <row r="82" spans="1:10" x14ac:dyDescent="0.25">
      <c r="A82" s="20" t="s">
        <v>57</v>
      </c>
      <c r="B82" s="77">
        <v>2.6119697499103998E-2</v>
      </c>
      <c r="C82" s="77">
        <v>4.4263655745839001E-2</v>
      </c>
      <c r="D82" s="77">
        <v>5.7840751599430001E-2</v>
      </c>
      <c r="E82" s="77">
        <v>7.9059267015249998E-2</v>
      </c>
      <c r="F82" s="77">
        <v>0.116949276929855</v>
      </c>
      <c r="G82" s="77">
        <v>0.13521223795982901</v>
      </c>
      <c r="H82" s="77">
        <v>0.194528978104341</v>
      </c>
      <c r="I82" s="77">
        <v>0.28896669111729101</v>
      </c>
      <c r="J82" s="77">
        <v>0.43849156574250803</v>
      </c>
    </row>
  </sheetData>
  <mergeCells count="1">
    <mergeCell ref="D43:G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HazCur-STGR-2026-08-12</vt:lpstr>
      <vt:lpstr>UHS-STGR-2026-08-12</vt:lpstr>
      <vt:lpstr>comparison-with-OldPSHA</vt:lpstr>
      <vt:lpstr>Guwa-HazCur-STGR-2026-08-18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sks</cp:lastModifiedBy>
  <dcterms:created xsi:type="dcterms:W3CDTF">2026-08-11T13:09:11Z</dcterms:created>
  <dcterms:modified xsi:type="dcterms:W3CDTF">2026-08-25T10:48:18Z</dcterms:modified>
</cp:coreProperties>
</file>