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Input from Raghukanth\"/>
    </mc:Choice>
  </mc:AlternateContent>
  <bookViews>
    <workbookView xWindow="-120" yWindow="-120" windowWidth="29040" windowHeight="15720" tabRatio="844" activeTab="3"/>
  </bookViews>
  <sheets>
    <sheet name="HazCur-STGR-26-08-12" sheetId="1" r:id="rId1"/>
    <sheet name="UHS-STGR-26-08-12" sheetId="2" r:id="rId2"/>
    <sheet name="comparison-OldPSHA" sheetId="4" r:id="rId3"/>
    <sheet name="Guwa-HazCur-STGR-26-08-18" sheetId="8" r:id="rId4"/>
    <sheet name="Delhi-HazCur-STGR-2026-08-18" sheetId="7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8" l="1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C39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C39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21" i="7"/>
  <c r="C21" i="8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22" i="7" l="1"/>
  <c r="A3" i="7"/>
  <c r="A23" i="7" s="1"/>
  <c r="A4" i="7"/>
  <c r="A24" i="7" s="1"/>
  <c r="A5" i="7"/>
  <c r="A25" i="7" s="1"/>
  <c r="A6" i="7"/>
  <c r="A26" i="7" s="1"/>
  <c r="A7" i="7"/>
  <c r="A27" i="7" s="1"/>
  <c r="A8" i="7"/>
  <c r="A28" i="7" s="1"/>
  <c r="A9" i="7"/>
  <c r="A29" i="7" s="1"/>
  <c r="A10" i="7"/>
  <c r="A30" i="7" s="1"/>
  <c r="A11" i="7"/>
  <c r="A31" i="7" s="1"/>
  <c r="A12" i="7"/>
  <c r="A32" i="7" s="1"/>
  <c r="A13" i="7"/>
  <c r="A33" i="7" s="1"/>
  <c r="A14" i="7"/>
  <c r="A34" i="7" s="1"/>
  <c r="A15" i="7"/>
  <c r="A35" i="7" s="1"/>
  <c r="A16" i="7"/>
  <c r="A36" i="7" s="1"/>
  <c r="A2" i="7"/>
  <c r="F8" i="4"/>
  <c r="AB41" i="7" l="1"/>
  <c r="AC41" i="7"/>
  <c r="M41" i="7"/>
  <c r="G41" i="7"/>
  <c r="H41" i="7"/>
  <c r="I41" i="7"/>
  <c r="J41" i="7"/>
  <c r="K41" i="7"/>
  <c r="L41" i="7"/>
  <c r="Q41" i="7"/>
  <c r="N41" i="7"/>
  <c r="O41" i="7"/>
  <c r="P41" i="7"/>
  <c r="D41" i="7"/>
  <c r="E41" i="7"/>
  <c r="F41" i="7"/>
  <c r="R41" i="7"/>
  <c r="T41" i="7"/>
  <c r="W41" i="7"/>
  <c r="W44" i="7" s="1"/>
  <c r="U41" i="7"/>
  <c r="S41" i="7"/>
  <c r="V41" i="7"/>
  <c r="C41" i="7"/>
  <c r="C44" i="7" s="1"/>
  <c r="X41" i="7"/>
  <c r="Y41" i="7"/>
  <c r="Y44" i="7" s="1"/>
  <c r="AA41" i="7"/>
  <c r="Z41" i="7"/>
  <c r="Z44" i="7" s="1"/>
  <c r="AA40" i="7"/>
  <c r="AB40" i="7"/>
  <c r="K40" i="7"/>
  <c r="O40" i="7"/>
  <c r="I40" i="7"/>
  <c r="J40" i="7"/>
  <c r="L40" i="7"/>
  <c r="M40" i="7"/>
  <c r="N40" i="7"/>
  <c r="F40" i="7"/>
  <c r="Q40" i="7"/>
  <c r="S40" i="7"/>
  <c r="E40" i="7"/>
  <c r="G40" i="7"/>
  <c r="D40" i="7"/>
  <c r="H40" i="7"/>
  <c r="P40" i="7"/>
  <c r="R40" i="7"/>
  <c r="C40" i="7"/>
  <c r="C43" i="7" s="1"/>
  <c r="V40" i="7"/>
  <c r="X40" i="7"/>
  <c r="W40" i="7"/>
  <c r="W43" i="7" s="1"/>
  <c r="T40" i="7"/>
  <c r="U40" i="7"/>
  <c r="Y40" i="7"/>
  <c r="Y43" i="7" s="1"/>
  <c r="Z40" i="7"/>
  <c r="Z43" i="7" s="1"/>
  <c r="AC40" i="7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22" i="8"/>
  <c r="A22" i="8"/>
  <c r="A3" i="8" l="1"/>
  <c r="A23" i="8" s="1"/>
  <c r="A4" i="8"/>
  <c r="A24" i="8" s="1"/>
  <c r="A5" i="8"/>
  <c r="A25" i="8" s="1"/>
  <c r="A6" i="8"/>
  <c r="A26" i="8" s="1"/>
  <c r="A7" i="8"/>
  <c r="A27" i="8" s="1"/>
  <c r="A8" i="8"/>
  <c r="A28" i="8" s="1"/>
  <c r="A9" i="8"/>
  <c r="A29" i="8" s="1"/>
  <c r="A10" i="8"/>
  <c r="A30" i="8" s="1"/>
  <c r="A11" i="8"/>
  <c r="A31" i="8" s="1"/>
  <c r="C40" i="8" s="1"/>
  <c r="A12" i="8"/>
  <c r="A32" i="8" s="1"/>
  <c r="A13" i="8"/>
  <c r="A33" i="8" s="1"/>
  <c r="A14" i="8"/>
  <c r="A34" i="8" s="1"/>
  <c r="A15" i="8"/>
  <c r="A35" i="8" s="1"/>
  <c r="A16" i="8"/>
  <c r="A36" i="8" s="1"/>
  <c r="A2" i="8"/>
  <c r="K90" i="8"/>
  <c r="J90" i="8"/>
  <c r="I90" i="8"/>
  <c r="H90" i="8"/>
  <c r="G90" i="8"/>
  <c r="F90" i="8"/>
  <c r="E90" i="8"/>
  <c r="D90" i="8"/>
  <c r="C90" i="8"/>
  <c r="H66" i="8"/>
  <c r="H55" i="8" s="1"/>
  <c r="G66" i="8"/>
  <c r="G55" i="8" s="1"/>
  <c r="F66" i="8"/>
  <c r="F55" i="8" s="1"/>
  <c r="D61" i="8"/>
  <c r="D62" i="8" s="1"/>
  <c r="C61" i="8"/>
  <c r="C62" i="8" s="1"/>
  <c r="H58" i="8"/>
  <c r="G58" i="8"/>
  <c r="F58" i="8"/>
  <c r="E58" i="8"/>
  <c r="H57" i="8"/>
  <c r="G57" i="8"/>
  <c r="F57" i="8"/>
  <c r="E57" i="8"/>
  <c r="H56" i="8"/>
  <c r="G56" i="8"/>
  <c r="F56" i="8"/>
  <c r="E56" i="8"/>
  <c r="E55" i="8"/>
  <c r="E54" i="8"/>
  <c r="E53" i="8"/>
  <c r="H52" i="8"/>
  <c r="G52" i="8"/>
  <c r="F52" i="8"/>
  <c r="E52" i="8"/>
  <c r="H51" i="8"/>
  <c r="G51" i="8"/>
  <c r="F51" i="8"/>
  <c r="E51" i="8"/>
  <c r="I41" i="8" l="1"/>
  <c r="Q41" i="8"/>
  <c r="G41" i="8"/>
  <c r="N41" i="8"/>
  <c r="R41" i="8"/>
  <c r="O41" i="8"/>
  <c r="K41" i="8"/>
  <c r="H41" i="8"/>
  <c r="L41" i="8"/>
  <c r="J41" i="8"/>
  <c r="F41" i="8"/>
  <c r="P41" i="8"/>
  <c r="M41" i="8"/>
  <c r="W40" i="8"/>
  <c r="W43" i="8" s="1"/>
  <c r="T40" i="8"/>
  <c r="Y41" i="8"/>
  <c r="S40" i="8"/>
  <c r="Z41" i="8"/>
  <c r="Z44" i="8" s="1"/>
  <c r="U40" i="8"/>
  <c r="V40" i="8"/>
  <c r="G40" i="8"/>
  <c r="F40" i="8"/>
  <c r="E40" i="8"/>
  <c r="C43" i="8"/>
  <c r="Q40" i="8"/>
  <c r="R40" i="8"/>
  <c r="D40" i="8"/>
  <c r="S41" i="8"/>
  <c r="X41" i="8"/>
  <c r="U41" i="8"/>
  <c r="W41" i="8"/>
  <c r="W44" i="8" s="1"/>
  <c r="T41" i="8"/>
  <c r="V41" i="8"/>
  <c r="C41" i="8"/>
  <c r="I40" i="8"/>
  <c r="D41" i="8"/>
  <c r="J40" i="8"/>
  <c r="N40" i="8"/>
  <c r="E41" i="8"/>
  <c r="P40" i="8"/>
  <c r="M40" i="8"/>
  <c r="H40" i="8"/>
  <c r="L40" i="8"/>
  <c r="O40" i="8"/>
  <c r="K40" i="8"/>
  <c r="Y40" i="8"/>
  <c r="Y43" i="8" s="1"/>
  <c r="AB41" i="8"/>
  <c r="X40" i="8"/>
  <c r="AA41" i="8"/>
  <c r="AA40" i="8"/>
  <c r="AC41" i="8"/>
  <c r="Z40" i="8"/>
  <c r="Z43" i="8" s="1"/>
  <c r="AC40" i="8"/>
  <c r="AB40" i="8"/>
  <c r="F54" i="8"/>
  <c r="F53" i="8"/>
  <c r="G53" i="8"/>
  <c r="H53" i="8"/>
  <c r="G54" i="8"/>
  <c r="H54" i="8"/>
  <c r="D63" i="7"/>
  <c r="D64" i="7" s="1"/>
  <c r="C63" i="7"/>
  <c r="C64" i="7" s="1"/>
  <c r="H68" i="7"/>
  <c r="H52" i="7" s="1"/>
  <c r="G68" i="7"/>
  <c r="G52" i="7" s="1"/>
  <c r="K75" i="7"/>
  <c r="J75" i="7"/>
  <c r="I75" i="7"/>
  <c r="H75" i="7"/>
  <c r="G75" i="7"/>
  <c r="F75" i="7"/>
  <c r="E75" i="7"/>
  <c r="D75" i="7"/>
  <c r="C75" i="7"/>
  <c r="AF41" i="8" l="1"/>
  <c r="Y44" i="8"/>
  <c r="C44" i="8"/>
  <c r="H58" i="7"/>
  <c r="H51" i="7"/>
  <c r="H53" i="7"/>
  <c r="G51" i="7"/>
  <c r="G58" i="7"/>
  <c r="G57" i="7"/>
  <c r="G56" i="7"/>
  <c r="G55" i="7"/>
  <c r="G54" i="7"/>
  <c r="G53" i="7"/>
  <c r="H57" i="7"/>
  <c r="H56" i="7"/>
  <c r="H55" i="7"/>
  <c r="H54" i="7"/>
  <c r="F52" i="7" l="1"/>
  <c r="F53" i="7"/>
  <c r="F54" i="7"/>
  <c r="F55" i="7"/>
  <c r="F56" i="7"/>
  <c r="F57" i="7"/>
  <c r="F58" i="7"/>
  <c r="F51" i="7"/>
  <c r="E52" i="7"/>
  <c r="E53" i="7"/>
  <c r="E54" i="7"/>
  <c r="E55" i="7"/>
  <c r="E56" i="7"/>
  <c r="E57" i="7"/>
  <c r="E58" i="7"/>
  <c r="E51" i="7"/>
  <c r="E31" i="4" l="1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C8" i="4" l="1"/>
  <c r="E58" i="1"/>
  <c r="E60" i="1"/>
  <c r="G8" i="4"/>
  <c r="H8" i="4"/>
  <c r="J8" i="4"/>
  <c r="K8" i="4"/>
  <c r="I8" i="4"/>
  <c r="I11" i="4" s="1"/>
  <c r="D8" i="4"/>
  <c r="E8" i="4"/>
  <c r="F11" i="4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<sst xmlns="http://schemas.openxmlformats.org/spreadsheetml/2006/main" count="220" uniqueCount="107">
  <si>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</si>
  <si>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</si>
  <si>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</si>
  <si>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</si>
  <si>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</si>
  <si>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</si>
  <si>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</si>
  <si>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</si>
  <si>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</si>
  <si>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</si>
  <si>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</si>
  <si>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</si>
  <si>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</si>
  <si>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</si>
  <si>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</si>
  <si>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</si>
  <si>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</si>
  <si>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</si>
  <si>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</si>
  <si>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</si>
  <si>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</si>
  <si>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</si>
  <si>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</si>
  <si>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</si>
  <si>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</si>
  <si>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</si>
  <si>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</si>
  <si>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</si>
  <si>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</si>
  <si>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</si>
  <si>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</si>
  <si>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</si>
  <si>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</si>
  <si>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</si>
  <si>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</si>
  <si>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</si>
  <si>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</si>
  <si>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</si>
  <si>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</si>
  <si>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</si>
  <si>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</si>
  <si>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</si>
  <si>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</si>
  <si>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</si>
  <si>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</si>
  <si>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</si>
  <si>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</si>
  <si>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</si>
  <si>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</si>
  <si>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</si>
  <si>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</si>
  <si>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</si>
  <si>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</si>
  <si>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</si>
  <si>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</si>
  <si>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</si>
  <si>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</si>
  <si>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</si>
  <si>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</si>
  <si>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</si>
  <si>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</si>
  <si>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</si>
  <si>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</si>
  <si>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</si>
  <si>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</si>
  <si>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</si>
  <si>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</si>
  <si>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</si>
  <si>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</si>
  <si>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</si>
  <si>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</si>
  <si>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</si>
  <si>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</si>
  <si>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</si>
  <si>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</si>
  <si>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</si>
  <si>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</si>
  <si>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</si>
  <si>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</si>
  <si>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</si>
  <si>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</si>
  <si>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</si>
  <si>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</si>
  <si>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</si>
  <si>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</si>
  <si>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</si>
  <si>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</si>
  <si>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</si>
  <si>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</si>
  <si>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DBE</t>
  </si>
  <si>
    <t>MCE</t>
  </si>
  <si>
    <t>Sa</t>
  </si>
  <si>
    <t>Sa(1.5s)</t>
  </si>
  <si>
    <t>Sa(2s)</t>
  </si>
  <si>
    <r>
      <t>Sa(T=1.5s)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</si>
  <si>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Sa(T=1.0s)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</si>
  <si>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Sa(T=2s)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</si>
  <si>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t>PSHA_new (STGR-2026-08-18)</t>
  </si>
  <si>
    <t>Zone-IV</t>
  </si>
  <si>
    <t>Old PSHA</t>
  </si>
  <si>
    <t>ln(im_amp)</t>
  </si>
  <si>
    <t>im_Amplified</t>
  </si>
  <si>
    <t>STGR-2026-08-18</t>
  </si>
  <si>
    <t>Δ (proposedCode - PSHA_new)_475</t>
  </si>
  <si>
    <t>Δ (proposedCode - PSHA_new)_2475</t>
  </si>
  <si>
    <t>Tr = 2475</t>
  </si>
  <si>
    <t>Tr  = 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</si>
</sst>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0.00000"/>
    <numFmt numFmtId="167" formatCode="0.0E+00"/>
  </numFmts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6"/>
      <color rgb="FF000000"/>
      <name val="Times New Roman"/>
      <family val="1"/>
    </font>
    <font>
      <i/>
      <sz val="16"/>
      <color rgb="FF000000"/>
      <name val="Times New Roman"/>
      <family val="1"/>
    </font>
    <font>
      <b/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111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8" fillId="7" borderId="1" xfId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5" fillId="0" borderId="1" xfId="1" applyFont="1" applyFill="1"/>
    <xf numFmtId="0" fontId="17" fillId="0" borderId="0" xfId="0" applyFont="1" applyAlignment="1">
      <alignment horizontal="center"/>
    </xf>
    <xf numFmtId="0" fontId="18" fillId="0" borderId="0" xfId="0" applyFont="1"/>
    <xf numFmtId="0" fontId="0" fillId="0" borderId="9" xfId="0" applyBorder="1"/>
    <xf numFmtId="0" fontId="0" fillId="0" borderId="11" xfId="0" applyBorder="1"/>
    <xf numFmtId="0" fontId="0" fillId="0" borderId="0" xfId="0" applyBorder="1"/>
    <xf numFmtId="0" fontId="0" fillId="0" borderId="13" xfId="0" applyBorder="1"/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5" fillId="0" borderId="8" xfId="0" applyFont="1" applyBorder="1"/>
    <xf numFmtId="0" fontId="8" fillId="7" borderId="10" xfId="1" applyFont="1" applyFill="1" applyBorder="1"/>
    <xf numFmtId="0" fontId="5" fillId="0" borderId="20" xfId="0" applyFont="1" applyBorder="1"/>
    <xf numFmtId="11" fontId="0" fillId="0" borderId="22" xfId="0" applyNumberFormat="1" applyBorder="1"/>
    <xf numFmtId="11" fontId="8" fillId="7" borderId="22" xfId="0" applyNumberFormat="1" applyFont="1" applyFill="1" applyBorder="1"/>
    <xf numFmtId="11" fontId="0" fillId="0" borderId="21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22" xfId="0" applyNumberFormat="1" applyBorder="1" applyAlignment="1">
      <alignment horizontal="center"/>
    </xf>
    <xf numFmtId="11" fontId="0" fillId="0" borderId="21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9" fillId="3" borderId="1" xfId="1" applyFon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0" fontId="0" fillId="0" borderId="0" xfId="0" applyBorder="1" applyAlignment="1">
      <alignment horizontal="center"/>
    </xf>
    <xf numFmtId="0" fontId="22" fillId="0" borderId="0" xfId="0" applyFont="1"/>
    <xf numFmtId="167" fontId="0" fillId="0" borderId="0" xfId="0" applyNumberFormat="1"/>
    <xf numFmtId="0" fontId="5" fillId="0" borderId="0" xfId="0" applyFont="1" applyAlignment="1"/>
    <xf numFmtId="0" fontId="23" fillId="0" borderId="0" xfId="0" applyFont="1"/>
    <xf numFmtId="0" fontId="0" fillId="0" borderId="0" xfId="0" applyAlignment="1">
      <alignment horizontal="right"/>
    </xf>
    <xf numFmtId="10" fontId="16" fillId="10" borderId="1" xfId="3" applyNumberFormat="1"/>
    <xf numFmtId="0" fontId="5" fillId="0" borderId="1" xfId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1" xfId="1" applyFont="1" applyFill="1" applyAlignment="1">
      <alignment vertical="center"/>
    </xf>
    <xf numFmtId="0" fontId="0" fillId="0" borderId="0" xfId="0" applyAlignment="1">
      <alignment vertical="center"/>
    </xf>
    <xf numFmtId="0" fontId="19" fillId="3" borderId="1" xfId="1" applyFont="1" applyAlignment="1">
      <alignment vertical="center" wrapText="1"/>
    </xf>
    <xf numFmtId="0" fontId="23" fillId="0" borderId="0" xfId="0" applyFont="1" applyAlignment="1">
      <alignment horizontal="right"/>
    </xf>
    <xf numFmtId="0" fontId="19" fillId="3" borderId="1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9" fillId="3" borderId="23" xfId="1" applyFont="1" applyBorder="1" applyAlignment="1">
      <alignment horizontal="center" vertical="center"/>
    </xf>
    <xf numFmtId="0" fontId="19" fillId="3" borderId="24" xfId="1" applyFont="1" applyBorder="1" applyAlignment="1">
      <alignment horizontal="center" vertical="center"/>
    </xf>
    <xf numFmtId="0" fontId="19" fillId="3" borderId="25" xfId="1" applyFont="1" applyBorder="1" applyAlignment="1">
      <alignment horizontal="center" vertical="center"/>
    </xf>
    <xf numFmtId="0" fontId="19" fillId="3" borderId="0" xfId="1" applyFont="1" applyBorder="1" applyAlignment="1">
      <alignment horizontal="center" vertical="center"/>
    </xf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1.1520379251650001</c:v>
              </c:pt>
              <c:pt idx="1">
                <c:v>0.87567500934999998</c:v>
              </c:pt>
              <c:pt idx="2">
                <c:v>0.61117034339749998</c:v>
              </c:pt>
              <c:pt idx="3">
                <c:v>0.39142046422749999</c:v>
              </c:pt>
              <c:pt idx="4">
                <c:v>0.23066657242635</c:v>
              </c:pt>
              <c:pt idx="5">
                <c:v>0.125529693401325</c:v>
              </c:pt>
              <c:pt idx="6">
                <c:v>6.3450513035280043E-2</c:v>
              </c:pt>
              <c:pt idx="7">
                <c:v>2.9543004566616515E-2</c:v>
              </c:pt>
              <c:pt idx="8">
                <c:v>1.2331128795881175E-2</c:v>
              </c:pt>
              <c:pt idx="9">
                <c:v>4.4224047132865197E-3</c:v>
              </c:pt>
              <c:pt idx="10">
                <c:v>1.2711103367337292E-3</c:v>
              </c:pt>
              <c:pt idx="11">
                <c:v>2.7058283031018579E-4</c:v>
              </c:pt>
              <c:pt idx="12">
                <c:v>4.209035456101376E-5</c:v>
              </c:pt>
              <c:pt idx="13">
                <c:v>4.4673160399801254E-6</c:v>
              </c:pt>
              <c:pt idx="14">
                <c:v>3.0350866757161069E-7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95-4846-BFC3-D88F59F7161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1.15944758665</c:v>
              </c:pt>
              <c:pt idx="1">
                <c:v>0.88527766728500001</c:v>
              </c:pt>
              <c:pt idx="2">
                <c:v>0.62108222304749994</c:v>
              </c:pt>
              <c:pt idx="3">
                <c:v>0.40005766240700003</c:v>
              </c:pt>
              <c:pt idx="4">
                <c:v>0.23727186833824998</c:v>
              </c:pt>
              <c:pt idx="5">
                <c:v>0.12998557359106799</c:v>
              </c:pt>
              <c:pt idx="6">
                <c:v>6.6162381284889091E-2</c:v>
              </c:pt>
              <c:pt idx="7">
                <c:v>3.1064538173917744E-2</c:v>
              </c:pt>
              <c:pt idx="8">
                <c:v>1.31021773022874E-2</c:v>
              </c:pt>
              <c:pt idx="9">
                <c:v>4.7576173510792009E-3</c:v>
              </c:pt>
              <c:pt idx="10">
                <c:v>1.3875544622937623E-3</c:v>
              </c:pt>
              <c:pt idx="11">
                <c:v>2.9907934244590773E-4</c:v>
              </c:pt>
              <c:pt idx="12">
                <c:v>4.6882080915915572E-5</c:v>
              </c:pt>
              <c:pt idx="13">
                <c:v>5.0161299588670201E-6</c:v>
              </c:pt>
              <c:pt idx="14">
                <c:v>3.4476627618729436E-7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B95-4846-BFC3-D88F59F7161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1.1664071841700001</c:v>
              </c:pt>
              <c:pt idx="1">
                <c:v>0.89445749423500009</c:v>
              </c:pt>
              <c:pt idx="2">
                <c:v>0.63066356565750004</c:v>
              </c:pt>
              <c:pt idx="3">
                <c:v>0.40847437240000001</c:v>
              </c:pt>
              <c:pt idx="4">
                <c:v>0.24375618571005001</c:v>
              </c:pt>
              <c:pt idx="5">
                <c:v>0.13439796378452901</c:v>
              </c:pt>
              <c:pt idx="6">
                <c:v>6.8862670525355274E-2</c:v>
              </c:pt>
              <c:pt idx="7">
                <c:v>3.2588324094340919E-2</c:v>
              </c:pt>
              <c:pt idx="8">
                <c:v>1.3881563933272476E-2</c:v>
              </c:pt>
              <c:pt idx="9">
                <c:v>5.1015410107805477E-3</c:v>
              </c:pt>
              <c:pt idx="10">
                <c:v>1.5096567413156689E-3</c:v>
              </c:pt>
              <c:pt idx="11">
                <c:v>3.2987233635685983E-4</c:v>
              </c:pt>
              <c:pt idx="12">
                <c:v>5.2224292247538324E-5</c:v>
              </c:pt>
              <c:pt idx="13">
                <c:v>5.6512801746441752E-6</c:v>
              </c:pt>
              <c:pt idx="14">
                <c:v>3.944805833578699E-7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3B95-4846-BFC3-D88F59F7161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1.18698131277</c:v>
              </c:pt>
              <c:pt idx="1">
                <c:v>0.91864478061999999</c:v>
              </c:pt>
              <c:pt idx="2">
                <c:v>0.65459673935000007</c:v>
              </c:pt>
              <c:pt idx="3">
                <c:v>0.42874661726999996</c:v>
              </c:pt>
              <c:pt idx="4">
                <c:v>0.25890052021995003</c:v>
              </c:pt>
              <c:pt idx="5">
                <c:v>0.14444708915562299</c:v>
              </c:pt>
              <c:pt idx="6">
                <c:v>7.4859672499355795E-2</c:v>
              </c:pt>
              <c:pt idx="7">
                <c:v>3.5913073867259962E-2</c:v>
              </c:pt>
              <c:pt idx="8">
                <c:v>1.5577452016957663E-2</c:v>
              </c:pt>
              <c:pt idx="9">
                <c:v>5.8617122891692405E-3</c:v>
              </c:pt>
              <c:pt idx="10">
                <c:v>1.7905327205370413E-3</c:v>
              </c:pt>
              <c:pt idx="11">
                <c:v>4.0637601391678365E-4</c:v>
              </c:pt>
              <c:pt idx="12">
                <c:v>6.6934035687062158E-5</c:v>
              </c:pt>
              <c:pt idx="13">
                <c:v>7.6077650947474702E-6</c:v>
              </c:pt>
              <c:pt idx="14">
                <c:v>5.6254381318612799E-7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3B95-4846-BFC3-D88F59F7161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1.2071843649449998</c:v>
              </c:pt>
              <c:pt idx="1">
                <c:v>0.94213932462750005</c:v>
              </c:pt>
              <c:pt idx="2">
                <c:v>0.67779009860250006</c:v>
              </c:pt>
              <c:pt idx="3">
                <c:v>0.44851636151399998</c:v>
              </c:pt>
              <c:pt idx="4">
                <c:v>0.27382095158545</c:v>
              </c:pt>
              <c:pt idx="5">
                <c:v>0.154487812990799</c:v>
              </c:pt>
              <c:pt idx="6">
                <c:v>8.0909005028593634E-2</c:v>
              </c:pt>
              <c:pt idx="7">
                <c:v>3.9286775455443845E-2</c:v>
              </c:pt>
              <c:pt idx="8">
                <c:v>1.7315698421592973E-2</c:v>
              </c:pt>
              <c:pt idx="9">
                <c:v>6.6560421067872258E-3</c:v>
              </c:pt>
              <c:pt idx="10">
                <c:v>2.0930103920366169E-3</c:v>
              </c:pt>
              <c:pt idx="11">
                <c:v>4.9245373490152506E-4</c:v>
              </c:pt>
              <c:pt idx="12">
                <c:v>8.4245787377757846E-5</c:v>
              </c:pt>
              <c:pt idx="13">
                <c:v>1.0037196124851301E-5</c:v>
              </c:pt>
              <c:pt idx="14">
                <c:v>7.8431049750238457E-7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3B95-4846-BFC3-D88F59F7161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1.23325822324</c:v>
              </c:pt>
              <c:pt idx="1">
                <c:v>0.9670801199975001</c:v>
              </c:pt>
              <c:pt idx="2">
                <c:v>0.70079364781750009</c:v>
              </c:pt>
              <c:pt idx="3">
                <c:v>0.46781692400399999</c:v>
              </c:pt>
              <c:pt idx="4">
                <c:v>0.28840335836219999</c:v>
              </c:pt>
              <c:pt idx="5">
                <c:v>0.16439448592735401</c:v>
              </c:pt>
              <c:pt idx="6">
                <c:v>8.6925559858716084E-2</c:v>
              </c:pt>
              <c:pt idx="7">
                <c:v>4.2655795329246113E-2</c:v>
              </c:pt>
              <c:pt idx="8">
                <c:v>1.9064807286114926E-2</c:v>
              </c:pt>
              <c:pt idx="9">
                <c:v>7.4700067045055246E-3</c:v>
              </c:pt>
              <c:pt idx="10">
                <c:v>2.4127452908496629E-3</c:v>
              </c:pt>
              <c:pt idx="11">
                <c:v>5.8756754147611047E-4</c:v>
              </c:pt>
              <c:pt idx="12">
                <c:v>1.0424860117703065E-4</c:v>
              </c:pt>
              <c:pt idx="13">
                <c:v>1.2992968713446587E-5</c:v>
              </c:pt>
              <c:pt idx="14">
                <c:v>1.0703683469123901E-6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3B95-4846-BFC3-D88F59F7161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1.2672344774200002</c:v>
              </c:pt>
              <c:pt idx="1">
                <c:v>1.0038740289000001</c:v>
              </c:pt>
              <c:pt idx="2">
                <c:v>0.73848193633000003</c:v>
              </c:pt>
              <c:pt idx="3">
                <c:v>0.50176628585700001</c:v>
              </c:pt>
              <c:pt idx="4">
                <c:v>0.31489950923370003</c:v>
              </c:pt>
              <c:pt idx="5">
                <c:v>0.182471515296211</c:v>
              </c:pt>
              <c:pt idx="6">
                <c:v>9.7643619369218615E-2</c:v>
              </c:pt>
              <c:pt idx="7">
                <c:v>4.8384221589950538E-2</c:v>
              </c:pt>
              <c:pt idx="8">
                <c:v>2.1925254604014031E-2</c:v>
              </c:pt>
              <c:pt idx="9">
                <c:v>8.7929664940105644E-3</c:v>
              </c:pt>
              <c:pt idx="10">
                <c:v>2.9607803321940766E-3</c:v>
              </c:pt>
              <c:pt idx="11">
                <c:v>7.6707066721047026E-4</c:v>
              </c:pt>
              <c:pt idx="12">
                <c:v>1.4406860866138016E-4</c:v>
              </c:pt>
              <c:pt idx="13">
                <c:v>1.9544112529261169E-5</c:v>
              </c:pt>
              <c:pt idx="14">
                <c:v>1.7745057317394651E-6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3B95-4846-BFC3-D88F59F7161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1.31469271109</c:v>
              </c:pt>
              <c:pt idx="1">
                <c:v>1.049624725395</c:v>
              </c:pt>
              <c:pt idx="2">
                <c:v>0.78209382086500012</c:v>
              </c:pt>
              <c:pt idx="3">
                <c:v>0.54030139065825</c:v>
              </c:pt>
              <c:pt idx="4">
                <c:v>0.3455333429802</c:v>
              </c:pt>
              <c:pt idx="5">
                <c:v>0.20406582826025699</c:v>
              </c:pt>
              <c:pt idx="6">
                <c:v>0.11105235016494935</c:v>
              </c:pt>
              <c:pt idx="7">
                <c:v>5.5811029839166415E-2</c:v>
              </c:pt>
              <c:pt idx="8">
                <c:v>2.571677724912716E-2</c:v>
              </c:pt>
              <c:pt idx="9">
                <c:v>1.0570722195437039E-2</c:v>
              </c:pt>
              <c:pt idx="10">
                <c:v>3.7008195528572324E-3</c:v>
              </c:pt>
              <c:pt idx="11">
                <c:v>1.0253641140716072E-3</c:v>
              </c:pt>
              <c:pt idx="12">
                <c:v>2.1432189147092462E-4</c:v>
              </c:pt>
              <c:pt idx="13">
                <c:v>3.3187788341532339E-5</c:v>
              </c:pt>
              <c:pt idx="14">
                <c:v>3.4851220107591998E-6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3B95-4846-BFC3-D88F59F7161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1.3520612277549999</c:v>
              </c:pt>
              <c:pt idx="1">
                <c:v>1.0886768567100003</c:v>
              </c:pt>
              <c:pt idx="2">
                <c:v>0.81856162246499997</c:v>
              </c:pt>
              <c:pt idx="3">
                <c:v>0.57146067908599996</c:v>
              </c:pt>
              <c:pt idx="4">
                <c:v>0.36951739639710002</c:v>
              </c:pt>
              <c:pt idx="5">
                <c:v>0.22043519958513003</c:v>
              </c:pt>
              <c:pt idx="6">
                <c:v>0.12083606617016093</c:v>
              </c:pt>
              <c:pt idx="7">
                <c:v>6.0898471691806205E-2</c:v>
              </c:pt>
              <c:pt idx="8">
                <c:v>2.8113476460624447E-2</c:v>
              </c:pt>
              <c:pt idx="9">
                <c:v>1.1636026922551492E-2</c:v>
              </c:pt>
              <c:pt idx="10">
                <c:v>4.1539499827213987E-3</c:v>
              </c:pt>
              <c:pt idx="11">
                <c:v>1.2003924064879642E-3</c:v>
              </c:pt>
              <c:pt idx="12">
                <c:v>2.6837506269306597E-4</c:v>
              </c:pt>
              <c:pt idx="13">
                <c:v>4.5587150594900051E-5</c:v>
              </c:pt>
              <c:pt idx="14">
                <c:v>5.3619978150059511E-6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3B95-4846-BFC3-D88F59F7161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1.3737715533900001</c:v>
              </c:pt>
              <c:pt idx="1">
                <c:v>1.1131237058350001</c:v>
              </c:pt>
              <c:pt idx="2">
                <c:v>0.84183698428249998</c:v>
              </c:pt>
              <c:pt idx="3">
                <c:v>0.59134046696749998</c:v>
              </c:pt>
              <c:pt idx="4">
                <c:v>0.38482285147384998</c:v>
              </c:pt>
              <c:pt idx="5">
                <c:v>0.23099287953706799</c:v>
              </c:pt>
              <c:pt idx="6">
                <c:v>0.127272745380311</c:v>
              </c:pt>
              <c:pt idx="7">
                <c:v>6.4345060369658064E-2</c:v>
              </c:pt>
              <c:pt idx="8">
                <c:v>2.978476211928326E-2</c:v>
              </c:pt>
              <c:pt idx="9">
                <c:v>1.2396389238208275E-2</c:v>
              </c:pt>
              <c:pt idx="10">
                <c:v>4.4841209906131135E-3</c:v>
              </c:pt>
              <c:pt idx="11">
                <c:v>1.330982058842644E-3</c:v>
              </c:pt>
              <c:pt idx="12">
                <c:v>3.107442107335407E-4</c:v>
              </c:pt>
              <c:pt idx="13">
                <c:v>5.619942960403277E-5</c:v>
              </c:pt>
              <c:pt idx="14">
                <c:v>7.1703749286430493E-6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3B95-4846-BFC3-D88F59F7161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1.4204102681949999</c:v>
              </c:pt>
              <c:pt idx="1">
                <c:v>1.15125963801</c:v>
              </c:pt>
              <c:pt idx="2">
                <c:v>0.87005445030500006</c:v>
              </c:pt>
              <c:pt idx="3">
                <c:v>0.60892232169250005</c:v>
              </c:pt>
              <c:pt idx="4">
                <c:v>0.39366864712160005</c:v>
              </c:pt>
              <c:pt idx="5">
                <c:v>0.23431021771586003</c:v>
              </c:pt>
              <c:pt idx="6">
                <c:v>0.12800186900686714</c:v>
              </c:pt>
              <c:pt idx="7">
                <c:v>6.436588366539156E-2</c:v>
              </c:pt>
              <c:pt idx="8">
                <c:v>2.9757396967003351E-2</c:v>
              </c:pt>
              <c:pt idx="9">
                <c:v>1.2449242402866687E-2</c:v>
              </c:pt>
              <c:pt idx="10">
                <c:v>4.5793320627839258E-3</c:v>
              </c:pt>
              <c:pt idx="11">
                <c:v>1.4108032956846096E-3</c:v>
              </c:pt>
              <c:pt idx="12">
                <c:v>3.5037022721657587E-4</c:v>
              </c:pt>
              <c:pt idx="13">
                <c:v>6.8905415876023795E-5</c:v>
              </c:pt>
              <c:pt idx="14">
                <c:v>9.704202436362199E-6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3B95-4846-BFC3-D88F59F7161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1.4298506795950001</c:v>
              </c:pt>
              <c:pt idx="1">
                <c:v>1.1528745280699999</c:v>
              </c:pt>
              <c:pt idx="2">
                <c:v>0.86509941549000013</c:v>
              </c:pt>
              <c:pt idx="3">
                <c:v>0.59810526501600003</c:v>
              </c:pt>
              <c:pt idx="4">
                <c:v>0.3804471470934</c:v>
              </c:pt>
              <c:pt idx="5">
                <c:v>0.22262472117496002</c:v>
              </c:pt>
              <c:pt idx="6">
                <c:v>0.1199421214242781</c:v>
              </c:pt>
              <c:pt idx="7">
                <c:v>5.9847860893614116E-2</c:v>
              </c:pt>
              <c:pt idx="8">
                <c:v>2.7577647706099842E-2</c:v>
              </c:pt>
              <c:pt idx="9">
                <c:v>1.1530258087303347E-2</c:v>
              </c:pt>
              <c:pt idx="10">
                <c:v>4.2416169634926712E-3</c:v>
              </c:pt>
              <c:pt idx="11">
                <c:v>1.299451793729724E-3</c:v>
              </c:pt>
              <c:pt idx="12">
                <c:v>3.1427724306846739E-4</c:v>
              </c:pt>
              <c:pt idx="13">
                <c:v>5.9062643550473936E-5</c:v>
              </c:pt>
              <c:pt idx="14">
                <c:v>7.8781381315572329E-6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3B95-4846-BFC3-D88F59F7161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1.4112350416000004</c:v>
              </c:pt>
              <c:pt idx="1">
                <c:v>1.1239855946800001</c:v>
              </c:pt>
              <c:pt idx="2">
                <c:v>0.82438269222000016</c:v>
              </c:pt>
              <c:pt idx="3">
                <c:v>0.55135347843000004</c:v>
              </c:pt>
              <c:pt idx="4">
                <c:v>0.33738192498700004</c:v>
              </c:pt>
              <c:pt idx="5">
                <c:v>0.18971698128699999</c:v>
              </c:pt>
              <c:pt idx="6">
                <c:v>9.8731642312309992E-2</c:v>
              </c:pt>
              <c:pt idx="7">
                <c:v>4.7824923052238094E-2</c:v>
              </c:pt>
              <c:pt idx="8">
                <c:v>2.1453922257177134E-2</c:v>
              </c:pt>
              <c:pt idx="9">
                <c:v>8.756473572983467E-3</c:v>
              </c:pt>
              <c:pt idx="10">
                <c:v>3.1507556799234377E-3</c:v>
              </c:pt>
              <c:pt idx="11">
                <c:v>9.4215928076251711E-4</c:v>
              </c:pt>
              <c:pt idx="12">
                <c:v>2.2149747105636551E-4</c:v>
              </c:pt>
              <c:pt idx="13">
                <c:v>4.0488907450115995E-5</c:v>
              </c:pt>
              <c:pt idx="14">
                <c:v>5.2080373196755142E-6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3B95-4846-BFC3-D88F59F7161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1.3587292273</c:v>
              </c:pt>
              <c:pt idx="1">
                <c:v>1.0642224013599999</c:v>
              </c:pt>
              <c:pt idx="2">
                <c:v>0.76096134624</c:v>
              </c:pt>
              <c:pt idx="3">
                <c:v>0.49561002592500003</c:v>
              </c:pt>
              <c:pt idx="4">
                <c:v>0.29586508814349999</c:v>
              </c:pt>
              <c:pt idx="5">
                <c:v>0.16305696304649997</c:v>
              </c:pt>
              <c:pt idx="6">
                <c:v>8.3599671170260015E-2</c:v>
              </c:pt>
              <c:pt idx="7">
                <c:v>3.99908644227343E-2</c:v>
              </c:pt>
              <c:pt idx="8">
                <c:v>1.7734861892490357E-2</c:v>
              </c:pt>
              <c:pt idx="9">
                <c:v>7.1680472623681579E-3</c:v>
              </c:pt>
              <c:pt idx="10">
                <c:v>2.5579383294583148E-3</c:v>
              </c:pt>
              <c:pt idx="11">
                <c:v>7.6282600716135742E-4</c:v>
              </c:pt>
              <c:pt idx="12">
                <c:v>1.8436553894435933E-4</c:v>
              </c:pt>
              <c:pt idx="13">
                <c:v>3.5332705638205751E-5</c:v>
              </c:pt>
              <c:pt idx="14">
                <c:v>4.7797939792886195E-6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3B95-4846-BFC3-D88F59F7161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1.284293438</c:v>
              </c:pt>
              <c:pt idx="1">
                <c:v>0.98255864518000013</c:v>
              </c:pt>
              <c:pt idx="2">
                <c:v>0.68491193078000001</c:v>
              </c:pt>
              <c:pt idx="3">
                <c:v>0.43663455135000001</c:v>
              </c:pt>
              <c:pt idx="4">
                <c:v>0.2562911804795</c:v>
              </c:pt>
              <c:pt idx="5">
                <c:v>0.13950773767880001</c:v>
              </c:pt>
              <c:pt idx="6">
                <c:v>7.0803687262160006E-2</c:v>
              </c:pt>
              <c:pt idx="7">
                <c:v>3.3525821341406997E-2</c:v>
              </c:pt>
              <c:pt idx="8">
                <c:v>1.4694941710214078E-2</c:v>
              </c:pt>
              <c:pt idx="9">
                <c:v>5.861034904219414E-3</c:v>
              </c:pt>
              <c:pt idx="10">
                <c:v>2.0602384988864251E-3</c:v>
              </c:pt>
              <c:pt idx="11">
                <c:v>6.0165270204820564E-4</c:v>
              </c:pt>
              <c:pt idx="12">
                <c:v>1.4036410980745648E-4</c:v>
              </c:pt>
              <c:pt idx="13">
                <c:v>2.5525348299959001E-5</c:v>
              </c:pt>
              <c:pt idx="14">
                <c:v>3.2203384644681954E-6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3B95-4846-BFC3-D88F59F7161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1.1930242301500003</c:v>
              </c:pt>
              <c:pt idx="1">
                <c:v>0.89207794379999994</c:v>
              </c:pt>
              <c:pt idx="2">
                <c:v>0.60983457629999993</c:v>
              </c:pt>
              <c:pt idx="3">
                <c:v>0.38258329328500007</c:v>
              </c:pt>
              <c:pt idx="4">
                <c:v>0.22158817864050001</c:v>
              </c:pt>
              <c:pt idx="5">
                <c:v>0.11915801276089999</c:v>
              </c:pt>
              <c:pt idx="6">
                <c:v>5.9740151997150007E-2</c:v>
              </c:pt>
              <c:pt idx="7">
                <c:v>2.7908664549455002E-2</c:v>
              </c:pt>
              <c:pt idx="8">
                <c:v>1.2048510097551639E-2</c:v>
              </c:pt>
              <c:pt idx="9">
                <c:v>4.72189734462966E-3</c:v>
              </c:pt>
              <c:pt idx="10">
                <c:v>1.6228005685172248E-3</c:v>
              </c:pt>
              <c:pt idx="11">
                <c:v>4.5953963100488877E-4</c:v>
              </c:pt>
              <c:pt idx="12">
                <c:v>1.0399894302133892E-4</c:v>
              </c:pt>
              <c:pt idx="13">
                <c:v>1.8196938366426249E-5</c:v>
              </c:pt>
              <c:pt idx="14">
                <c:v>2.1583307601271773E-6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3B95-4846-BFC3-D88F59F7161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1.1083527585500001</c:v>
              </c:pt>
              <c:pt idx="1">
                <c:v>0.81285701510000008</c:v>
              </c:pt>
              <c:pt idx="2">
                <c:v>0.54512680081500009</c:v>
              </c:pt>
              <c:pt idx="3">
                <c:v>0.33643959025000003</c:v>
              </c:pt>
              <c:pt idx="4">
                <c:v>0.192007418726</c:v>
              </c:pt>
              <c:pt idx="5">
                <c:v>0.10176090017320001</c:v>
              </c:pt>
              <c:pt idx="6">
                <c:v>5.0276198266939999E-2</c:v>
              </c:pt>
              <c:pt idx="7">
                <c:v>2.3149070165924702E-2</c:v>
              </c:pt>
              <c:pt idx="8">
                <c:v>9.8620670303235965E-3</c:v>
              </c:pt>
              <c:pt idx="9">
                <c:v>3.822280714957966E-3</c:v>
              </c:pt>
              <c:pt idx="10">
                <c:v>1.3027610969147251E-3</c:v>
              </c:pt>
              <c:pt idx="11">
                <c:v>3.6713112689190554E-4</c:v>
              </c:pt>
              <c:pt idx="12">
                <c:v>8.2997927073619659E-5</c:v>
              </c:pt>
              <c:pt idx="13">
                <c:v>1.416072887865071E-5</c:v>
              </c:pt>
              <c:pt idx="14">
                <c:v>1.5893729025977157E-6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3B95-4846-BFC3-D88F59F7161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1.0648009442499999</c:v>
              </c:pt>
              <c:pt idx="1">
                <c:v>0.77389645425000009</c:v>
              </c:pt>
              <c:pt idx="2">
                <c:v>0.51453142348000003</c:v>
              </c:pt>
              <c:pt idx="3">
                <c:v>0.31501939899499998</c:v>
              </c:pt>
              <c:pt idx="4">
                <c:v>0.17838151724500001</c:v>
              </c:pt>
              <c:pt idx="5">
                <c:v>9.3793409478699991E-2</c:v>
              </c:pt>
              <c:pt idx="6">
                <c:v>4.5991248077640004E-2</c:v>
              </c:pt>
              <c:pt idx="7">
                <c:v>2.1036881865443002E-2</c:v>
              </c:pt>
              <c:pt idx="8">
                <c:v>8.9189276350509841E-3</c:v>
              </c:pt>
              <c:pt idx="9">
                <c:v>3.448436616964895E-3</c:v>
              </c:pt>
              <c:pt idx="10">
                <c:v>1.1763615484329251E-3</c:v>
              </c:pt>
              <c:pt idx="11">
                <c:v>3.314525320597271E-4</c:v>
              </c:pt>
              <c:pt idx="12">
                <c:v>7.4204355513916574E-5</c:v>
              </c:pt>
              <c:pt idx="13">
                <c:v>1.2398424606525713E-5</c:v>
              </c:pt>
              <c:pt idx="14">
                <c:v>1.3476542770577082E-6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3B95-4846-BFC3-D88F59F7161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1.0285329437000001</c:v>
              </c:pt>
              <c:pt idx="1">
                <c:v>0.74051830080000003</c:v>
              </c:pt>
              <c:pt idx="2">
                <c:v>0.48878427732000002</c:v>
              </c:pt>
              <c:pt idx="3">
                <c:v>0.29752696790499999</c:v>
              </c:pt>
              <c:pt idx="4">
                <c:v>0.1676274350045</c:v>
              </c:pt>
              <c:pt idx="5">
                <c:v>8.7699532885800013E-2</c:v>
              </c:pt>
              <c:pt idx="6">
                <c:v>4.2793349657809995E-2</c:v>
              </c:pt>
              <c:pt idx="7">
                <c:v>1.94831512490427E-2</c:v>
              </c:pt>
              <c:pt idx="8">
                <c:v>8.2255269314638162E-3</c:v>
              </c:pt>
              <c:pt idx="9">
                <c:v>3.1695584711958881E-3</c:v>
              </c:pt>
              <c:pt idx="10">
                <c:v>1.0791445211352751E-3</c:v>
              </c:pt>
              <c:pt idx="11">
                <c:v>3.0243489910438922E-4</c:v>
              </c:pt>
              <c:pt idx="12">
                <c:v>6.6575667967378491E-5</c:v>
              </c:pt>
              <c:pt idx="13">
                <c:v>1.0842645624553564E-5</c:v>
              </c:pt>
              <c:pt idx="14">
                <c:v>1.1399057655984406E-6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3B95-4846-BFC3-D88F59F7161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0.95487614215000005</c:v>
              </c:pt>
              <c:pt idx="1">
                <c:v>0.67435056032999996</c:v>
              </c:pt>
              <c:pt idx="2">
                <c:v>0.43882039377500004</c:v>
              </c:pt>
              <c:pt idx="3">
                <c:v>0.26390803828999998</c:v>
              </c:pt>
              <c:pt idx="4">
                <c:v>0.14695537271050002</c:v>
              </c:pt>
              <c:pt idx="5">
                <c:v>7.5975354460399991E-2</c:v>
              </c:pt>
              <c:pt idx="6">
                <c:v>3.6648738845909995E-2</c:v>
              </c:pt>
              <c:pt idx="7">
                <c:v>1.6506548368479798E-2</c:v>
              </c:pt>
              <c:pt idx="8">
                <c:v>6.8977564292984211E-3</c:v>
              </c:pt>
              <c:pt idx="9">
                <c:v>2.6341227371230514E-3</c:v>
              </c:pt>
              <c:pt idx="10">
                <c:v>8.8904761693142501E-4</c:v>
              </c:pt>
              <c:pt idx="11">
                <c:v>2.4430109378237416E-4</c:v>
              </c:pt>
              <c:pt idx="12">
                <c:v>5.1420910285100395E-5</c:v>
              </c:pt>
              <c:pt idx="13">
                <c:v>7.9083182194127357E-6</c:v>
              </c:pt>
              <c:pt idx="14">
                <c:v>7.7645246029628177E-7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3B95-4846-BFC3-D88F59F7161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0.87025353439999997</c:v>
              </c:pt>
              <c:pt idx="1">
                <c:v>0.60301136022000001</c:v>
              </c:pt>
              <c:pt idx="2">
                <c:v>0.38674800255500003</c:v>
              </c:pt>
              <c:pt idx="3">
                <c:v>0.22947257592600001</c:v>
              </c:pt>
              <c:pt idx="4">
                <c:v>0.126036906979</c:v>
              </c:pt>
              <c:pt idx="5">
                <c:v>6.4270472890100003E-2</c:v>
              </c:pt>
              <c:pt idx="6">
                <c:v>3.0595847544669999E-2</c:v>
              </c:pt>
              <c:pt idx="7">
                <c:v>1.3614179005111599E-2</c:v>
              </c:pt>
              <c:pt idx="8">
                <c:v>5.6291007640047429E-3</c:v>
              </c:pt>
              <c:pt idx="9">
                <c:v>2.1297985791289909E-3</c:v>
              </c:pt>
              <c:pt idx="10">
                <c:v>7.0945000403592495E-4</c:v>
              </c:pt>
              <c:pt idx="11">
                <c:v>1.8945936299079137E-4</c:v>
              </c:pt>
              <c:pt idx="12">
                <c:v>3.8269452044744067E-5</c:v>
              </c:pt>
              <c:pt idx="13">
                <c:v>5.5444301128992218E-6</c:v>
              </c:pt>
              <c:pt idx="14">
                <c:v>5.0300416662388229E-7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3B95-4846-BFC3-D88F59F71619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0.76625743290000004</c:v>
              </c:pt>
              <c:pt idx="1">
                <c:v>0.51998186550499992</c:v>
              </c:pt>
              <c:pt idx="2">
                <c:v>0.32769262271499999</c:v>
              </c:pt>
              <c:pt idx="3">
                <c:v>0.19149565476800001</c:v>
              </c:pt>
              <c:pt idx="4">
                <c:v>0.10369435394050001</c:v>
              </c:pt>
              <c:pt idx="5">
                <c:v>5.2183095906399996E-2</c:v>
              </c:pt>
              <c:pt idx="6">
                <c:v>2.4529166030312001E-2</c:v>
              </c:pt>
              <c:pt idx="7">
                <c:v>1.0764906212067899E-2</c:v>
              </c:pt>
              <c:pt idx="8">
                <c:v>4.3818937812587421E-3</c:v>
              </c:pt>
              <c:pt idx="9">
                <c:v>1.6303489769963317E-3</c:v>
              </c:pt>
              <c:pt idx="10">
                <c:v>5.2939873639228996E-4</c:v>
              </c:pt>
              <c:pt idx="11">
                <c:v>1.3283011277091263E-4</c:v>
              </c:pt>
              <c:pt idx="12">
                <c:v>2.3903353736113485E-5</c:v>
              </c:pt>
              <c:pt idx="13">
                <c:v>2.9899021418472002E-6</c:v>
              </c:pt>
              <c:pt idx="14">
                <c:v>2.2990863929521537E-7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3B95-4846-BFC3-D88F59F71619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0.60994013669999991</c:v>
              </c:pt>
              <c:pt idx="1">
                <c:v>0.40050833785499995</c:v>
              </c:pt>
              <c:pt idx="2">
                <c:v>0.24505631934</c:v>
              </c:pt>
              <c:pt idx="3">
                <c:v>0.13958189628500001</c:v>
              </c:pt>
              <c:pt idx="4">
                <c:v>7.3859870949500001E-2</c:v>
              </c:pt>
              <c:pt idx="5">
                <c:v>3.6353322648099998E-2</c:v>
              </c:pt>
              <c:pt idx="6">
                <c:v>1.6730961601355E-2</c:v>
              </c:pt>
              <c:pt idx="7">
                <c:v>7.1809400593832104E-3</c:v>
              </c:pt>
              <c:pt idx="8">
                <c:v>2.8447509801611381E-3</c:v>
              </c:pt>
              <c:pt idx="9">
                <c:v>1.0173788879770784E-3</c:v>
              </c:pt>
              <c:pt idx="10">
                <c:v>3.0156935456440476E-4</c:v>
              </c:pt>
              <c:pt idx="11">
                <c:v>6.2441156388274259E-5</c:v>
              </c:pt>
              <c:pt idx="12">
                <c:v>8.8078084372817085E-6</c:v>
              </c:pt>
              <c:pt idx="13">
                <c:v>8.3301943503001566E-7</c:v>
              </c:pt>
              <c:pt idx="14">
                <c:v>4.7233502018912927E-8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3B95-4846-BFC3-D88F59F71619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0.44609092575500003</c:v>
              </c:pt>
              <c:pt idx="1">
                <c:v>0.28236270280499998</c:v>
              </c:pt>
              <c:pt idx="2">
                <c:v>0.16701232711500003</c:v>
              </c:pt>
              <c:pt idx="3">
                <c:v>9.1944546928499987E-2</c:v>
              </c:pt>
              <c:pt idx="4">
                <c:v>4.707410806960001E-2</c:v>
              </c:pt>
              <c:pt idx="5">
                <c:v>2.247805350742E-2</c:v>
              </c:pt>
              <c:pt idx="6">
                <c:v>1.0021003458073E-2</c:v>
              </c:pt>
              <c:pt idx="7">
                <c:v>4.1365397158539402E-3</c:v>
              </c:pt>
              <c:pt idx="8">
                <c:v>1.5557478814335612E-3</c:v>
              </c:pt>
              <c:pt idx="9">
                <c:v>5.0443197864007551E-4</c:v>
              </c:pt>
              <c:pt idx="10">
                <c:v>1.2083559869265844E-4</c:v>
              </c:pt>
              <c:pt idx="11">
                <c:v>1.95959547130938E-5</c:v>
              </c:pt>
              <c:pt idx="12">
                <c:v>2.2010624036560982E-6</c:v>
              </c:pt>
              <c:pt idx="13">
                <c:v>1.52858603227203E-7</c:v>
              </c:pt>
              <c:pt idx="14">
                <c:v>6.2911131645983949E-9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3B95-4846-BFC3-D88F59F71619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0.35634912497999999</c:v>
              </c:pt>
              <c:pt idx="1">
                <c:v>0.22028138289999999</c:v>
              </c:pt>
              <c:pt idx="2">
                <c:v>0.12731906916999999</c:v>
              </c:pt>
              <c:pt idx="3">
                <c:v>6.8591455156999992E-2</c:v>
              </c:pt>
              <c:pt idx="4">
                <c:v>3.43357962275E-2</c:v>
              </c:pt>
              <c:pt idx="5">
                <c:v>1.6018534038380002E-2</c:v>
              </c:pt>
              <c:pt idx="6">
                <c:v>6.9761254691320003E-3</c:v>
              </c:pt>
              <c:pt idx="7">
                <c:v>2.7958904974326199E-3</c:v>
              </c:pt>
              <c:pt idx="8">
                <c:v>1.0068383972470368E-3</c:v>
              </c:pt>
              <c:pt idx="9">
                <c:v>2.9885918205939632E-4</c:v>
              </c:pt>
              <c:pt idx="10">
                <c:v>5.8949399596572507E-5</c:v>
              </c:pt>
              <c:pt idx="11">
                <c:v>7.3971833719988009E-6</c:v>
              </c:pt>
              <c:pt idx="12">
                <c:v>6.5561337208388541E-7</c:v>
              </c:pt>
              <c:pt idx="13">
                <c:v>3.6602156100923455E-8</c:v>
              </c:pt>
              <c:pt idx="14">
                <c:v>1.3297567105226485E-9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3B95-4846-BFC3-D88F59F71619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0.27150184569500002</c:v>
              </c:pt>
              <c:pt idx="1">
                <c:v>0.16291261730000001</c:v>
              </c:pt>
              <c:pt idx="2">
                <c:v>9.1453810520000012E-2</c:v>
              </c:pt>
              <c:pt idx="3">
                <c:v>4.7943623120000001E-2</c:v>
              </c:pt>
              <c:pt idx="4">
                <c:v>2.3413943549100001E-2</c:v>
              </c:pt>
              <c:pt idx="5">
                <c:v>1.0693527922790002E-2</c:v>
              </c:pt>
              <c:pt idx="6">
                <c:v>4.5771411964179998E-3</c:v>
              </c:pt>
              <c:pt idx="7">
                <c:v>1.7999890250643062E-3</c:v>
              </c:pt>
              <c:pt idx="8">
                <c:v>6.2558555976524924E-4</c:v>
              </c:pt>
              <c:pt idx="9">
                <c:v>1.6923637797550942E-4</c:v>
              </c:pt>
              <c:pt idx="10">
                <c:v>2.7040077406744099E-5</c:v>
              </c:pt>
              <c:pt idx="11">
                <c:v>2.6896305251897846E-6</c:v>
              </c:pt>
              <c:pt idx="12">
                <c:v>1.9362627668754777E-7</c:v>
              </c:pt>
              <c:pt idx="13">
                <c:v>9.187228588889841E-9</c:v>
              </c:pt>
              <c:pt idx="14">
                <c:v>3.2871649071285201E-10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3B95-4846-BFC3-D88F59F71619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0.17647603778999998</c:v>
              </c:pt>
              <c:pt idx="1">
                <c:v>0.10344112766000001</c:v>
              </c:pt>
              <c:pt idx="2">
                <c:v>5.6711899719499997E-2</c:v>
              </c:pt>
              <c:pt idx="3">
                <c:v>2.9009431868999999E-2</c:v>
              </c:pt>
              <c:pt idx="4">
                <c:v>1.3782190493599997E-2</c:v>
              </c:pt>
              <c:pt idx="5">
                <c:v>6.0424551452300003E-3</c:v>
              </c:pt>
              <c:pt idx="6">
                <c:v>2.3732804931153998E-3</c:v>
              </c:pt>
              <c:pt idx="7">
                <c:v>7.9439640579564497E-4</c:v>
              </c:pt>
              <c:pt idx="8">
                <c:v>2.093252736459206E-4</c:v>
              </c:pt>
              <c:pt idx="9">
                <c:v>3.4343764020138144E-5</c:v>
              </c:pt>
              <c:pt idx="10">
                <c:v>3.8067023672633939E-6</c:v>
              </c:pt>
              <c:pt idx="11">
                <c:v>4.1026160673802671E-7</c:v>
              </c:pt>
              <c:pt idx="12">
                <c:v>3.8843849828841249E-8</c:v>
              </c:pt>
              <c:pt idx="13">
                <c:v>3.067931939794016E-9</c:v>
              </c:pt>
              <c:pt idx="14">
                <c:v>1.9286170908100002E-10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3B95-4846-BFC3-D88F59F71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3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'Guwa-HazCur-STGR-26-08-18'!$E$51:$E$58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7"/>
          <c:order val="1"/>
          <c:tx>
            <c:v>Amplified PSHA PGA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'Guwa-HazCur-STGR-26-08-18'!$C$2:$C$16</c:f>
              <c:numCache>
                <c:formatCode>0.00E+00</c:formatCode>
                <c:ptCount val="15"/>
                <c:pt idx="0">
                  <c:v>1.1520379251650001</c:v>
                </c:pt>
                <c:pt idx="1">
                  <c:v>0.87567500934999998</c:v>
                </c:pt>
                <c:pt idx="2">
                  <c:v>0.61117034339749998</c:v>
                </c:pt>
                <c:pt idx="3">
                  <c:v>0.39142046422749999</c:v>
                </c:pt>
                <c:pt idx="4">
                  <c:v>0.23066657242635</c:v>
                </c:pt>
                <c:pt idx="5">
                  <c:v>0.125529693401325</c:v>
                </c:pt>
                <c:pt idx="6">
                  <c:v>6.3450513035280043E-2</c:v>
                </c:pt>
                <c:pt idx="7">
                  <c:v>2.9543004566616515E-2</c:v>
                </c:pt>
                <c:pt idx="8">
                  <c:v>1.2331128795881175E-2</c:v>
                </c:pt>
                <c:pt idx="9">
                  <c:v>4.4224047132865197E-3</c:v>
                </c:pt>
                <c:pt idx="10">
                  <c:v>1.2711103367337292E-3</c:v>
                </c:pt>
                <c:pt idx="11">
                  <c:v>2.7058283031018579E-4</c:v>
                </c:pt>
                <c:pt idx="12">
                  <c:v>4.209035456101376E-5</c:v>
                </c:pt>
                <c:pt idx="13">
                  <c:v>4.4673160399801254E-6</c:v>
                </c:pt>
                <c:pt idx="14">
                  <c:v>3.0350866757161069E-7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569-4A78-A86B-F414AC9C6ABB}"/>
            </c:ext>
          </c:extLst>
        </c:ser>
        <c:ser>
          <c:idx val="26"/>
          <c:order val="2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'Guwa-HazCur-STGR-26-08-18'!$C$93:$K$93</c:f>
              <c:numCache>
                <c:formatCode>General</c:formatCode>
                <c:ptCount val="9"/>
                <c:pt idx="0">
                  <c:v>7.6499999999999999E-2</c:v>
                </c:pt>
                <c:pt idx="1">
                  <c:v>0.13089999999999999</c:v>
                </c:pt>
                <c:pt idx="2">
                  <c:v>0.1736</c:v>
                </c:pt>
                <c:pt idx="3">
                  <c:v>0.2392</c:v>
                </c:pt>
                <c:pt idx="4">
                  <c:v>0.34949999999999998</c:v>
                </c:pt>
                <c:pt idx="5">
                  <c:v>0.39689999999999998</c:v>
                </c:pt>
                <c:pt idx="6">
                  <c:v>0.52990000000000004</c:v>
                </c:pt>
                <c:pt idx="7">
                  <c:v>0.69689999999999996</c:v>
                </c:pt>
                <c:pt idx="8">
                  <c:v>0.89090000000000003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69-4A78-A86B-F414AC9C6ABB}"/>
            </c:ext>
          </c:extLst>
        </c:ser>
        <c:ser>
          <c:idx val="1"/>
          <c:order val="4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69-4A78-A86B-F414AC9C6ABB}"/>
            </c:ext>
          </c:extLst>
        </c:ser>
        <c:ser>
          <c:idx val="2"/>
          <c:order val="5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0"/>
                <c:tx>
                  <c:v>unamplified PSHA PGA</c:v>
                </c:tx>
                <c:spPr>
                  <a:ln w="1905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'Guwa-HazCur-STGR-26-08-18'!$B$2:$B$16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'Guwa-HazCur-STGR-26-08-18'!$C$2:$C$16</c15:sqref>
                        </c15:formulaRef>
                      </c:ext>
                    </c:extLst>
                    <c:numCache>
                      <c:formatCode>0.00E+00</c:formatCode>
                      <c:ptCount val="15"/>
                      <c:pt idx="0">
                        <c:v>1.1520379251650001</c:v>
                      </c:pt>
                      <c:pt idx="1">
                        <c:v>0.87567500934999998</c:v>
                      </c:pt>
                      <c:pt idx="2">
                        <c:v>0.61117034339749998</c:v>
                      </c:pt>
                      <c:pt idx="3">
                        <c:v>0.39142046422749999</c:v>
                      </c:pt>
                      <c:pt idx="4">
                        <c:v>0.23066657242635</c:v>
                      </c:pt>
                      <c:pt idx="5">
                        <c:v>0.125529693401325</c:v>
                      </c:pt>
                      <c:pt idx="6">
                        <c:v>6.3450513035280043E-2</c:v>
                      </c:pt>
                      <c:pt idx="7">
                        <c:v>2.9543004566616515E-2</c:v>
                      </c:pt>
                      <c:pt idx="8">
                        <c:v>1.2331128795881175E-2</c:v>
                      </c:pt>
                      <c:pt idx="9">
                        <c:v>4.4224047132865197E-3</c:v>
                      </c:pt>
                      <c:pt idx="10">
                        <c:v>1.2711103367337292E-3</c:v>
                      </c:pt>
                      <c:pt idx="11">
                        <c:v>2.7058283031018579E-4</c:v>
                      </c:pt>
                      <c:pt idx="12">
                        <c:v>4.209035456101376E-5</c:v>
                      </c:pt>
                      <c:pt idx="13">
                        <c:v>4.4673160399801254E-6</c:v>
                      </c:pt>
                      <c:pt idx="14">
                        <c:v>3.0350866757161069E-7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A-1569-4A78-A86B-F414AC9C6ABB}"/>
                  </c:ext>
                </c:extLst>
              </c15:ser>
            </c15:filteredScatterSeries>
            <c15:filteredScatterSeries>
              <c15:ser>
                <c:idx val="3"/>
                <c:order val="6"/>
                <c:tx>
                  <c:v>T=1S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'Guwa-HazCur-STGR-26-08-18'!$W$22:$W$36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-0.13897069093715844</c:v>
                      </c:pt>
                      <c:pt idx="1">
                        <c:v>-0.50581924292992519</c:v>
                      </c:pt>
                      <c:pt idx="2">
                        <c:v>-0.94998195423525267</c:v>
                      </c:pt>
                      <c:pt idx="3">
                        <c:v>-1.4719717514974355</c:v>
                      </c:pt>
                      <c:pt idx="4">
                        <c:v>-2.0711805023894136</c:v>
                      </c:pt>
                      <c:pt idx="5">
                        <c:v>-2.7446549617591991</c:v>
                      </c:pt>
                      <c:pt idx="6">
                        <c:v>-3.4868909803866117</c:v>
                      </c:pt>
                      <c:pt idx="7">
                        <c:v>-4.2966434554375894</c:v>
                      </c:pt>
                      <c:pt idx="8">
                        <c:v>-5.1798055717891316</c:v>
                      </c:pt>
                      <c:pt idx="9">
                        <c:v>-6.1517278675214468</c:v>
                      </c:pt>
                      <c:pt idx="10">
                        <c:v>-7.251020530322144</c:v>
                      </c:pt>
                      <c:pt idx="11">
                        <c:v>-8.5713359997584124</c:v>
                      </c:pt>
                      <c:pt idx="12">
                        <c:v>-10.170858576770165</c:v>
                      </c:pt>
                      <c:pt idx="13">
                        <c:v>-12.102716717394197</c:v>
                      </c:pt>
                      <c:pt idx="14">
                        <c:v>-14.502667383334495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569-4A78-A86B-F414AC9C6ABB}"/>
                  </c:ext>
                </c:extLst>
              </c15:ser>
            </c15:filteredScatterSeries>
            <c15:filteredScatterSeries>
              <c15:ser>
                <c:idx val="4"/>
                <c:order val="7"/>
                <c:tx>
                  <c:v>T=5S</c:v>
                </c:tx>
                <c:spPr>
                  <a:ln w="190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'Guwa-HazCur-STGR-26-08-18'!$AC$22:$AC$36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-1.734570175054909</c:v>
                      </c:pt>
                      <c:pt idx="1">
                        <c:v>-2.2687526429924967</c:v>
                      </c:pt>
                      <c:pt idx="2">
                        <c:v>-2.8697712186722732</c:v>
                      </c:pt>
                      <c:pt idx="3">
                        <c:v>-3.5401342650116372</c:v>
                      </c:pt>
                      <c:pt idx="4">
                        <c:v>-4.2843780642300029</c:v>
                      </c:pt>
                      <c:pt idx="5">
                        <c:v>-5.1089448686280896</c:v>
                      </c:pt>
                      <c:pt idx="6">
                        <c:v>-6.0434821066109814</c:v>
                      </c:pt>
                      <c:pt idx="7">
                        <c:v>-7.1379279696699749</c:v>
                      </c:pt>
                      <c:pt idx="8">
                        <c:v>-8.4716211825968557</c:v>
                      </c:pt>
                      <c:pt idx="9">
                        <c:v>-10.27909009813078</c:v>
                      </c:pt>
                      <c:pt idx="10">
                        <c:v>-12.478747264008026</c:v>
                      </c:pt>
                      <c:pt idx="11">
                        <c:v>-14.706470815510418</c:v>
                      </c:pt>
                      <c:pt idx="12">
                        <c:v>-17.063716078228335</c:v>
                      </c:pt>
                      <c:pt idx="13">
                        <c:v>-19.602262137587722</c:v>
                      </c:pt>
                      <c:pt idx="14">
                        <c:v>-22.369047717115379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569-4A78-A86B-F414AC9C6ABB}"/>
                  </c:ext>
                </c:extLst>
              </c15:ser>
            </c15:filteredScatterSeries>
            <c15:filteredScatterSeries>
              <c15:ser>
                <c:idx val="5"/>
                <c:order val="8"/>
                <c:tx>
                  <c:v>T=0.05s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'Guwa-HazCur-STGR-26-08-18'!$H$22:$H$36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0.20965962905190849</c:v>
                      </c:pt>
                      <c:pt idx="1">
                        <c:v>-3.3473932775435436E-2</c:v>
                      </c:pt>
                      <c:pt idx="2">
                        <c:v>-0.35554180358839255</c:v>
                      </c:pt>
                      <c:pt idx="3">
                        <c:v>-0.75967824762412717</c:v>
                      </c:pt>
                      <c:pt idx="4">
                        <c:v>-1.2433952288326247</c:v>
                      </c:pt>
                      <c:pt idx="5">
                        <c:v>-1.8054863375104266</c:v>
                      </c:pt>
                      <c:pt idx="6">
                        <c:v>-2.4427031603989611</c:v>
                      </c:pt>
                      <c:pt idx="7">
                        <c:v>-3.1545921331676872</c:v>
                      </c:pt>
                      <c:pt idx="8">
                        <c:v>-3.9599111939788822</c:v>
                      </c:pt>
                      <c:pt idx="9">
                        <c:v>-4.8968593823136475</c:v>
                      </c:pt>
                      <c:pt idx="10">
                        <c:v>-6.0269900549560909</c:v>
                      </c:pt>
                      <c:pt idx="11">
                        <c:v>-7.4395193543391827</c:v>
                      </c:pt>
                      <c:pt idx="12">
                        <c:v>-9.168732115341518</c:v>
                      </c:pt>
                      <c:pt idx="13">
                        <c:v>-11.25110221502112</c:v>
                      </c:pt>
                      <c:pt idx="14">
                        <c:v>-13.747507719279874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569-4A78-A86B-F414AC9C6ABB}"/>
                  </c:ext>
                </c:extLst>
              </c15:ser>
            </c15:filteredScatterSeries>
            <c15:filteredScatterSeries>
              <c15:ser>
                <c:idx val="6"/>
                <c:order val="9"/>
                <c:tx>
                  <c:v>T=0.5s</c:v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'Guwa-HazCur-STGR-26-08-18'!$Q$22:$Q$36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0.25020871342570428</c:v>
                      </c:pt>
                      <c:pt idx="1">
                        <c:v>-1.7595247269446761E-2</c:v>
                      </c:pt>
                      <c:pt idx="2">
                        <c:v>-0.37846501718989134</c:v>
                      </c:pt>
                      <c:pt idx="3">
                        <c:v>-0.82865870068644543</c:v>
                      </c:pt>
                      <c:pt idx="4">
                        <c:v>-1.3614410571308295</c:v>
                      </c:pt>
                      <c:pt idx="5">
                        <c:v>-1.9696352120274254</c:v>
                      </c:pt>
                      <c:pt idx="6">
                        <c:v>-2.6478441996645663</c:v>
                      </c:pt>
                      <c:pt idx="7">
                        <c:v>-3.395439350743672</c:v>
                      </c:pt>
                      <c:pt idx="8">
                        <c:v>-4.2202519457598804</c:v>
                      </c:pt>
                      <c:pt idx="9">
                        <c:v>-5.1394290861704111</c:v>
                      </c:pt>
                      <c:pt idx="10">
                        <c:v>-6.1849335267237304</c:v>
                      </c:pt>
                      <c:pt idx="11">
                        <c:v>-7.4158301860269349</c:v>
                      </c:pt>
                      <c:pt idx="12">
                        <c:v>-8.8712707272030276</c:v>
                      </c:pt>
                      <c:pt idx="13">
                        <c:v>-10.575838548562608</c:v>
                      </c:pt>
                      <c:pt idx="14">
                        <c:v>-12.646024090743081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569-4A78-A86B-F414AC9C6ABB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  <c:min val="1.0000000000000002E-3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383506944444446"/>
          <c:y val="4.4762590056346203E-2"/>
          <c:w val="0.48524583333333332"/>
          <c:h val="0.174259548611111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'Guwa-HazCur-STGR-26-08-18'!$F$51:$F$58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'Guwa-HazCur-STGR-26-08-18'!$W$2:$W$16</c:f>
              <c:numCache>
                <c:formatCode>0.00E+00</c:formatCode>
                <c:ptCount val="15"/>
                <c:pt idx="0">
                  <c:v>0.87025353439999997</c:v>
                </c:pt>
                <c:pt idx="1">
                  <c:v>0.60301136022000001</c:v>
                </c:pt>
                <c:pt idx="2">
                  <c:v>0.38674800255500003</c:v>
                </c:pt>
                <c:pt idx="3">
                  <c:v>0.22947257592600001</c:v>
                </c:pt>
                <c:pt idx="4">
                  <c:v>0.126036906979</c:v>
                </c:pt>
                <c:pt idx="5">
                  <c:v>6.4270472890100003E-2</c:v>
                </c:pt>
                <c:pt idx="6">
                  <c:v>3.0595847544669999E-2</c:v>
                </c:pt>
                <c:pt idx="7">
                  <c:v>1.3614179005111599E-2</c:v>
                </c:pt>
                <c:pt idx="8">
                  <c:v>5.6291007640047429E-3</c:v>
                </c:pt>
                <c:pt idx="9">
                  <c:v>2.1297985791289909E-3</c:v>
                </c:pt>
                <c:pt idx="10">
                  <c:v>7.0945000403592495E-4</c:v>
                </c:pt>
                <c:pt idx="11">
                  <c:v>1.8945936299079137E-4</c:v>
                </c:pt>
                <c:pt idx="12">
                  <c:v>3.8269452044744067E-5</c:v>
                </c:pt>
                <c:pt idx="13">
                  <c:v>5.5444301128992218E-6</c:v>
                </c:pt>
                <c:pt idx="14">
                  <c:v>5.0300416662388229E-7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40-453B-B8E0-52BE986CF758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'Guwa-HazCur-STGR-26-08-18'!$C$97:$K$97</c:f>
              <c:numCache>
                <c:formatCode>General</c:formatCode>
                <c:ptCount val="9"/>
                <c:pt idx="0">
                  <c:v>5.2293892505633002E-2</c:v>
                </c:pt>
                <c:pt idx="1">
                  <c:v>9.1064584612919997E-2</c:v>
                </c:pt>
                <c:pt idx="2">
                  <c:v>0.12191817478853099</c:v>
                </c:pt>
                <c:pt idx="3">
                  <c:v>0.172158491209953</c:v>
                </c:pt>
                <c:pt idx="4">
                  <c:v>0.26363969697801198</c:v>
                </c:pt>
                <c:pt idx="5">
                  <c:v>0.305479555921292</c:v>
                </c:pt>
                <c:pt idx="6">
                  <c:v>0.426834471978288</c:v>
                </c:pt>
                <c:pt idx="7">
                  <c:v>0.57765356581347205</c:v>
                </c:pt>
                <c:pt idx="8">
                  <c:v>0.74716675566533297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40-453B-B8E0-52BE986CF75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40-453B-B8E0-52BE986CF75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i="0"/>
                  <a:t>Sa(T=1s)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9196875"/>
          <c:y val="4.4762590056346203E-2"/>
          <c:w val="0.48932638888888891"/>
          <c:h val="0.15331475694444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'Guwa-HazCur-STGR-26-08-18'!$G$51:$G$58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0.33333333333333331</c:v>
                </c:pt>
                <c:pt idx="3">
                  <c:v>0.39999999999999997</c:v>
                </c:pt>
                <c:pt idx="4">
                  <c:v>0.41666666666666663</c:v>
                </c:pt>
                <c:pt idx="5">
                  <c:v>0.5</c:v>
                </c:pt>
                <c:pt idx="6">
                  <c:v>0.62666666666666659</c:v>
                </c:pt>
                <c:pt idx="7">
                  <c:v>0.75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'Guwa-HazCur-STGR-26-08-18'!$Y$2:$Y$16</c:f>
              <c:numCache>
                <c:formatCode>0.00E+00</c:formatCode>
                <c:ptCount val="15"/>
                <c:pt idx="0">
                  <c:v>0.60994013669999991</c:v>
                </c:pt>
                <c:pt idx="1">
                  <c:v>0.40050833785499995</c:v>
                </c:pt>
                <c:pt idx="2">
                  <c:v>0.24505631934</c:v>
                </c:pt>
                <c:pt idx="3">
                  <c:v>0.13958189628500001</c:v>
                </c:pt>
                <c:pt idx="4">
                  <c:v>7.3859870949500001E-2</c:v>
                </c:pt>
                <c:pt idx="5">
                  <c:v>3.6353322648099998E-2</c:v>
                </c:pt>
                <c:pt idx="6">
                  <c:v>1.6730961601355E-2</c:v>
                </c:pt>
                <c:pt idx="7">
                  <c:v>7.1809400593832104E-3</c:v>
                </c:pt>
                <c:pt idx="8">
                  <c:v>2.8447509801611381E-3</c:v>
                </c:pt>
                <c:pt idx="9">
                  <c:v>1.0173788879770784E-3</c:v>
                </c:pt>
                <c:pt idx="10">
                  <c:v>3.0156935456440476E-4</c:v>
                </c:pt>
                <c:pt idx="11">
                  <c:v>6.2441156388274259E-5</c:v>
                </c:pt>
                <c:pt idx="12">
                  <c:v>8.8078084372817085E-6</c:v>
                </c:pt>
                <c:pt idx="13">
                  <c:v>8.3301943503001566E-7</c:v>
                </c:pt>
                <c:pt idx="14">
                  <c:v>4.7233502018912927E-8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9C-4673-89AC-F7B990677DF0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'Guwa-HazCur-STGR-26-08-18'!$C$100:$K$100</c:f>
              <c:numCache>
                <c:formatCode>General</c:formatCode>
                <c:ptCount val="9"/>
                <c:pt idx="0">
                  <c:v>3.3486886000579003E-2</c:v>
                </c:pt>
                <c:pt idx="1">
                  <c:v>5.9594458260840998E-2</c:v>
                </c:pt>
                <c:pt idx="2">
                  <c:v>8.0547131615930995E-2</c:v>
                </c:pt>
                <c:pt idx="3">
                  <c:v>0.11528852544931099</c:v>
                </c:pt>
                <c:pt idx="4">
                  <c:v>0.181452564394496</c:v>
                </c:pt>
                <c:pt idx="5">
                  <c:v>0.213195345470754</c:v>
                </c:pt>
                <c:pt idx="6">
                  <c:v>0.30794023513923302</c:v>
                </c:pt>
                <c:pt idx="7">
                  <c:v>0.43256041752329799</c:v>
                </c:pt>
                <c:pt idx="8">
                  <c:v>0.57806747652811596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9C-4673-89AC-F7B990677DF0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9C-4673-89AC-F7B990677DF0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Sa(T=1.5s)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3667812499999997"/>
          <c:y val="4.4762590056346203E-2"/>
          <c:w val="0.51184513888888894"/>
          <c:h val="0.15138628472222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'Guwa-HazCur-STGR-26-08-18'!$H$51:$H$58</c:f>
              <c:numCache>
                <c:formatCode>0.000</c:formatCode>
                <c:ptCount val="8"/>
                <c:pt idx="0">
                  <c:v>0.1875</c:v>
                </c:pt>
                <c:pt idx="1">
                  <c:v>0.22500000000000001</c:v>
                </c:pt>
                <c:pt idx="2">
                  <c:v>0.25</c:v>
                </c:pt>
                <c:pt idx="3">
                  <c:v>0.3</c:v>
                </c:pt>
                <c:pt idx="4">
                  <c:v>0.3125</c:v>
                </c:pt>
                <c:pt idx="5">
                  <c:v>0.375</c:v>
                </c:pt>
                <c:pt idx="6">
                  <c:v>0.47</c:v>
                </c:pt>
                <c:pt idx="7">
                  <c:v>0.5625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'Guwa-HazCur-STGR-26-08-18'!$Z$2:$Z$16</c:f>
              <c:numCache>
                <c:formatCode>0.00E+00</c:formatCode>
                <c:ptCount val="15"/>
                <c:pt idx="0">
                  <c:v>0.44609092575500003</c:v>
                </c:pt>
                <c:pt idx="1">
                  <c:v>0.28236270280499998</c:v>
                </c:pt>
                <c:pt idx="2">
                  <c:v>0.16701232711500003</c:v>
                </c:pt>
                <c:pt idx="3">
                  <c:v>9.1944546928499987E-2</c:v>
                </c:pt>
                <c:pt idx="4">
                  <c:v>4.707410806960001E-2</c:v>
                </c:pt>
                <c:pt idx="5">
                  <c:v>2.247805350742E-2</c:v>
                </c:pt>
                <c:pt idx="6">
                  <c:v>1.0021003458073E-2</c:v>
                </c:pt>
                <c:pt idx="7">
                  <c:v>4.1365397158539402E-3</c:v>
                </c:pt>
                <c:pt idx="8">
                  <c:v>1.5557478814335612E-3</c:v>
                </c:pt>
                <c:pt idx="9">
                  <c:v>5.0443197864007551E-4</c:v>
                </c:pt>
                <c:pt idx="10">
                  <c:v>1.2083559869265844E-4</c:v>
                </c:pt>
                <c:pt idx="11">
                  <c:v>1.95959547130938E-5</c:v>
                </c:pt>
                <c:pt idx="12">
                  <c:v>2.2010624036560982E-6</c:v>
                </c:pt>
                <c:pt idx="13">
                  <c:v>1.52858603227203E-7</c:v>
                </c:pt>
                <c:pt idx="14">
                  <c:v>6.2911131645983949E-9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B4-495D-B40E-C11F80A8CD66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'Guwa-HazCur-STGR-26-08-18'!$C$103:$K$103</c:f>
              <c:numCache>
                <c:formatCode>General</c:formatCode>
                <c:ptCount val="9"/>
                <c:pt idx="0">
                  <c:v>2.4702999504088E-2</c:v>
                </c:pt>
                <c:pt idx="1">
                  <c:v>4.4748869882656001E-2</c:v>
                </c:pt>
                <c:pt idx="2">
                  <c:v>6.1009352382924001E-2</c:v>
                </c:pt>
                <c:pt idx="3">
                  <c:v>8.7903875669160997E-2</c:v>
                </c:pt>
                <c:pt idx="4">
                  <c:v>0.137771126536268</c:v>
                </c:pt>
                <c:pt idx="5">
                  <c:v>0.161164194566945</c:v>
                </c:pt>
                <c:pt idx="6">
                  <c:v>0.230078042282644</c:v>
                </c:pt>
                <c:pt idx="7">
                  <c:v>0.31776596549538499</c:v>
                </c:pt>
                <c:pt idx="8">
                  <c:v>0.41572709488854198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5B4-495D-B40E-C11F80A8CD66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B4-495D-B40E-C11F80A8CD66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Sa(T=2s)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6637005133879927"/>
          <c:y val="4.4762590056346203E-2"/>
          <c:w val="0.4821532527059384"/>
          <c:h val="0.15290597589832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'Delhi-HazCur-STGR-2026-08-18'!$E$51:$E$58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'Delhi-HazCur-STGR-2026-08-18'!$C$2:$C$16</c:f>
              <c:numCache>
                <c:formatCode>0.00E+00</c:formatCode>
                <c:ptCount val="15"/>
                <c:pt idx="0">
                  <c:v>0.62895619882499998</c:v>
                </c:pt>
                <c:pt idx="1">
                  <c:v>0.39151487600000001</c:v>
                </c:pt>
                <c:pt idx="2">
                  <c:v>0.23031760242500002</c:v>
                </c:pt>
                <c:pt idx="3">
                  <c:v>0.13021499759374999</c:v>
                </c:pt>
                <c:pt idx="4">
                  <c:v>7.0132479508749998E-2</c:v>
                </c:pt>
                <c:pt idx="5">
                  <c:v>3.5647570108700004E-2</c:v>
                </c:pt>
                <c:pt idx="6">
                  <c:v>1.6854862909638002E-2</c:v>
                </c:pt>
                <c:pt idx="7">
                  <c:v>7.2977983982423968E-3</c:v>
                </c:pt>
                <c:pt idx="8">
                  <c:v>2.8492364654759549E-3</c:v>
                </c:pt>
                <c:pt idx="9">
                  <c:v>9.7771603843247075E-4</c:v>
                </c:pt>
                <c:pt idx="10">
                  <c:v>2.8403969463420702E-4</c:v>
                </c:pt>
                <c:pt idx="11">
                  <c:v>6.913113741951301E-5</c:v>
                </c:pt>
                <c:pt idx="12">
                  <c:v>1.4802845531204761E-5</c:v>
                </c:pt>
                <c:pt idx="13">
                  <c:v>2.7155729759079806E-6</c:v>
                </c:pt>
                <c:pt idx="14">
                  <c:v>3.4901867549027744E-7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8-4B5C-9C21-2F880A48A918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'Delhi-HazCur-STGR-2026-08-18'!$C$77:$K$77</c:f>
              <c:numCache>
                <c:formatCode>General</c:formatCode>
                <c:ptCount val="9"/>
                <c:pt idx="0">
                  <c:v>4.0500000000000001E-2</c:v>
                </c:pt>
                <c:pt idx="1">
                  <c:v>7.2300000000000003E-2</c:v>
                </c:pt>
                <c:pt idx="2">
                  <c:v>9.6799999999999997E-2</c:v>
                </c:pt>
                <c:pt idx="3">
                  <c:v>0.1353</c:v>
                </c:pt>
                <c:pt idx="4">
                  <c:v>0.2049</c:v>
                </c:pt>
                <c:pt idx="5">
                  <c:v>0.23699999999999999</c:v>
                </c:pt>
                <c:pt idx="6">
                  <c:v>0.33300000000000002</c:v>
                </c:pt>
                <c:pt idx="7">
                  <c:v>0.46029999999999999</c:v>
                </c:pt>
                <c:pt idx="8">
                  <c:v>0.61229999999999996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8-4B5C-9C21-2F880A48A91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C8-4B5C-9C21-2F880A48A91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8737307438052777"/>
          <c:y val="4.4762590056346203E-2"/>
          <c:w val="0.36115032897912941"/>
          <c:h val="0.177652546491876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'Delhi-HazCur-STGR-2026-08-18'!$F$51:$F$58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'Delhi-HazCur-STGR-2026-08-18'!$W$2:$W$16</c:f>
              <c:numCache>
                <c:formatCode>0.00E+00</c:formatCode>
                <c:ptCount val="15"/>
                <c:pt idx="0">
                  <c:v>0.39717595425000002</c:v>
                </c:pt>
                <c:pt idx="1">
                  <c:v>0.24287415877499996</c:v>
                </c:pt>
                <c:pt idx="2">
                  <c:v>0.14023626757499999</c:v>
                </c:pt>
                <c:pt idx="3">
                  <c:v>7.6014487287500002E-2</c:v>
                </c:pt>
                <c:pt idx="4">
                  <c:v>3.8632276202499996E-2</c:v>
                </c:pt>
                <c:pt idx="5">
                  <c:v>1.82785635725E-2</c:v>
                </c:pt>
                <c:pt idx="6">
                  <c:v>8.0619317728749997E-3</c:v>
                </c:pt>
                <c:pt idx="7">
                  <c:v>3.31330107806125E-3</c:v>
                </c:pt>
                <c:pt idx="8">
                  <c:v>1.2525816520441899E-3</c:v>
                </c:pt>
                <c:pt idx="9">
                  <c:v>4.3134504448386502E-4</c:v>
                </c:pt>
                <c:pt idx="10">
                  <c:v>1.4182617764834775E-4</c:v>
                </c:pt>
                <c:pt idx="11">
                  <c:v>4.4271433996280052E-5</c:v>
                </c:pt>
                <c:pt idx="12">
                  <c:v>1.2964556750221853E-5</c:v>
                </c:pt>
                <c:pt idx="13">
                  <c:v>3.4083496804242651E-6</c:v>
                </c:pt>
                <c:pt idx="14">
                  <c:v>7.1317965361588708E-7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12-4CF3-B0E7-D338990274F4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'Delhi-HazCur-STGR-2026-08-18'!$C$82:$K$82</c:f>
              <c:numCache>
                <c:formatCode>0.00000</c:formatCode>
                <c:ptCount val="9"/>
                <c:pt idx="0">
                  <c:v>3.0534253552491002E-2</c:v>
                </c:pt>
                <c:pt idx="1">
                  <c:v>5.2247799204166001E-2</c:v>
                </c:pt>
                <c:pt idx="2">
                  <c:v>6.8864213966061003E-2</c:v>
                </c:pt>
                <c:pt idx="3">
                  <c:v>9.4689758228719001E-2</c:v>
                </c:pt>
                <c:pt idx="4">
                  <c:v>0.14097016526665701</c:v>
                </c:pt>
                <c:pt idx="5">
                  <c:v>0.162832985239144</c:v>
                </c:pt>
                <c:pt idx="6">
                  <c:v>0.23135077772705301</c:v>
                </c:pt>
                <c:pt idx="7">
                  <c:v>0.332024386493319</c:v>
                </c:pt>
                <c:pt idx="8">
                  <c:v>0.47259360336538903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12-4CF3-B0E7-D338990274F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12-4CF3-B0E7-D338990274F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4197234689344054"/>
          <c:y val="4.4762590056346203E-2"/>
          <c:w val="0.40655097183969247"/>
          <c:h val="0.20298242881244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'Delhi-HazCur-STGR-2026-08-18'!$G$51:$G$58</c:f>
              <c:numCache>
                <c:formatCode>0.000</c:formatCode>
                <c:ptCount val="8"/>
                <c:pt idx="0">
                  <c:v>0.11666666666666665</c:v>
                </c:pt>
                <c:pt idx="1">
                  <c:v>0.13999999999999999</c:v>
                </c:pt>
                <c:pt idx="2">
                  <c:v>0.15533333333333332</c:v>
                </c:pt>
                <c:pt idx="3">
                  <c:v>0.18666666666666668</c:v>
                </c:pt>
                <c:pt idx="4">
                  <c:v>0.19446666666666668</c:v>
                </c:pt>
                <c:pt idx="5">
                  <c:v>0.23333333333333331</c:v>
                </c:pt>
                <c:pt idx="6">
                  <c:v>0.29333333333333333</c:v>
                </c:pt>
                <c:pt idx="7">
                  <c:v>0.35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'Delhi-HazCur-STGR-2026-08-18'!$Y$2:$Y$16</c:f>
              <c:numCache>
                <c:formatCode>0.00E+00</c:formatCode>
                <c:ptCount val="15"/>
                <c:pt idx="0">
                  <c:v>0.25698516582499997</c:v>
                </c:pt>
                <c:pt idx="1">
                  <c:v>0.15482876925</c:v>
                </c:pt>
                <c:pt idx="2">
                  <c:v>8.7239708249999992E-2</c:v>
                </c:pt>
                <c:pt idx="3">
                  <c:v>4.6137476262499991E-2</c:v>
                </c:pt>
                <c:pt idx="4">
                  <c:v>2.25534720625E-2</c:v>
                </c:pt>
                <c:pt idx="5">
                  <c:v>1.0184102786500001E-2</c:v>
                </c:pt>
                <c:pt idx="6">
                  <c:v>4.2746145784500001E-3</c:v>
                </c:pt>
                <c:pt idx="7">
                  <c:v>1.6561986391708753E-3</c:v>
                </c:pt>
                <c:pt idx="8">
                  <c:v>5.766760730457817E-4</c:v>
                </c:pt>
                <c:pt idx="9">
                  <c:v>1.8594749393349935E-4</c:v>
                </c:pt>
                <c:pt idx="10">
                  <c:v>5.6886110641691905E-5</c:v>
                </c:pt>
                <c:pt idx="11">
                  <c:v>1.5724124954888403E-5</c:v>
                </c:pt>
                <c:pt idx="12">
                  <c:v>3.766594059597147E-6</c:v>
                </c:pt>
                <c:pt idx="13">
                  <c:v>7.2439296048416243E-7</c:v>
                </c:pt>
                <c:pt idx="14">
                  <c:v>1.000876857173599E-7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D-41F7-A175-07B477FE0E24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'Delhi-HazCur-STGR-2026-08-18'!$C$85:$K$85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7D-41F7-A175-07B477FE0E2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7D-41F7-A175-07B477FE0E2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Sa(T=1.5s)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'Delhi-HazCur-STGR-2026-08-18'!$H$51:$H$58</c:f>
              <c:numCache>
                <c:formatCode>0.000</c:formatCode>
                <c:ptCount val="8"/>
                <c:pt idx="0">
                  <c:v>8.7499999999999994E-2</c:v>
                </c:pt>
                <c:pt idx="1">
                  <c:v>0.105</c:v>
                </c:pt>
                <c:pt idx="2">
                  <c:v>0.11650000000000001</c:v>
                </c:pt>
                <c:pt idx="3">
                  <c:v>0.14000000000000001</c:v>
                </c:pt>
                <c:pt idx="4">
                  <c:v>0.14585000000000001</c:v>
                </c:pt>
                <c:pt idx="5">
                  <c:v>0.17499999999999999</c:v>
                </c:pt>
                <c:pt idx="6">
                  <c:v>0.22</c:v>
                </c:pt>
                <c:pt idx="7">
                  <c:v>0.26250000000000001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'Delhi-HazCur-STGR-2026-08-18'!$Z$2:$Z$16</c:f>
              <c:numCache>
                <c:formatCode>0.00E+00</c:formatCode>
                <c:ptCount val="15"/>
                <c:pt idx="0">
                  <c:v>0.17950517729999999</c:v>
                </c:pt>
                <c:pt idx="1">
                  <c:v>0.1055033229</c:v>
                </c:pt>
                <c:pt idx="2">
                  <c:v>5.8185217687499999E-2</c:v>
                </c:pt>
                <c:pt idx="3">
                  <c:v>2.9688888518749998E-2</c:v>
                </c:pt>
                <c:pt idx="4">
                  <c:v>1.4084682751250001E-2</c:v>
                </c:pt>
                <c:pt idx="5">
                  <c:v>6.1822878828750004E-3</c:v>
                </c:pt>
                <c:pt idx="6">
                  <c:v>2.5090692463775005E-3</c:v>
                </c:pt>
                <c:pt idx="7">
                  <c:v>9.3817358328850001E-4</c:v>
                </c:pt>
                <c:pt idx="8">
                  <c:v>3.191845237099301E-4</c:v>
                </c:pt>
                <c:pt idx="9">
                  <c:v>1.0758000707867391E-4</c:v>
                </c:pt>
                <c:pt idx="10">
                  <c:v>3.5484510523874228E-5</c:v>
                </c:pt>
                <c:pt idx="11">
                  <c:v>1.1092141272831569E-5</c:v>
                </c:pt>
                <c:pt idx="12">
                  <c:v>3.100141620092515E-6</c:v>
                </c:pt>
                <c:pt idx="13">
                  <c:v>6.9553201199566131E-7</c:v>
                </c:pt>
                <c:pt idx="14">
                  <c:v>1.1267250358923437E-7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6-40B1-89DA-930D37415274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'Delhi-HazCur-STGR-2026-08-18'!$C$88:$K$88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D6-40B1-89DA-930D3741527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D6-40B1-89DA-930D3741527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Sa(T=2s)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1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6C3C07-F93F-9F51-FDD5-3CF25350C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B8AC6E-3D40-786B-9734-82A31A53D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299357</xdr:colOff>
      <xdr:row>0</xdr:row>
      <xdr:rowOff>163288</xdr:rowOff>
    </xdr:from>
    <xdr:to>
      <xdr:col>18</xdr:col>
      <xdr:colOff>834118</xdr:colOff>
      <xdr:row>16</xdr:row>
      <xdr:rowOff>68038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55AD66A4-6C6C-40EB-B5E1-25D8F60F3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44823</xdr:colOff>
      <xdr:row>69</xdr:row>
      <xdr:rowOff>140633</xdr:rowOff>
    </xdr:from>
    <xdr:to>
      <xdr:col>7</xdr:col>
      <xdr:colOff>583274</xdr:colOff>
      <xdr:row>83</xdr:row>
      <xdr:rowOff>64795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23" y="12161183"/>
          <a:ext cx="6377197" cy="2591162"/>
        </a:xfrm>
        <a:prstGeom prst="rect">
          <a:avLst/>
        </a:prstGeom>
      </xdr:spPr>
    </xdr:pic>
    <xdr:clientData/>
  </xdr:twoCellAnchor>
  <xdr:twoCellAnchor>
    <xdr:from>
      <xdr:col>11</xdr:col>
      <xdr:colOff>560293</xdr:colOff>
      <xdr:row>47</xdr:row>
      <xdr:rowOff>56030</xdr:rowOff>
    </xdr:from>
    <xdr:to>
      <xdr:col>18</xdr:col>
      <xdr:colOff>605293</xdr:colOff>
      <xdr:row>77</xdr:row>
      <xdr:rowOff>73815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11204</xdr:colOff>
      <xdr:row>47</xdr:row>
      <xdr:rowOff>56030</xdr:rowOff>
    </xdr:from>
    <xdr:to>
      <xdr:col>26</xdr:col>
      <xdr:colOff>56204</xdr:colOff>
      <xdr:row>77</xdr:row>
      <xdr:rowOff>73815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560293</xdr:colOff>
      <xdr:row>81</xdr:row>
      <xdr:rowOff>44824</xdr:rowOff>
    </xdr:from>
    <xdr:to>
      <xdr:col>18</xdr:col>
      <xdr:colOff>605293</xdr:colOff>
      <xdr:row>109</xdr:row>
      <xdr:rowOff>76217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816427</xdr:colOff>
      <xdr:row>81</xdr:row>
      <xdr:rowOff>0</xdr:rowOff>
    </xdr:from>
    <xdr:to>
      <xdr:col>26</xdr:col>
      <xdr:colOff>44999</xdr:colOff>
      <xdr:row>109</xdr:row>
      <xdr:rowOff>31393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0.37756</cdr:x>
      <cdr:y>0.72496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1"/>
          <a:ext cx="808183" cy="31394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0.38784</cdr:x>
      <cdr:y>0.73205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7415" cy="35476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0.38937</cdr:x>
      <cdr:y>0.73163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76218" cy="3523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0.38743</cdr:x>
      <cdr:y>0.72997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5013" cy="3427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44823</xdr:colOff>
      <xdr:row>90</xdr:row>
      <xdr:rowOff>185458</xdr:rowOff>
    </xdr:from>
    <xdr:to>
      <xdr:col>5</xdr:col>
      <xdr:colOff>797218</xdr:colOff>
      <xdr:row>101</xdr:row>
      <xdr:rowOff>149174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23" y="16557252"/>
          <a:ext cx="5087471" cy="2059216"/>
        </a:xfrm>
        <a:prstGeom prst="rect">
          <a:avLst/>
        </a:prstGeom>
      </xdr:spPr>
    </xdr:pic>
    <xdr:clientData/>
  </xdr:twoCellAnchor>
  <xdr:twoCellAnchor>
    <xdr:from>
      <xdr:col>11</xdr:col>
      <xdr:colOff>800422</xdr:colOff>
      <xdr:row>48</xdr:row>
      <xdr:rowOff>140873</xdr:rowOff>
    </xdr:from>
    <xdr:to>
      <xdr:col>18</xdr:col>
      <xdr:colOff>319779</xdr:colOff>
      <xdr:row>76</xdr:row>
      <xdr:rowOff>84409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918882</xdr:colOff>
      <xdr:row>48</xdr:row>
      <xdr:rowOff>113658</xdr:rowOff>
    </xdr:from>
    <xdr:to>
      <xdr:col>25</xdr:col>
      <xdr:colOff>438240</xdr:colOff>
      <xdr:row>76</xdr:row>
      <xdr:rowOff>57194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707572</xdr:colOff>
      <xdr:row>81</xdr:row>
      <xdr:rowOff>81642</xdr:rowOff>
    </xdr:from>
    <xdr:to>
      <xdr:col>18</xdr:col>
      <xdr:colOff>226929</xdr:colOff>
      <xdr:row>108</xdr:row>
      <xdr:rowOff>174856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639537</xdr:colOff>
      <xdr:row>81</xdr:row>
      <xdr:rowOff>81642</xdr:rowOff>
    </xdr:from>
    <xdr:to>
      <xdr:col>25</xdr:col>
      <xdr:colOff>158895</xdr:colOff>
      <xdr:row>108</xdr:row>
      <xdr:rowOff>174856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9"/>
  <sheetViews>
    <sheetView zoomScale="85" zoomScaleNormal="85" workbookViewId="0">
      <selection activeCell="B2" sqref="B2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95" t="s">
        <v>39</v>
      </c>
      <c r="B50" s="96" t="s">
        <v>44</v>
      </c>
      <c r="C50" s="98" t="s">
        <v>36</v>
      </c>
      <c r="D50" s="100" t="s">
        <v>41</v>
      </c>
      <c r="E50" s="101"/>
    </row>
    <row r="51" spans="1:5" x14ac:dyDescent="0.25">
      <c r="A51" s="95"/>
      <c r="B51" s="97"/>
      <c r="C51" s="99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zoomScale="85" zoomScaleNormal="85" workbookViewId="0">
      <selection activeCell="E16" sqref="E16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C16" sqref="C16"/>
    </sheetView>
  </sheetViews>
  <sheetFormatPr defaultRowHeight="15" x14ac:dyDescent="0.25"/>
  <cols>
    <col min="1" max="1" width="24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ht="23.25" x14ac:dyDescent="0.35">
      <c r="A1" s="51" t="s">
        <v>1</v>
      </c>
      <c r="B1" s="10" t="s">
        <v>46</v>
      </c>
      <c r="C1" s="10" t="s">
        <v>47</v>
      </c>
      <c r="D1" s="10" t="s">
        <v>48</v>
      </c>
      <c r="E1" s="10" t="s">
        <v>49</v>
      </c>
      <c r="F1" s="12" t="s">
        <v>50</v>
      </c>
      <c r="G1" s="10" t="s">
        <v>51</v>
      </c>
      <c r="H1" s="10" t="s">
        <v>52</v>
      </c>
      <c r="I1" s="12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>
        <v>75</v>
      </c>
      <c r="D2">
        <v>175</v>
      </c>
      <c r="E2">
        <v>275</v>
      </c>
      <c r="F2" s="13">
        <v>475</v>
      </c>
      <c r="G2">
        <v>975</v>
      </c>
      <c r="H2">
        <v>1275</v>
      </c>
      <c r="I2" s="13">
        <v>2475</v>
      </c>
      <c r="J2">
        <v>4975</v>
      </c>
      <c r="K2">
        <v>9975</v>
      </c>
    </row>
    <row r="3" spans="1:11" ht="15.75" thickBot="1" x14ac:dyDescent="0.3">
      <c r="A3" s="27" t="s">
        <v>61</v>
      </c>
      <c r="B3" s="10" t="s">
        <v>60</v>
      </c>
      <c r="C3" s="14">
        <f>1/C2</f>
        <v>1.3333333333333334E-2</v>
      </c>
      <c r="D3" s="14">
        <f t="shared" ref="D3:K3" si="0">1/D2</f>
        <v>5.7142857142857143E-3</v>
      </c>
      <c r="E3" s="14">
        <f t="shared" si="0"/>
        <v>3.6363636363636364E-3</v>
      </c>
      <c r="F3" s="15">
        <f t="shared" si="0"/>
        <v>2.1052631578947368E-3</v>
      </c>
      <c r="G3" s="14">
        <f t="shared" si="0"/>
        <v>1.0256410256410256E-3</v>
      </c>
      <c r="H3" s="14">
        <f t="shared" si="0"/>
        <v>7.8431372549019605E-4</v>
      </c>
      <c r="I3" s="15">
        <f t="shared" si="0"/>
        <v>4.0404040404040404E-4</v>
      </c>
      <c r="J3" s="14">
        <f t="shared" si="0"/>
        <v>2.0100502512562814E-4</v>
      </c>
      <c r="K3" s="14">
        <f t="shared" si="0"/>
        <v>1.0025062656641604E-4</v>
      </c>
    </row>
    <row r="4" spans="1:11" x14ac:dyDescent="0.25">
      <c r="A4" s="102" t="s">
        <v>71</v>
      </c>
      <c r="B4" s="16" t="s">
        <v>56</v>
      </c>
      <c r="C4" s="17">
        <v>2.1899999999999999E-2</v>
      </c>
      <c r="D4" s="17">
        <v>3.4599999999999999E-2</v>
      </c>
      <c r="E4" s="17">
        <v>4.36E-2</v>
      </c>
      <c r="F4" s="18">
        <v>5.6899999999999999E-2</v>
      </c>
      <c r="G4" s="17">
        <v>7.8299999999999995E-2</v>
      </c>
      <c r="H4" s="17">
        <v>8.6900000000000005E-2</v>
      </c>
      <c r="I4" s="18">
        <v>0.11119999999999999</v>
      </c>
      <c r="J4" s="17">
        <v>0.14269999999999999</v>
      </c>
      <c r="K4" s="19">
        <v>0.1822</v>
      </c>
    </row>
    <row r="5" spans="1:11" x14ac:dyDescent="0.25">
      <c r="A5" s="103"/>
      <c r="B5" s="20" t="s">
        <v>57</v>
      </c>
      <c r="C5" s="3">
        <v>4.0500000000000001E-2</v>
      </c>
      <c r="D5" s="3">
        <v>7.2300000000000003E-2</v>
      </c>
      <c r="E5" s="3">
        <v>9.6799999999999997E-2</v>
      </c>
      <c r="F5" s="21">
        <v>0.1353</v>
      </c>
      <c r="G5" s="3">
        <v>0.2049</v>
      </c>
      <c r="H5" s="3">
        <v>0.23699999999999999</v>
      </c>
      <c r="I5" s="21">
        <v>0.33300000000000002</v>
      </c>
      <c r="J5" s="3">
        <v>0.46029999999999999</v>
      </c>
      <c r="K5" s="22">
        <v>0.61229999999999996</v>
      </c>
    </row>
    <row r="6" spans="1:11" ht="15.75" thickBot="1" x14ac:dyDescent="0.3">
      <c r="A6" s="104"/>
      <c r="B6" s="23" t="s">
        <v>58</v>
      </c>
      <c r="C6" s="24">
        <v>7.6499999999999999E-2</v>
      </c>
      <c r="D6" s="24">
        <v>0.13089999999999999</v>
      </c>
      <c r="E6" s="24">
        <v>0.1736</v>
      </c>
      <c r="F6" s="25">
        <v>0.2392</v>
      </c>
      <c r="G6" s="24">
        <v>0.34949999999999998</v>
      </c>
      <c r="H6" s="24">
        <v>0.39689999999999998</v>
      </c>
      <c r="I6" s="25">
        <v>0.52990000000000004</v>
      </c>
      <c r="J6" s="24">
        <v>0.69689999999999996</v>
      </c>
      <c r="K6" s="26">
        <v>0.89090000000000003</v>
      </c>
    </row>
    <row r="8" spans="1:11" x14ac:dyDescent="0.25">
      <c r="A8" s="28" t="s">
        <v>97</v>
      </c>
      <c r="B8" s="11" t="s">
        <v>58</v>
      </c>
      <c r="C8" s="36">
        <f ca="1">EXP(_xlfn.FORECAST.LINEAR(LN(C3),OFFSET($D$17,MATCH(LN(C3),$E$17:$E$56,-1)-1, 0, 2),OFFSET($E$17,MATCH(LN(C3),$E$17:$E$56,-1)-1, 0, 2)))</f>
        <v>0.22763463979109486</v>
      </c>
      <c r="D8" s="36">
        <f t="shared" ref="D8:K8" ca="1" si="1">EXP(_xlfn.FORECAST.LINEAR(LN(D3),OFFSET($D$17,MATCH(LN(D3),$E$17:$E$56,-1)-1, 0, 2),OFFSET($E$17,MATCH(LN(D3),$E$17:$E$56,-1)-1, 0, 2)))</f>
        <v>0.37935578501434453</v>
      </c>
      <c r="E8" s="36">
        <f t="shared" ca="1" si="1"/>
        <v>0.48590559974775382</v>
      </c>
      <c r="F8" s="39">
        <f ca="1">EXP(_xlfn.FORECAST.LINEAR(LN(F3),OFFSET($D$17,MATCH(LN(F3),$E$17:$E$56,-1)-1, 0, 2),OFFSET($E$17,MATCH(LN(F3),$E$17:$E$56,-1)-1, 0, 2)))</f>
        <v>0.63441277580231126</v>
      </c>
      <c r="G8" s="36">
        <f t="shared" ca="1" si="1"/>
        <v>0.88295419373134476</v>
      </c>
      <c r="H8" s="36">
        <f t="shared" ca="1" si="1"/>
        <v>0.98118975463734481</v>
      </c>
      <c r="I8" s="39">
        <f t="shared" ca="1" si="1"/>
        <v>1.2735973315459941</v>
      </c>
      <c r="J8" s="36">
        <f t="shared" ca="1" si="1"/>
        <v>1.6432816977618794</v>
      </c>
      <c r="K8" s="36">
        <f t="shared" ca="1" si="1"/>
        <v>2.0629544233808454</v>
      </c>
    </row>
    <row r="9" spans="1:11" x14ac:dyDescent="0.25">
      <c r="A9" s="28" t="s">
        <v>68</v>
      </c>
      <c r="B9" s="11" t="s">
        <v>58</v>
      </c>
      <c r="C9" s="36">
        <v>0.3</v>
      </c>
      <c r="D9" s="36">
        <v>0.375</v>
      </c>
      <c r="E9" s="36">
        <v>0.45</v>
      </c>
      <c r="F9" s="39">
        <v>0.5</v>
      </c>
      <c r="G9" s="36">
        <v>0.6</v>
      </c>
      <c r="H9" s="36">
        <v>0.625</v>
      </c>
      <c r="I9" s="39">
        <v>0.75</v>
      </c>
      <c r="J9" s="36">
        <v>0.94</v>
      </c>
      <c r="K9" s="36">
        <v>1.125</v>
      </c>
    </row>
    <row r="10" spans="1:11" x14ac:dyDescent="0.25">
      <c r="A10" s="41" t="s">
        <v>72</v>
      </c>
      <c r="B10" s="42" t="s">
        <v>58</v>
      </c>
      <c r="C10" s="43"/>
      <c r="D10" s="43"/>
      <c r="E10" s="43"/>
      <c r="F10" s="44">
        <v>0.39</v>
      </c>
      <c r="G10" s="43"/>
      <c r="H10" s="43"/>
      <c r="I10" s="44">
        <v>0.77</v>
      </c>
      <c r="J10" s="36"/>
      <c r="K10" s="36"/>
    </row>
    <row r="11" spans="1:11" x14ac:dyDescent="0.25">
      <c r="A11" s="40" t="s">
        <v>69</v>
      </c>
      <c r="B11" s="11" t="s">
        <v>58</v>
      </c>
      <c r="E11" s="35"/>
      <c r="F11" s="38">
        <f ca="1">(F8-F6)/F6</f>
        <v>1.6522273235882579</v>
      </c>
      <c r="I11" s="38">
        <f ca="1">(I8-I6)/I6</f>
        <v>1.4034673175051784</v>
      </c>
    </row>
    <row r="12" spans="1:11" x14ac:dyDescent="0.25">
      <c r="A12" s="40" t="s">
        <v>70</v>
      </c>
      <c r="B12" s="11" t="s">
        <v>58</v>
      </c>
      <c r="F12" s="38">
        <f ca="1">(F9-F8)/F8</f>
        <v>-0.21186959173753381</v>
      </c>
      <c r="I12" s="38">
        <f ca="1">(I9-I8)/I8</f>
        <v>-0.41111685662093045</v>
      </c>
    </row>
    <row r="13" spans="1:11" ht="15.75" thickBot="1" x14ac:dyDescent="0.3">
      <c r="A13" s="40"/>
      <c r="B13" s="11"/>
      <c r="F13" s="38"/>
      <c r="I13" s="38"/>
    </row>
    <row r="14" spans="1:11" x14ac:dyDescent="0.25">
      <c r="B14" s="105" t="s">
        <v>102</v>
      </c>
      <c r="C14" s="106"/>
    </row>
    <row r="15" spans="1:11" x14ac:dyDescent="0.25">
      <c r="B15" s="30" t="s">
        <v>0</v>
      </c>
      <c r="C15" s="31" t="s">
        <v>1</v>
      </c>
      <c r="D15" s="37" t="s">
        <v>66</v>
      </c>
      <c r="E15" s="37" t="s">
        <v>67</v>
      </c>
    </row>
    <row r="16" spans="1:11" x14ac:dyDescent="0.25">
      <c r="B16" s="32" t="s">
        <v>62</v>
      </c>
      <c r="C16" s="33" t="s">
        <v>63</v>
      </c>
      <c r="D16" s="29" t="s">
        <v>64</v>
      </c>
      <c r="E16" s="29" t="s">
        <v>65</v>
      </c>
    </row>
    <row r="17" spans="2:5" x14ac:dyDescent="0.25">
      <c r="B17">
        <v>1.8500000000000001E-3</v>
      </c>
      <c r="C17">
        <v>1.1520379251650001</v>
      </c>
      <c r="D17" s="34">
        <f>LN(B17)</f>
        <v>-6.2925696398919033</v>
      </c>
      <c r="E17" s="34">
        <f>LN(C17)</f>
        <v>0.14153248288198406</v>
      </c>
    </row>
    <row r="18" spans="2:5" x14ac:dyDescent="0.25">
      <c r="B18">
        <v>3.3992640000000004E-3</v>
      </c>
      <c r="C18">
        <v>0.87567500934999998</v>
      </c>
      <c r="D18" s="34">
        <f t="shared" ref="D18:D31" si="2">LN(B18)</f>
        <v>-5.6841963413813961</v>
      </c>
      <c r="E18" s="34">
        <f t="shared" ref="E18:E31" si="3">LN(C18)</f>
        <v>-0.13276025077369941</v>
      </c>
    </row>
    <row r="19" spans="2:5" x14ac:dyDescent="0.25">
      <c r="B19">
        <v>6.2459145000000006E-3</v>
      </c>
      <c r="C19">
        <v>0.61117034339749998</v>
      </c>
      <c r="D19" s="34">
        <f t="shared" si="2"/>
        <v>-5.0758277089757486</v>
      </c>
      <c r="E19" s="34">
        <f t="shared" si="3"/>
        <v>-0.49237956423522727</v>
      </c>
    </row>
    <row r="20" spans="2:5" x14ac:dyDescent="0.25">
      <c r="B20">
        <v>1.1476456500000001E-2</v>
      </c>
      <c r="C20">
        <v>0.39142046422749999</v>
      </c>
      <c r="D20" s="34">
        <f t="shared" si="2"/>
        <v>-4.4674576029856432</v>
      </c>
      <c r="E20" s="34">
        <f t="shared" si="3"/>
        <v>-0.93797294069738213</v>
      </c>
    </row>
    <row r="21" spans="2:5" x14ac:dyDescent="0.25">
      <c r="B21">
        <v>2.1087225000000001E-2</v>
      </c>
      <c r="C21">
        <v>0.23066657242635</v>
      </c>
      <c r="D21" s="34">
        <f t="shared" si="2"/>
        <v>-3.8590878720960915</v>
      </c>
      <c r="E21" s="34">
        <f t="shared" si="3"/>
        <v>-1.4667820205889468</v>
      </c>
    </row>
    <row r="22" spans="2:5" x14ac:dyDescent="0.25">
      <c r="B22">
        <v>3.8746585E-2</v>
      </c>
      <c r="C22">
        <v>0.125529693401325</v>
      </c>
      <c r="D22" s="34">
        <f t="shared" si="2"/>
        <v>-3.2507126560986306</v>
      </c>
      <c r="E22" s="34">
        <f t="shared" si="3"/>
        <v>-2.0752129475884846</v>
      </c>
    </row>
    <row r="23" spans="2:5" x14ac:dyDescent="0.25">
      <c r="B23">
        <v>7.1194104999999994E-2</v>
      </c>
      <c r="C23">
        <v>6.3450513035280043E-2</v>
      </c>
      <c r="D23" s="34">
        <f t="shared" si="2"/>
        <v>-2.6423452589357179</v>
      </c>
      <c r="E23" s="34">
        <f t="shared" si="3"/>
        <v>-2.757494999192017</v>
      </c>
    </row>
    <row r="24" spans="2:5" x14ac:dyDescent="0.25">
      <c r="B24">
        <v>0.13081479500000001</v>
      </c>
      <c r="C24">
        <v>2.9543004566616515E-2</v>
      </c>
      <c r="D24" s="34">
        <f t="shared" si="2"/>
        <v>-2.0339727347348804</v>
      </c>
      <c r="E24" s="34">
        <f t="shared" si="3"/>
        <v>-3.5219082952496907</v>
      </c>
    </row>
    <row r="25" spans="2:5" x14ac:dyDescent="0.25">
      <c r="B25">
        <v>0.24036310000000002</v>
      </c>
      <c r="C25">
        <v>1.2331128795881175E-2</v>
      </c>
      <c r="D25" s="34">
        <f t="shared" si="2"/>
        <v>-1.4256045822788939</v>
      </c>
      <c r="E25" s="34">
        <f t="shared" si="3"/>
        <v>-4.3956284172629472</v>
      </c>
    </row>
    <row r="26" spans="2:5" x14ac:dyDescent="0.25">
      <c r="B26">
        <v>0.44165235000000003</v>
      </c>
      <c r="C26">
        <v>4.4224047132865197E-3</v>
      </c>
      <c r="D26" s="34">
        <f t="shared" si="2"/>
        <v>-0.8172322448496443</v>
      </c>
      <c r="E26" s="34">
        <f t="shared" si="3"/>
        <v>-5.4210716780558315</v>
      </c>
    </row>
    <row r="27" spans="2:5" x14ac:dyDescent="0.25">
      <c r="B27">
        <v>0.81150805000000004</v>
      </c>
      <c r="C27">
        <v>1.2711103367337292E-3</v>
      </c>
      <c r="D27" s="34">
        <f t="shared" si="2"/>
        <v>-0.20886097217527588</v>
      </c>
      <c r="E27" s="34">
        <f t="shared" si="3"/>
        <v>-6.6678644795798654</v>
      </c>
    </row>
    <row r="28" spans="2:5" x14ac:dyDescent="0.25">
      <c r="B28">
        <v>1.4910944500000001</v>
      </c>
      <c r="C28">
        <v>2.7058283031018579E-4</v>
      </c>
      <c r="D28" s="34">
        <f t="shared" si="2"/>
        <v>0.39951038052343052</v>
      </c>
      <c r="E28" s="34">
        <f t="shared" si="3"/>
        <v>-8.2149322946834236</v>
      </c>
    </row>
    <row r="29" spans="2:5" x14ac:dyDescent="0.25">
      <c r="B29">
        <v>2.7397944999999999</v>
      </c>
      <c r="C29">
        <v>4.209035456101376E-5</v>
      </c>
      <c r="D29" s="34">
        <f t="shared" si="2"/>
        <v>1.0078829175873383</v>
      </c>
      <c r="E29" s="34">
        <f t="shared" si="3"/>
        <v>-10.075691951339543</v>
      </c>
    </row>
    <row r="30" spans="2:5" x14ac:dyDescent="0.25">
      <c r="B30">
        <v>5.0341830000000005</v>
      </c>
      <c r="C30">
        <v>4.4673160399801254E-6</v>
      </c>
      <c r="D30" s="34">
        <f t="shared" si="2"/>
        <v>1.6162512488533307</v>
      </c>
      <c r="E30" s="34">
        <f t="shared" si="3"/>
        <v>-12.318722768157366</v>
      </c>
    </row>
    <row r="31" spans="2:5" x14ac:dyDescent="0.25">
      <c r="B31">
        <v>9.25</v>
      </c>
      <c r="C31">
        <v>3.0350866757161069E-7</v>
      </c>
      <c r="D31" s="34">
        <f t="shared" si="2"/>
        <v>2.224623551524334</v>
      </c>
      <c r="E31" s="34">
        <f t="shared" si="3"/>
        <v>-15.007855668134352</v>
      </c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F103"/>
  <sheetViews>
    <sheetView tabSelected="1" topLeftCell="E12" zoomScale="70" zoomScaleNormal="70" workbookViewId="0">
      <selection activeCell="AF47" sqref="AF47"/>
    </sheetView>
  </sheetViews>
  <sheetFormatPr defaultRowHeight="15" x14ac:dyDescent="0.25"/>
  <cols>
    <col min="1" max="1" width="36.140625" customWidth="1"/>
    <col min="2" max="2" width="14" customWidth="1"/>
    <col min="3" max="3" width="18.5703125" customWidth="1"/>
    <col min="4" max="4" width="15.28515625" customWidth="1"/>
    <col min="5" max="5" width="14.140625" customWidth="1"/>
    <col min="6" max="6" width="13.28515625" customWidth="1"/>
    <col min="7" max="22" width="12.28515625" customWidth="1"/>
    <col min="23" max="23" width="16.85546875" customWidth="1"/>
    <col min="24" max="24" width="12.5703125" customWidth="1"/>
    <col min="25" max="25" width="18" customWidth="1"/>
    <col min="26" max="26" width="18.140625" customWidth="1"/>
    <col min="27" max="27" width="17.140625" customWidth="1"/>
    <col min="28" max="29" width="12.28515625" customWidth="1"/>
    <col min="32" max="32" width="16.140625" customWidth="1"/>
  </cols>
  <sheetData>
    <row r="1" spans="1:29" x14ac:dyDescent="0.25">
      <c r="A1" s="82" t="s">
        <v>101</v>
      </c>
      <c r="B1" s="86" t="s">
        <v>62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73</v>
      </c>
      <c r="K1" s="50" t="s">
        <v>11</v>
      </c>
      <c r="L1" s="50" t="s">
        <v>12</v>
      </c>
      <c r="M1" s="50" t="s">
        <v>13</v>
      </c>
      <c r="N1" s="50" t="s">
        <v>14</v>
      </c>
      <c r="O1" s="50" t="s">
        <v>16</v>
      </c>
      <c r="P1" s="50" t="s">
        <v>17</v>
      </c>
      <c r="Q1" s="50" t="s">
        <v>74</v>
      </c>
      <c r="R1" s="50" t="s">
        <v>18</v>
      </c>
      <c r="S1" s="50" t="s">
        <v>75</v>
      </c>
      <c r="T1" s="50" t="s">
        <v>76</v>
      </c>
      <c r="U1" s="50" t="s">
        <v>19</v>
      </c>
      <c r="V1" s="50" t="s">
        <v>77</v>
      </c>
      <c r="W1" s="50" t="s">
        <v>78</v>
      </c>
      <c r="X1" s="50" t="s">
        <v>79</v>
      </c>
      <c r="Y1" s="50" t="s">
        <v>21</v>
      </c>
      <c r="Z1" s="50" t="s">
        <v>80</v>
      </c>
      <c r="AA1" s="50" t="s">
        <v>81</v>
      </c>
      <c r="AB1" s="50" t="s">
        <v>82</v>
      </c>
      <c r="AC1" s="50" t="s">
        <v>83</v>
      </c>
    </row>
    <row r="2" spans="1:29" x14ac:dyDescent="0.25">
      <c r="A2" s="84">
        <f>$C$19*B2</f>
        <v>1.8500000000000001E-3</v>
      </c>
      <c r="B2">
        <v>1E-3</v>
      </c>
      <c r="C2" s="14">
        <v>1.1520379251650001</v>
      </c>
      <c r="D2" s="14">
        <v>1.15944758665</v>
      </c>
      <c r="E2" s="14">
        <v>1.1664071841700001</v>
      </c>
      <c r="F2" s="14">
        <v>1.18698131277</v>
      </c>
      <c r="G2" s="14">
        <v>1.2071843649449998</v>
      </c>
      <c r="H2" s="14">
        <v>1.23325822324</v>
      </c>
      <c r="I2" s="14">
        <v>1.2672344774200002</v>
      </c>
      <c r="J2" s="14">
        <v>1.31469271109</v>
      </c>
      <c r="K2" s="14">
        <v>1.3520612277549999</v>
      </c>
      <c r="L2" s="14">
        <v>1.3737715533900001</v>
      </c>
      <c r="M2" s="14">
        <v>1.4204102681949999</v>
      </c>
      <c r="N2" s="14">
        <v>1.4298506795950001</v>
      </c>
      <c r="O2" s="14">
        <v>1.4112350416000004</v>
      </c>
      <c r="P2" s="14">
        <v>1.3587292273</v>
      </c>
      <c r="Q2" s="14">
        <v>1.284293438</v>
      </c>
      <c r="R2" s="14">
        <v>1.1930242301500003</v>
      </c>
      <c r="S2" s="14">
        <v>1.1083527585500001</v>
      </c>
      <c r="T2" s="14">
        <v>1.0648009442499999</v>
      </c>
      <c r="U2" s="14">
        <v>1.0285329437000001</v>
      </c>
      <c r="V2" s="14">
        <v>0.95487614215000005</v>
      </c>
      <c r="W2" s="14">
        <v>0.87025353439999997</v>
      </c>
      <c r="X2" s="14">
        <v>0.76625743290000004</v>
      </c>
      <c r="Y2" s="14">
        <v>0.60994013669999991</v>
      </c>
      <c r="Z2" s="14">
        <v>0.44609092575500003</v>
      </c>
      <c r="AA2" s="14">
        <v>0.35634912497999999</v>
      </c>
      <c r="AB2" s="14">
        <v>0.27150184569500002</v>
      </c>
      <c r="AC2" s="14">
        <v>0.17647603778999998</v>
      </c>
    </row>
    <row r="3" spans="1:29" x14ac:dyDescent="0.25">
      <c r="A3" s="84">
        <f t="shared" ref="A3:A16" si="0">$C$19*B3</f>
        <v>3.3992640000000004E-3</v>
      </c>
      <c r="B3">
        <v>1.8374400000000001E-3</v>
      </c>
      <c r="C3" s="14">
        <v>0.87567500934999998</v>
      </c>
      <c r="D3" s="14">
        <v>0.88527766728500001</v>
      </c>
      <c r="E3" s="14">
        <v>0.89445749423500009</v>
      </c>
      <c r="F3" s="14">
        <v>0.91864478061999999</v>
      </c>
      <c r="G3" s="14">
        <v>0.94213932462750005</v>
      </c>
      <c r="H3" s="14">
        <v>0.9670801199975001</v>
      </c>
      <c r="I3" s="14">
        <v>1.0038740289000001</v>
      </c>
      <c r="J3" s="14">
        <v>1.049624725395</v>
      </c>
      <c r="K3" s="14">
        <v>1.0886768567100003</v>
      </c>
      <c r="L3" s="14">
        <v>1.1131237058350001</v>
      </c>
      <c r="M3" s="14">
        <v>1.15125963801</v>
      </c>
      <c r="N3" s="14">
        <v>1.1528745280699999</v>
      </c>
      <c r="O3" s="14">
        <v>1.1239855946800001</v>
      </c>
      <c r="P3" s="14">
        <v>1.0642224013599999</v>
      </c>
      <c r="Q3" s="14">
        <v>0.98255864518000013</v>
      </c>
      <c r="R3" s="14">
        <v>0.89207794379999994</v>
      </c>
      <c r="S3" s="14">
        <v>0.81285701510000008</v>
      </c>
      <c r="T3" s="14">
        <v>0.77389645425000009</v>
      </c>
      <c r="U3" s="14">
        <v>0.74051830080000003</v>
      </c>
      <c r="V3" s="14">
        <v>0.67435056032999996</v>
      </c>
      <c r="W3" s="14">
        <v>0.60301136022000001</v>
      </c>
      <c r="X3" s="14">
        <v>0.51998186550499992</v>
      </c>
      <c r="Y3" s="14">
        <v>0.40050833785499995</v>
      </c>
      <c r="Z3" s="14">
        <v>0.28236270280499998</v>
      </c>
      <c r="AA3" s="14">
        <v>0.22028138289999999</v>
      </c>
      <c r="AB3" s="14">
        <v>0.16291261730000001</v>
      </c>
      <c r="AC3" s="14">
        <v>0.10344112766000001</v>
      </c>
    </row>
    <row r="4" spans="1:29" x14ac:dyDescent="0.25">
      <c r="A4" s="84">
        <f t="shared" si="0"/>
        <v>6.2459145000000006E-3</v>
      </c>
      <c r="B4">
        <v>3.37617E-3</v>
      </c>
      <c r="C4" s="14">
        <v>0.61117034339749998</v>
      </c>
      <c r="D4" s="14">
        <v>0.62108222304749994</v>
      </c>
      <c r="E4" s="14">
        <v>0.63066356565750004</v>
      </c>
      <c r="F4" s="14">
        <v>0.65459673935000007</v>
      </c>
      <c r="G4" s="14">
        <v>0.67779009860250006</v>
      </c>
      <c r="H4" s="14">
        <v>0.70079364781750009</v>
      </c>
      <c r="I4" s="14">
        <v>0.73848193633000003</v>
      </c>
      <c r="J4" s="14">
        <v>0.78209382086500012</v>
      </c>
      <c r="K4" s="14">
        <v>0.81856162246499997</v>
      </c>
      <c r="L4" s="14">
        <v>0.84183698428249998</v>
      </c>
      <c r="M4" s="14">
        <v>0.87005445030500006</v>
      </c>
      <c r="N4" s="14">
        <v>0.86509941549000013</v>
      </c>
      <c r="O4" s="14">
        <v>0.82438269222000016</v>
      </c>
      <c r="P4" s="14">
        <v>0.76096134624</v>
      </c>
      <c r="Q4" s="14">
        <v>0.68491193078000001</v>
      </c>
      <c r="R4" s="14">
        <v>0.60983457629999993</v>
      </c>
      <c r="S4" s="14">
        <v>0.54512680081500009</v>
      </c>
      <c r="T4" s="14">
        <v>0.51453142348000003</v>
      </c>
      <c r="U4" s="14">
        <v>0.48878427732000002</v>
      </c>
      <c r="V4" s="14">
        <v>0.43882039377500004</v>
      </c>
      <c r="W4" s="14">
        <v>0.38674800255500003</v>
      </c>
      <c r="X4" s="14">
        <v>0.32769262271499999</v>
      </c>
      <c r="Y4" s="14">
        <v>0.24505631934</v>
      </c>
      <c r="Z4" s="14">
        <v>0.16701232711500003</v>
      </c>
      <c r="AA4" s="14">
        <v>0.12731906916999999</v>
      </c>
      <c r="AB4" s="14">
        <v>9.1453810520000012E-2</v>
      </c>
      <c r="AC4" s="14">
        <v>5.6711899719499997E-2</v>
      </c>
    </row>
    <row r="5" spans="1:29" x14ac:dyDescent="0.25">
      <c r="A5" s="84">
        <f t="shared" si="0"/>
        <v>1.1476456500000001E-2</v>
      </c>
      <c r="B5">
        <v>6.2034899999999999E-3</v>
      </c>
      <c r="C5" s="14">
        <v>0.39142046422749999</v>
      </c>
      <c r="D5" s="14">
        <v>0.40005766240700003</v>
      </c>
      <c r="E5" s="14">
        <v>0.40847437240000001</v>
      </c>
      <c r="F5" s="14">
        <v>0.42874661726999996</v>
      </c>
      <c r="G5" s="14">
        <v>0.44851636151399998</v>
      </c>
      <c r="H5" s="14">
        <v>0.46781692400399999</v>
      </c>
      <c r="I5" s="14">
        <v>0.50176628585700001</v>
      </c>
      <c r="J5" s="14">
        <v>0.54030139065825</v>
      </c>
      <c r="K5" s="14">
        <v>0.57146067908599996</v>
      </c>
      <c r="L5" s="14">
        <v>0.59134046696749998</v>
      </c>
      <c r="M5" s="14">
        <v>0.60892232169250005</v>
      </c>
      <c r="N5" s="14">
        <v>0.59810526501600003</v>
      </c>
      <c r="O5" s="14">
        <v>0.55135347843000004</v>
      </c>
      <c r="P5" s="14">
        <v>0.49561002592500003</v>
      </c>
      <c r="Q5" s="14">
        <v>0.43663455135000001</v>
      </c>
      <c r="R5" s="14">
        <v>0.38258329328500007</v>
      </c>
      <c r="S5" s="14">
        <v>0.33643959025000003</v>
      </c>
      <c r="T5" s="14">
        <v>0.31501939899499998</v>
      </c>
      <c r="U5" s="14">
        <v>0.29752696790499999</v>
      </c>
      <c r="V5" s="14">
        <v>0.26390803828999998</v>
      </c>
      <c r="W5" s="14">
        <v>0.22947257592600001</v>
      </c>
      <c r="X5" s="14">
        <v>0.19149565476800001</v>
      </c>
      <c r="Y5" s="14">
        <v>0.13958189628500001</v>
      </c>
      <c r="Z5" s="14">
        <v>9.1944546928499987E-2</v>
      </c>
      <c r="AA5" s="14">
        <v>6.8591455156999992E-2</v>
      </c>
      <c r="AB5" s="14">
        <v>4.7943623120000001E-2</v>
      </c>
      <c r="AC5" s="14">
        <v>2.9009431868999999E-2</v>
      </c>
    </row>
    <row r="6" spans="1:29" x14ac:dyDescent="0.25">
      <c r="A6" s="84">
        <f t="shared" si="0"/>
        <v>2.1087225000000001E-2</v>
      </c>
      <c r="B6">
        <v>1.1398500000000001E-2</v>
      </c>
      <c r="C6" s="14">
        <v>0.23066657242635</v>
      </c>
      <c r="D6" s="14">
        <v>0.23727186833824998</v>
      </c>
      <c r="E6" s="14">
        <v>0.24375618571005001</v>
      </c>
      <c r="F6" s="14">
        <v>0.25890052021995003</v>
      </c>
      <c r="G6" s="14">
        <v>0.27382095158545</v>
      </c>
      <c r="H6" s="14">
        <v>0.28840335836219999</v>
      </c>
      <c r="I6" s="14">
        <v>0.31489950923370003</v>
      </c>
      <c r="J6" s="14">
        <v>0.3455333429802</v>
      </c>
      <c r="K6" s="14">
        <v>0.36951739639710002</v>
      </c>
      <c r="L6" s="14">
        <v>0.38482285147384998</v>
      </c>
      <c r="M6" s="14">
        <v>0.39366864712160005</v>
      </c>
      <c r="N6" s="14">
        <v>0.3804471470934</v>
      </c>
      <c r="O6" s="14">
        <v>0.33738192498700004</v>
      </c>
      <c r="P6" s="14">
        <v>0.29586508814349999</v>
      </c>
      <c r="Q6" s="14">
        <v>0.2562911804795</v>
      </c>
      <c r="R6" s="14">
        <v>0.22158817864050001</v>
      </c>
      <c r="S6" s="14">
        <v>0.192007418726</v>
      </c>
      <c r="T6" s="14">
        <v>0.17838151724500001</v>
      </c>
      <c r="U6" s="14">
        <v>0.1676274350045</v>
      </c>
      <c r="V6" s="14">
        <v>0.14695537271050002</v>
      </c>
      <c r="W6" s="14">
        <v>0.126036906979</v>
      </c>
      <c r="X6" s="14">
        <v>0.10369435394050001</v>
      </c>
      <c r="Y6" s="14">
        <v>7.3859870949500001E-2</v>
      </c>
      <c r="Z6" s="14">
        <v>4.707410806960001E-2</v>
      </c>
      <c r="AA6" s="14">
        <v>3.43357962275E-2</v>
      </c>
      <c r="AB6" s="14">
        <v>2.3413943549100001E-2</v>
      </c>
      <c r="AC6" s="14">
        <v>1.3782190493599997E-2</v>
      </c>
    </row>
    <row r="7" spans="1:29" x14ac:dyDescent="0.25">
      <c r="A7" s="84">
        <f t="shared" si="0"/>
        <v>3.8746585E-2</v>
      </c>
      <c r="B7">
        <v>2.09441E-2</v>
      </c>
      <c r="C7" s="14">
        <v>0.125529693401325</v>
      </c>
      <c r="D7" s="14">
        <v>0.12998557359106799</v>
      </c>
      <c r="E7" s="14">
        <v>0.13439796378452901</v>
      </c>
      <c r="F7" s="14">
        <v>0.14444708915562299</v>
      </c>
      <c r="G7" s="14">
        <v>0.154487812990799</v>
      </c>
      <c r="H7" s="14">
        <v>0.16439448592735401</v>
      </c>
      <c r="I7" s="14">
        <v>0.182471515296211</v>
      </c>
      <c r="J7" s="14">
        <v>0.20406582826025699</v>
      </c>
      <c r="K7" s="14">
        <v>0.22043519958513003</v>
      </c>
      <c r="L7" s="14">
        <v>0.23099287953706799</v>
      </c>
      <c r="M7" s="14">
        <v>0.23431021771586003</v>
      </c>
      <c r="N7" s="14">
        <v>0.22262472117496002</v>
      </c>
      <c r="O7" s="14">
        <v>0.18971698128699999</v>
      </c>
      <c r="P7" s="14">
        <v>0.16305696304649997</v>
      </c>
      <c r="Q7" s="14">
        <v>0.13950773767880001</v>
      </c>
      <c r="R7" s="14">
        <v>0.11915801276089999</v>
      </c>
      <c r="S7" s="14">
        <v>0.10176090017320001</v>
      </c>
      <c r="T7" s="14">
        <v>9.3793409478699991E-2</v>
      </c>
      <c r="U7" s="14">
        <v>8.7699532885800013E-2</v>
      </c>
      <c r="V7" s="14">
        <v>7.5975354460399991E-2</v>
      </c>
      <c r="W7" s="14">
        <v>6.4270472890100003E-2</v>
      </c>
      <c r="X7" s="14">
        <v>5.2183095906399996E-2</v>
      </c>
      <c r="Y7" s="14">
        <v>3.6353322648099998E-2</v>
      </c>
      <c r="Z7" s="14">
        <v>2.247805350742E-2</v>
      </c>
      <c r="AA7" s="14">
        <v>1.6018534038380002E-2</v>
      </c>
      <c r="AB7" s="14">
        <v>1.0693527922790002E-2</v>
      </c>
      <c r="AC7" s="14">
        <v>6.0424551452300003E-3</v>
      </c>
    </row>
    <row r="8" spans="1:29" x14ac:dyDescent="0.25">
      <c r="A8" s="84">
        <f t="shared" si="0"/>
        <v>7.1194104999999994E-2</v>
      </c>
      <c r="B8">
        <v>3.8483299999999998E-2</v>
      </c>
      <c r="C8" s="14">
        <v>6.3450513035280043E-2</v>
      </c>
      <c r="D8" s="14">
        <v>6.6162381284889091E-2</v>
      </c>
      <c r="E8" s="14">
        <v>6.8862670525355274E-2</v>
      </c>
      <c r="F8" s="14">
        <v>7.4859672499355795E-2</v>
      </c>
      <c r="G8" s="14">
        <v>8.0909005028593634E-2</v>
      </c>
      <c r="H8" s="14">
        <v>8.6925559858716084E-2</v>
      </c>
      <c r="I8" s="14">
        <v>9.7643619369218615E-2</v>
      </c>
      <c r="J8" s="14">
        <v>0.11105235016494935</v>
      </c>
      <c r="K8" s="14">
        <v>0.12083606617016093</v>
      </c>
      <c r="L8" s="14">
        <v>0.127272745380311</v>
      </c>
      <c r="M8" s="14">
        <v>0.12800186900686714</v>
      </c>
      <c r="N8" s="14">
        <v>0.1199421214242781</v>
      </c>
      <c r="O8" s="14">
        <v>9.8731642312309992E-2</v>
      </c>
      <c r="P8" s="14">
        <v>8.3599671170260015E-2</v>
      </c>
      <c r="Q8" s="14">
        <v>7.0803687262160006E-2</v>
      </c>
      <c r="R8" s="14">
        <v>5.9740151997150007E-2</v>
      </c>
      <c r="S8" s="14">
        <v>5.0276198266939999E-2</v>
      </c>
      <c r="T8" s="14">
        <v>4.5991248077640004E-2</v>
      </c>
      <c r="U8" s="14">
        <v>4.2793349657809995E-2</v>
      </c>
      <c r="V8" s="14">
        <v>3.6648738845909995E-2</v>
      </c>
      <c r="W8" s="14">
        <v>3.0595847544669999E-2</v>
      </c>
      <c r="X8" s="14">
        <v>2.4529166030312001E-2</v>
      </c>
      <c r="Y8" s="14">
        <v>1.6730961601355E-2</v>
      </c>
      <c r="Z8" s="14">
        <v>1.0021003458073E-2</v>
      </c>
      <c r="AA8" s="14">
        <v>6.9761254691320003E-3</v>
      </c>
      <c r="AB8" s="14">
        <v>4.5771411964179998E-3</v>
      </c>
      <c r="AC8" s="14">
        <v>2.3732804931153998E-3</v>
      </c>
    </row>
    <row r="9" spans="1:29" x14ac:dyDescent="0.25">
      <c r="A9" s="84">
        <f t="shared" si="0"/>
        <v>0.13081479500000001</v>
      </c>
      <c r="B9">
        <v>7.0710700000000001E-2</v>
      </c>
      <c r="C9" s="14">
        <v>2.9543004566616515E-2</v>
      </c>
      <c r="D9" s="14">
        <v>3.1064538173917744E-2</v>
      </c>
      <c r="E9" s="14">
        <v>3.2588324094340919E-2</v>
      </c>
      <c r="F9" s="14">
        <v>3.5913073867259962E-2</v>
      </c>
      <c r="G9" s="14">
        <v>3.9286775455443845E-2</v>
      </c>
      <c r="H9" s="14">
        <v>4.2655795329246113E-2</v>
      </c>
      <c r="I9" s="14">
        <v>4.8384221589950538E-2</v>
      </c>
      <c r="J9" s="14">
        <v>5.5811029839166415E-2</v>
      </c>
      <c r="K9" s="14">
        <v>6.0898471691806205E-2</v>
      </c>
      <c r="L9" s="14">
        <v>6.4345060369658064E-2</v>
      </c>
      <c r="M9" s="14">
        <v>6.436588366539156E-2</v>
      </c>
      <c r="N9" s="14">
        <v>5.9847860893614116E-2</v>
      </c>
      <c r="O9" s="14">
        <v>4.7824923052238094E-2</v>
      </c>
      <c r="P9" s="14">
        <v>3.99908644227343E-2</v>
      </c>
      <c r="Q9" s="14">
        <v>3.3525821341406997E-2</v>
      </c>
      <c r="R9" s="14">
        <v>2.7908664549455002E-2</v>
      </c>
      <c r="S9" s="14">
        <v>2.3149070165924702E-2</v>
      </c>
      <c r="T9" s="14">
        <v>2.1036881865443002E-2</v>
      </c>
      <c r="U9" s="14">
        <v>1.94831512490427E-2</v>
      </c>
      <c r="V9" s="14">
        <v>1.6506548368479798E-2</v>
      </c>
      <c r="W9" s="14">
        <v>1.3614179005111599E-2</v>
      </c>
      <c r="X9" s="14">
        <v>1.0764906212067899E-2</v>
      </c>
      <c r="Y9" s="14">
        <v>7.1809400593832104E-3</v>
      </c>
      <c r="Z9" s="14">
        <v>4.1365397158539402E-3</v>
      </c>
      <c r="AA9" s="14">
        <v>2.7958904974326199E-3</v>
      </c>
      <c r="AB9" s="14">
        <v>1.7999890250643062E-3</v>
      </c>
      <c r="AC9" s="14">
        <v>7.9439640579564497E-4</v>
      </c>
    </row>
    <row r="10" spans="1:29" x14ac:dyDescent="0.25">
      <c r="A10" s="84">
        <f t="shared" si="0"/>
        <v>0.24036310000000002</v>
      </c>
      <c r="B10">
        <v>0.12992600000000001</v>
      </c>
      <c r="C10" s="14">
        <v>1.2331128795881175E-2</v>
      </c>
      <c r="D10" s="14">
        <v>1.31021773022874E-2</v>
      </c>
      <c r="E10" s="14">
        <v>1.3881563933272476E-2</v>
      </c>
      <c r="F10" s="14">
        <v>1.5577452016957663E-2</v>
      </c>
      <c r="G10" s="14">
        <v>1.7315698421592973E-2</v>
      </c>
      <c r="H10" s="14">
        <v>1.9064807286114926E-2</v>
      </c>
      <c r="I10" s="14">
        <v>2.1925254604014031E-2</v>
      </c>
      <c r="J10" s="14">
        <v>2.571677724912716E-2</v>
      </c>
      <c r="K10" s="14">
        <v>2.8113476460624447E-2</v>
      </c>
      <c r="L10" s="14">
        <v>2.978476211928326E-2</v>
      </c>
      <c r="M10" s="14">
        <v>2.9757396967003351E-2</v>
      </c>
      <c r="N10" s="14">
        <v>2.7577647706099842E-2</v>
      </c>
      <c r="O10" s="14">
        <v>2.1453922257177134E-2</v>
      </c>
      <c r="P10" s="14">
        <v>1.7734861892490357E-2</v>
      </c>
      <c r="Q10" s="14">
        <v>1.4694941710214078E-2</v>
      </c>
      <c r="R10" s="14">
        <v>1.2048510097551639E-2</v>
      </c>
      <c r="S10" s="14">
        <v>9.8620670303235965E-3</v>
      </c>
      <c r="T10" s="14">
        <v>8.9189276350509841E-3</v>
      </c>
      <c r="U10" s="14">
        <v>8.2255269314638162E-3</v>
      </c>
      <c r="V10" s="14">
        <v>6.8977564292984211E-3</v>
      </c>
      <c r="W10" s="14">
        <v>5.6291007640047429E-3</v>
      </c>
      <c r="X10" s="14">
        <v>4.3818937812587421E-3</v>
      </c>
      <c r="Y10" s="14">
        <v>2.8447509801611381E-3</v>
      </c>
      <c r="Z10" s="14">
        <v>1.5557478814335612E-3</v>
      </c>
      <c r="AA10" s="14">
        <v>1.0068383972470368E-3</v>
      </c>
      <c r="AB10" s="14">
        <v>6.2558555976524924E-4</v>
      </c>
      <c r="AC10" s="14">
        <v>2.093252736459206E-4</v>
      </c>
    </row>
    <row r="11" spans="1:29" x14ac:dyDescent="0.25">
      <c r="A11" s="84">
        <f t="shared" si="0"/>
        <v>0.44165235000000003</v>
      </c>
      <c r="B11">
        <v>0.238731</v>
      </c>
      <c r="C11" s="14">
        <v>4.4224047132865197E-3</v>
      </c>
      <c r="D11" s="14">
        <v>4.7576173510792009E-3</v>
      </c>
      <c r="E11" s="14">
        <v>5.1015410107805477E-3</v>
      </c>
      <c r="F11" s="14">
        <v>5.8617122891692405E-3</v>
      </c>
      <c r="G11" s="14">
        <v>6.6560421067872258E-3</v>
      </c>
      <c r="H11" s="14">
        <v>7.4700067045055246E-3</v>
      </c>
      <c r="I11" s="14">
        <v>8.7929664940105644E-3</v>
      </c>
      <c r="J11" s="14">
        <v>1.0570722195437039E-2</v>
      </c>
      <c r="K11" s="14">
        <v>1.1636026922551492E-2</v>
      </c>
      <c r="L11" s="14">
        <v>1.2396389238208275E-2</v>
      </c>
      <c r="M11" s="14">
        <v>1.2449242402866687E-2</v>
      </c>
      <c r="N11" s="14">
        <v>1.1530258087303347E-2</v>
      </c>
      <c r="O11" s="14">
        <v>8.756473572983467E-3</v>
      </c>
      <c r="P11" s="14">
        <v>7.1680472623681579E-3</v>
      </c>
      <c r="Q11" s="14">
        <v>5.861034904219414E-3</v>
      </c>
      <c r="R11" s="14">
        <v>4.72189734462966E-3</v>
      </c>
      <c r="S11" s="14">
        <v>3.822280714957966E-3</v>
      </c>
      <c r="T11" s="14">
        <v>3.448436616964895E-3</v>
      </c>
      <c r="U11" s="14">
        <v>3.1695584711958881E-3</v>
      </c>
      <c r="V11" s="14">
        <v>2.6341227371230514E-3</v>
      </c>
      <c r="W11" s="14">
        <v>2.1297985791289909E-3</v>
      </c>
      <c r="X11" s="14">
        <v>1.6303489769963317E-3</v>
      </c>
      <c r="Y11" s="14">
        <v>1.0173788879770784E-3</v>
      </c>
      <c r="Z11" s="14">
        <v>5.0443197864007551E-4</v>
      </c>
      <c r="AA11" s="14">
        <v>2.9885918205939632E-4</v>
      </c>
      <c r="AB11" s="14">
        <v>1.6923637797550942E-4</v>
      </c>
      <c r="AC11" s="14">
        <v>3.4343764020138144E-5</v>
      </c>
    </row>
    <row r="12" spans="1:29" x14ac:dyDescent="0.25">
      <c r="A12" s="84">
        <f t="shared" si="0"/>
        <v>0.81150805000000004</v>
      </c>
      <c r="B12">
        <v>0.43865300000000002</v>
      </c>
      <c r="C12" s="14">
        <v>1.2711103367337292E-3</v>
      </c>
      <c r="D12" s="14">
        <v>1.3875544622937623E-3</v>
      </c>
      <c r="E12" s="14">
        <v>1.5096567413156689E-3</v>
      </c>
      <c r="F12" s="14">
        <v>1.7905327205370413E-3</v>
      </c>
      <c r="G12" s="14">
        <v>2.0930103920366169E-3</v>
      </c>
      <c r="H12" s="14">
        <v>2.4127452908496629E-3</v>
      </c>
      <c r="I12" s="14">
        <v>2.9607803321940766E-3</v>
      </c>
      <c r="J12" s="14">
        <v>3.7008195528572324E-3</v>
      </c>
      <c r="K12" s="14">
        <v>4.1539499827213987E-3</v>
      </c>
      <c r="L12" s="14">
        <v>4.4841209906131135E-3</v>
      </c>
      <c r="M12" s="14">
        <v>4.5793320627839258E-3</v>
      </c>
      <c r="N12" s="14">
        <v>4.2416169634926712E-3</v>
      </c>
      <c r="O12" s="14">
        <v>3.1507556799234377E-3</v>
      </c>
      <c r="P12" s="14">
        <v>2.5579383294583148E-3</v>
      </c>
      <c r="Q12" s="14">
        <v>2.0602384988864251E-3</v>
      </c>
      <c r="R12" s="14">
        <v>1.6228005685172248E-3</v>
      </c>
      <c r="S12" s="14">
        <v>1.3027610969147251E-3</v>
      </c>
      <c r="T12" s="14">
        <v>1.1763615484329251E-3</v>
      </c>
      <c r="U12" s="14">
        <v>1.0791445211352751E-3</v>
      </c>
      <c r="V12" s="14">
        <v>8.8904761693142501E-4</v>
      </c>
      <c r="W12" s="14">
        <v>7.0945000403592495E-4</v>
      </c>
      <c r="X12" s="14">
        <v>5.2939873639228996E-4</v>
      </c>
      <c r="Y12" s="14">
        <v>3.0156935456440476E-4</v>
      </c>
      <c r="Z12" s="14">
        <v>1.2083559869265844E-4</v>
      </c>
      <c r="AA12" s="14">
        <v>5.8949399596572507E-5</v>
      </c>
      <c r="AB12" s="14">
        <v>2.7040077406744099E-5</v>
      </c>
      <c r="AC12" s="14">
        <v>3.8067023672633939E-6</v>
      </c>
    </row>
    <row r="13" spans="1:29" x14ac:dyDescent="0.25">
      <c r="A13" s="84">
        <f t="shared" si="0"/>
        <v>1.4910944500000001</v>
      </c>
      <c r="B13">
        <v>0.80599699999999996</v>
      </c>
      <c r="C13" s="14">
        <v>2.7058283031018579E-4</v>
      </c>
      <c r="D13" s="14">
        <v>2.9907934244590773E-4</v>
      </c>
      <c r="E13" s="14">
        <v>3.2987233635685983E-4</v>
      </c>
      <c r="F13" s="14">
        <v>4.0637601391678365E-4</v>
      </c>
      <c r="G13" s="14">
        <v>4.9245373490152506E-4</v>
      </c>
      <c r="H13" s="14">
        <v>5.8756754147611047E-4</v>
      </c>
      <c r="I13" s="14">
        <v>7.6707066721047026E-4</v>
      </c>
      <c r="J13" s="14">
        <v>1.0253641140716072E-3</v>
      </c>
      <c r="K13" s="14">
        <v>1.2003924064879642E-3</v>
      </c>
      <c r="L13" s="14">
        <v>1.330982058842644E-3</v>
      </c>
      <c r="M13" s="14">
        <v>1.4108032956846096E-3</v>
      </c>
      <c r="N13" s="14">
        <v>1.299451793729724E-3</v>
      </c>
      <c r="O13" s="14">
        <v>9.4215928076251711E-4</v>
      </c>
      <c r="P13" s="14">
        <v>7.6282600716135742E-4</v>
      </c>
      <c r="Q13" s="14">
        <v>6.0165270204820564E-4</v>
      </c>
      <c r="R13" s="14">
        <v>4.5953963100488877E-4</v>
      </c>
      <c r="S13" s="14">
        <v>3.6713112689190554E-4</v>
      </c>
      <c r="T13" s="14">
        <v>3.314525320597271E-4</v>
      </c>
      <c r="U13" s="14">
        <v>3.0243489910438922E-4</v>
      </c>
      <c r="V13" s="14">
        <v>2.4430109378237416E-4</v>
      </c>
      <c r="W13" s="14">
        <v>1.8945936299079137E-4</v>
      </c>
      <c r="X13" s="14">
        <v>1.3283011277091263E-4</v>
      </c>
      <c r="Y13" s="14">
        <v>6.2441156388274259E-5</v>
      </c>
      <c r="Z13" s="14">
        <v>1.95959547130938E-5</v>
      </c>
      <c r="AA13" s="14">
        <v>7.3971833719988009E-6</v>
      </c>
      <c r="AB13" s="14">
        <v>2.6896305251897846E-6</v>
      </c>
      <c r="AC13" s="14">
        <v>4.1026160673802671E-7</v>
      </c>
    </row>
    <row r="14" spans="1:29" x14ac:dyDescent="0.25">
      <c r="A14" s="84">
        <f t="shared" si="0"/>
        <v>2.7397944999999999</v>
      </c>
      <c r="B14">
        <v>1.4809699999999999</v>
      </c>
      <c r="C14" s="14">
        <v>4.209035456101376E-5</v>
      </c>
      <c r="D14" s="14">
        <v>4.6882080915915572E-5</v>
      </c>
      <c r="E14" s="14">
        <v>5.2224292247538324E-5</v>
      </c>
      <c r="F14" s="14">
        <v>6.6934035687062158E-5</v>
      </c>
      <c r="G14" s="14">
        <v>8.4245787377757846E-5</v>
      </c>
      <c r="H14" s="14">
        <v>1.0424860117703065E-4</v>
      </c>
      <c r="I14" s="14">
        <v>1.4406860866138016E-4</v>
      </c>
      <c r="J14" s="14">
        <v>2.1432189147092462E-4</v>
      </c>
      <c r="K14" s="14">
        <v>2.6837506269306597E-4</v>
      </c>
      <c r="L14" s="14">
        <v>3.107442107335407E-4</v>
      </c>
      <c r="M14" s="14">
        <v>3.5037022721657587E-4</v>
      </c>
      <c r="N14" s="14">
        <v>3.1427724306846739E-4</v>
      </c>
      <c r="O14" s="14">
        <v>2.2149747105636551E-4</v>
      </c>
      <c r="P14" s="14">
        <v>1.8436553894435933E-4</v>
      </c>
      <c r="Q14" s="14">
        <v>1.4036410980745648E-4</v>
      </c>
      <c r="R14" s="14">
        <v>1.0399894302133892E-4</v>
      </c>
      <c r="S14" s="14">
        <v>8.2997927073619659E-5</v>
      </c>
      <c r="T14" s="14">
        <v>7.4204355513916574E-5</v>
      </c>
      <c r="U14" s="14">
        <v>6.6575667967378491E-5</v>
      </c>
      <c r="V14" s="14">
        <v>5.1420910285100395E-5</v>
      </c>
      <c r="W14" s="14">
        <v>3.8269452044744067E-5</v>
      </c>
      <c r="X14" s="14">
        <v>2.3903353736113485E-5</v>
      </c>
      <c r="Y14" s="14">
        <v>8.8078084372817085E-6</v>
      </c>
      <c r="Z14" s="14">
        <v>2.2010624036560982E-6</v>
      </c>
      <c r="AA14" s="14">
        <v>6.5561337208388541E-7</v>
      </c>
      <c r="AB14" s="14">
        <v>1.9362627668754777E-7</v>
      </c>
      <c r="AC14" s="14">
        <v>3.8843849828841249E-8</v>
      </c>
    </row>
    <row r="15" spans="1:29" x14ac:dyDescent="0.25">
      <c r="A15" s="84">
        <f t="shared" si="0"/>
        <v>5.0341830000000005</v>
      </c>
      <c r="B15">
        <v>2.7211799999999999</v>
      </c>
      <c r="C15" s="14">
        <v>4.4673160399801254E-6</v>
      </c>
      <c r="D15" s="14">
        <v>5.0161299588670201E-6</v>
      </c>
      <c r="E15" s="14">
        <v>5.6512801746441752E-6</v>
      </c>
      <c r="F15" s="14">
        <v>7.6077650947474702E-6</v>
      </c>
      <c r="G15" s="14">
        <v>1.0037196124851301E-5</v>
      </c>
      <c r="H15" s="14">
        <v>1.2992968713446587E-5</v>
      </c>
      <c r="I15" s="14">
        <v>1.9544112529261169E-5</v>
      </c>
      <c r="J15" s="14">
        <v>3.3187788341532339E-5</v>
      </c>
      <c r="K15" s="14">
        <v>4.5587150594900051E-5</v>
      </c>
      <c r="L15" s="14">
        <v>5.619942960403277E-5</v>
      </c>
      <c r="M15" s="14">
        <v>6.8905415876023795E-5</v>
      </c>
      <c r="N15" s="14">
        <v>5.9062643550473936E-5</v>
      </c>
      <c r="O15" s="14">
        <v>4.0488907450115995E-5</v>
      </c>
      <c r="P15" s="14">
        <v>3.5332705638205751E-5</v>
      </c>
      <c r="Q15" s="14">
        <v>2.5525348299959001E-5</v>
      </c>
      <c r="R15" s="14">
        <v>1.8196938366426249E-5</v>
      </c>
      <c r="S15" s="14">
        <v>1.416072887865071E-5</v>
      </c>
      <c r="T15" s="14">
        <v>1.2398424606525713E-5</v>
      </c>
      <c r="U15" s="14">
        <v>1.0842645624553564E-5</v>
      </c>
      <c r="V15" s="14">
        <v>7.9083182194127357E-6</v>
      </c>
      <c r="W15" s="14">
        <v>5.5444301128992218E-6</v>
      </c>
      <c r="X15" s="14">
        <v>2.9899021418472002E-6</v>
      </c>
      <c r="Y15" s="14">
        <v>8.3301943503001566E-7</v>
      </c>
      <c r="Z15" s="14">
        <v>1.52858603227203E-7</v>
      </c>
      <c r="AA15" s="14">
        <v>3.6602156100923455E-8</v>
      </c>
      <c r="AB15" s="14">
        <v>9.187228588889841E-9</v>
      </c>
      <c r="AC15" s="14">
        <v>3.067931939794016E-9</v>
      </c>
    </row>
    <row r="16" spans="1:29" x14ac:dyDescent="0.25">
      <c r="A16" s="84">
        <f t="shared" si="0"/>
        <v>9.25</v>
      </c>
      <c r="B16">
        <v>5</v>
      </c>
      <c r="C16" s="14">
        <v>3.0350866757161069E-7</v>
      </c>
      <c r="D16" s="14">
        <v>3.4476627618729436E-7</v>
      </c>
      <c r="E16" s="14">
        <v>3.944805833578699E-7</v>
      </c>
      <c r="F16" s="14">
        <v>5.6254381318612799E-7</v>
      </c>
      <c r="G16" s="14">
        <v>7.8431049750238457E-7</v>
      </c>
      <c r="H16" s="14">
        <v>1.0703683469123901E-6</v>
      </c>
      <c r="I16" s="14">
        <v>1.7745057317394651E-6</v>
      </c>
      <c r="J16" s="14">
        <v>3.4851220107591998E-6</v>
      </c>
      <c r="K16" s="14">
        <v>5.3619978150059511E-6</v>
      </c>
      <c r="L16" s="14">
        <v>7.1703749286430493E-6</v>
      </c>
      <c r="M16" s="14">
        <v>9.704202436362199E-6</v>
      </c>
      <c r="N16" s="14">
        <v>7.8781381315572329E-6</v>
      </c>
      <c r="O16" s="14">
        <v>5.2080373196755142E-6</v>
      </c>
      <c r="P16" s="14">
        <v>4.7797939792886195E-6</v>
      </c>
      <c r="Q16" s="14">
        <v>3.2203384644681954E-6</v>
      </c>
      <c r="R16" s="14">
        <v>2.1583307601271773E-6</v>
      </c>
      <c r="S16" s="14">
        <v>1.5893729025977157E-6</v>
      </c>
      <c r="T16" s="14">
        <v>1.3476542770577082E-6</v>
      </c>
      <c r="U16" s="14">
        <v>1.1399057655984406E-6</v>
      </c>
      <c r="V16" s="14">
        <v>7.7645246029628177E-7</v>
      </c>
      <c r="W16" s="14">
        <v>5.0300416662388229E-7</v>
      </c>
      <c r="X16" s="14">
        <v>2.2990863929521537E-7</v>
      </c>
      <c r="Y16" s="14">
        <v>4.7233502018912927E-8</v>
      </c>
      <c r="Z16" s="14">
        <v>6.2911131645983949E-9</v>
      </c>
      <c r="AA16" s="14">
        <v>1.3297567105226485E-9</v>
      </c>
      <c r="AB16" s="14">
        <v>3.2871649071285201E-10</v>
      </c>
      <c r="AC16" s="14">
        <v>1.9286170908100002E-10</v>
      </c>
    </row>
    <row r="19" spans="1:29" x14ac:dyDescent="0.25">
      <c r="B19" s="45" t="s">
        <v>85</v>
      </c>
      <c r="C19" s="45">
        <v>1.85</v>
      </c>
    </row>
    <row r="20" spans="1:29" x14ac:dyDescent="0.25">
      <c r="B20" s="46" t="s">
        <v>86</v>
      </c>
      <c r="C20" s="46"/>
    </row>
    <row r="21" spans="1:29" s="88" customFormat="1" ht="45" customHeight="1" x14ac:dyDescent="0.25">
      <c r="A21" s="87" t="s">
        <v>100</v>
      </c>
      <c r="B21" s="86" t="s">
        <v>62</v>
      </c>
      <c r="C21" s="91" t="str">
        <f>"ln(λ_im("&amp;C1&amp;"))"</f>
        <v>ln(λ_im(T=0.01s))</v>
      </c>
      <c r="D21" s="91" t="str">
        <f t="shared" ref="D21:AC21" si="1">"ln(λ_im("&amp;D1&amp;"))"</f>
        <v>ln(λ_im(T=0.015s))</v>
      </c>
      <c r="E21" s="91" t="str">
        <f t="shared" si="1"/>
        <v>ln(λ_im(T=0.02s))</v>
      </c>
      <c r="F21" s="91" t="str">
        <f t="shared" si="1"/>
        <v>ln(λ_im(T=0.03s))</v>
      </c>
      <c r="G21" s="91" t="str">
        <f t="shared" si="1"/>
        <v>ln(λ_im(T=0.04s))</v>
      </c>
      <c r="H21" s="91" t="str">
        <f t="shared" si="1"/>
        <v>ln(λ_im(T=0.05s))</v>
      </c>
      <c r="I21" s="91" t="str">
        <f t="shared" si="1"/>
        <v>ln(λ_im(T=0.06s))</v>
      </c>
      <c r="J21" s="91" t="str">
        <f t="shared" si="1"/>
        <v>ln(λ_im(T=0.075s))</v>
      </c>
      <c r="K21" s="91" t="str">
        <f t="shared" si="1"/>
        <v>ln(λ_im(T=0.09s))</v>
      </c>
      <c r="L21" s="91" t="str">
        <f t="shared" si="1"/>
        <v>ln(λ_im(T=0.1s))</v>
      </c>
      <c r="M21" s="91" t="str">
        <f t="shared" si="1"/>
        <v>ln(λ_im(T=0.15s))</v>
      </c>
      <c r="N21" s="91" t="str">
        <f t="shared" si="1"/>
        <v>ln(λ_im(T=0.2s))</v>
      </c>
      <c r="O21" s="91" t="str">
        <f t="shared" si="1"/>
        <v>ln(λ_im(T=0.3s))</v>
      </c>
      <c r="P21" s="91" t="str">
        <f t="shared" si="1"/>
        <v>ln(λ_im(T=0.4s))</v>
      </c>
      <c r="Q21" s="91" t="str">
        <f t="shared" si="1"/>
        <v>ln(λ_im(T=0.5s))</v>
      </c>
      <c r="R21" s="91" t="str">
        <f t="shared" si="1"/>
        <v>ln(λ_im(T=0.6s))</v>
      </c>
      <c r="S21" s="91" t="str">
        <f t="shared" si="1"/>
        <v>ln(λ_im(T=0.7s))</v>
      </c>
      <c r="T21" s="91" t="str">
        <f t="shared" si="1"/>
        <v>ln(λ_im(T=0.75s))</v>
      </c>
      <c r="U21" s="91" t="str">
        <f t="shared" si="1"/>
        <v>ln(λ_im(T=0.8s))</v>
      </c>
      <c r="V21" s="91" t="str">
        <f t="shared" si="1"/>
        <v>ln(λ_im(T=0.9s))</v>
      </c>
      <c r="W21" s="91" t="str">
        <f t="shared" si="1"/>
        <v>ln(λ_im(T=1s))</v>
      </c>
      <c r="X21" s="91" t="str">
        <f t="shared" si="1"/>
        <v>ln(λ_im(T=1.2s))</v>
      </c>
      <c r="Y21" s="91" t="str">
        <f t="shared" si="1"/>
        <v>ln(λ_im(T=1.5s))</v>
      </c>
      <c r="Z21" s="91" t="str">
        <f t="shared" si="1"/>
        <v>ln(λ_im(T=2s))</v>
      </c>
      <c r="AA21" s="91" t="str">
        <f t="shared" si="1"/>
        <v>ln(λ_im(T=2.5s))</v>
      </c>
      <c r="AB21" s="91" t="str">
        <f t="shared" si="1"/>
        <v>ln(λ_im(T=3s))</v>
      </c>
      <c r="AC21" s="91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81">
        <f>LN(C2)</f>
        <v>0.14153248288198406</v>
      </c>
      <c r="D22" s="81">
        <f t="shared" ref="D22:AC22" si="2">LN(D2)</f>
        <v>0.14794367328510374</v>
      </c>
      <c r="E22" s="81">
        <f t="shared" si="2"/>
        <v>0.15392824152112117</v>
      </c>
      <c r="F22" s="81">
        <f t="shared" si="2"/>
        <v>0.17141337226013387</v>
      </c>
      <c r="G22" s="81">
        <f t="shared" si="2"/>
        <v>0.18829067688415135</v>
      </c>
      <c r="H22" s="81">
        <f t="shared" si="2"/>
        <v>0.20965962905190849</v>
      </c>
      <c r="I22" s="81">
        <f t="shared" si="2"/>
        <v>0.23683694926788029</v>
      </c>
      <c r="J22" s="81">
        <f t="shared" si="2"/>
        <v>0.2736029585428863</v>
      </c>
      <c r="K22" s="81">
        <f t="shared" si="2"/>
        <v>0.3016302633963916</v>
      </c>
      <c r="L22" s="81">
        <f t="shared" si="2"/>
        <v>0.31755991606848488</v>
      </c>
      <c r="M22" s="81">
        <f t="shared" si="2"/>
        <v>0.35094575114754295</v>
      </c>
      <c r="N22" s="81">
        <f t="shared" si="2"/>
        <v>0.35757001895604612</v>
      </c>
      <c r="O22" s="81">
        <f t="shared" si="2"/>
        <v>0.34446523702786386</v>
      </c>
      <c r="P22" s="81">
        <f t="shared" si="2"/>
        <v>0.30654987124074184</v>
      </c>
      <c r="Q22" s="81">
        <f t="shared" si="2"/>
        <v>0.25020871342570428</v>
      </c>
      <c r="R22" s="81">
        <f t="shared" si="2"/>
        <v>0.17649145317775991</v>
      </c>
      <c r="S22" s="81">
        <f t="shared" si="2"/>
        <v>0.10287491179739859</v>
      </c>
      <c r="T22" s="81">
        <f t="shared" si="2"/>
        <v>6.2787874884622508E-2</v>
      </c>
      <c r="U22" s="81">
        <f t="shared" si="2"/>
        <v>2.8133460419483971E-2</v>
      </c>
      <c r="V22" s="81">
        <f t="shared" si="2"/>
        <v>-4.6173640996181313E-2</v>
      </c>
      <c r="W22" s="81">
        <f t="shared" si="2"/>
        <v>-0.13897069093715844</v>
      </c>
      <c r="X22" s="81">
        <f t="shared" si="2"/>
        <v>-0.26623709141987334</v>
      </c>
      <c r="Y22" s="81">
        <f t="shared" si="2"/>
        <v>-0.49439446318786434</v>
      </c>
      <c r="Z22" s="81">
        <f t="shared" si="2"/>
        <v>-0.80723247833478662</v>
      </c>
      <c r="AA22" s="81">
        <f t="shared" si="2"/>
        <v>-1.0318443405444981</v>
      </c>
      <c r="AB22" s="81">
        <f t="shared" si="2"/>
        <v>-1.3037863414912909</v>
      </c>
      <c r="AC22" s="81">
        <f t="shared" si="2"/>
        <v>-1.734570175054909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81">
        <f t="shared" ref="C23:R36" si="4">LN(C3)</f>
        <v>-0.13276025077369941</v>
      </c>
      <c r="D23" s="81">
        <f t="shared" si="4"/>
        <v>-0.12185393483829413</v>
      </c>
      <c r="E23" s="81">
        <f t="shared" si="4"/>
        <v>-0.11153789618422746</v>
      </c>
      <c r="F23" s="81">
        <f t="shared" si="4"/>
        <v>-8.4855759508759468E-2</v>
      </c>
      <c r="G23" s="81">
        <f t="shared" si="4"/>
        <v>-5.9602112340752168E-2</v>
      </c>
      <c r="H23" s="81">
        <f t="shared" si="4"/>
        <v>-3.3473932775435436E-2</v>
      </c>
      <c r="I23" s="81">
        <f t="shared" si="4"/>
        <v>3.8665441745085504E-3</v>
      </c>
      <c r="J23" s="81">
        <f t="shared" si="4"/>
        <v>4.8432695899548107E-2</v>
      </c>
      <c r="K23" s="81">
        <f t="shared" si="4"/>
        <v>8.4963065949646754E-2</v>
      </c>
      <c r="L23" s="81">
        <f t="shared" si="4"/>
        <v>0.10717021241990045</v>
      </c>
      <c r="M23" s="81">
        <f t="shared" si="4"/>
        <v>0.14085668033083801</v>
      </c>
      <c r="N23" s="81">
        <f t="shared" si="4"/>
        <v>0.14225841322312532</v>
      </c>
      <c r="O23" s="81">
        <f t="shared" si="4"/>
        <v>0.11688093526837584</v>
      </c>
      <c r="P23" s="81">
        <f t="shared" si="4"/>
        <v>6.2244392911600978E-2</v>
      </c>
      <c r="Q23" s="81">
        <f t="shared" si="4"/>
        <v>-1.7595247269446761E-2</v>
      </c>
      <c r="R23" s="81">
        <f t="shared" si="4"/>
        <v>-0.11420176927791581</v>
      </c>
      <c r="S23" s="81">
        <f t="shared" ref="S23:AC23" si="5">LN(S3)</f>
        <v>-0.20720005808756053</v>
      </c>
      <c r="T23" s="81">
        <f t="shared" si="5"/>
        <v>-0.25631719438051709</v>
      </c>
      <c r="U23" s="81">
        <f t="shared" si="5"/>
        <v>-0.30040493146758573</v>
      </c>
      <c r="V23" s="81">
        <f t="shared" si="5"/>
        <v>-0.39400518410095331</v>
      </c>
      <c r="W23" s="81">
        <f t="shared" si="5"/>
        <v>-0.50581924292992519</v>
      </c>
      <c r="X23" s="81">
        <f t="shared" si="5"/>
        <v>-0.65396134204362344</v>
      </c>
      <c r="Y23" s="81">
        <f t="shared" si="5"/>
        <v>-0.91502069407619535</v>
      </c>
      <c r="Z23" s="81">
        <f t="shared" si="5"/>
        <v>-1.2645628543056087</v>
      </c>
      <c r="AA23" s="81">
        <f t="shared" si="5"/>
        <v>-1.5128495366885502</v>
      </c>
      <c r="AB23" s="81">
        <f t="shared" si="5"/>
        <v>-1.8145413121071432</v>
      </c>
      <c r="AC23" s="81">
        <f t="shared" si="5"/>
        <v>-2.2687526429924967</v>
      </c>
    </row>
    <row r="24" spans="1:29" x14ac:dyDescent="0.25">
      <c r="A24">
        <f t="shared" si="3"/>
        <v>-5.0758277089757486</v>
      </c>
      <c r="B24">
        <v>3.37617E-3</v>
      </c>
      <c r="C24" s="81">
        <f t="shared" si="4"/>
        <v>-0.49237956423522727</v>
      </c>
      <c r="D24" s="81">
        <f t="shared" si="4"/>
        <v>-0.47629180155004419</v>
      </c>
      <c r="E24" s="81">
        <f t="shared" si="4"/>
        <v>-0.46098273508407411</v>
      </c>
      <c r="F24" s="81">
        <f t="shared" si="4"/>
        <v>-0.42373589806097933</v>
      </c>
      <c r="G24" s="81">
        <f t="shared" si="4"/>
        <v>-0.38891762805619279</v>
      </c>
      <c r="H24" s="81">
        <f t="shared" si="4"/>
        <v>-0.35554180358839255</v>
      </c>
      <c r="I24" s="81">
        <f t="shared" si="4"/>
        <v>-0.30315863725568803</v>
      </c>
      <c r="J24" s="81">
        <f t="shared" si="4"/>
        <v>-0.24578057010262366</v>
      </c>
      <c r="K24" s="81">
        <f t="shared" si="4"/>
        <v>-0.20020659793706957</v>
      </c>
      <c r="L24" s="81">
        <f t="shared" si="4"/>
        <v>-0.17216888884895029</v>
      </c>
      <c r="M24" s="81">
        <f t="shared" si="4"/>
        <v>-0.1391994827344932</v>
      </c>
      <c r="N24" s="81">
        <f t="shared" si="4"/>
        <v>-0.14491084745203006</v>
      </c>
      <c r="O24" s="81">
        <f t="shared" si="4"/>
        <v>-0.19312042458214262</v>
      </c>
      <c r="P24" s="81">
        <f t="shared" si="4"/>
        <v>-0.27317271578761382</v>
      </c>
      <c r="Q24" s="81">
        <f t="shared" si="4"/>
        <v>-0.37846501718989134</v>
      </c>
      <c r="R24" s="81">
        <f t="shared" si="4"/>
        <v>-0.49456754498590205</v>
      </c>
      <c r="S24" s="81">
        <f t="shared" ref="S24:AC24" si="6">LN(S4)</f>
        <v>-0.60673684933463767</v>
      </c>
      <c r="T24" s="81">
        <f t="shared" si="6"/>
        <v>-0.66449864981020457</v>
      </c>
      <c r="U24" s="81">
        <f t="shared" si="6"/>
        <v>-0.71583403751769803</v>
      </c>
      <c r="V24" s="81">
        <f t="shared" si="6"/>
        <v>-0.82366507541902512</v>
      </c>
      <c r="W24" s="81">
        <f t="shared" si="6"/>
        <v>-0.94998195423525267</v>
      </c>
      <c r="X24" s="81">
        <f t="shared" si="6"/>
        <v>-1.1156792358438654</v>
      </c>
      <c r="Y24" s="81">
        <f t="shared" si="6"/>
        <v>-1.4062672199974438</v>
      </c>
      <c r="Z24" s="81">
        <f t="shared" si="6"/>
        <v>-1.7896876542296991</v>
      </c>
      <c r="AA24" s="81">
        <f t="shared" si="6"/>
        <v>-2.0610589875437606</v>
      </c>
      <c r="AB24" s="81">
        <f t="shared" si="6"/>
        <v>-2.3919212372167307</v>
      </c>
      <c r="AC24" s="81">
        <f t="shared" si="6"/>
        <v>-2.8697712186722732</v>
      </c>
    </row>
    <row r="25" spans="1:29" x14ac:dyDescent="0.25">
      <c r="A25">
        <f t="shared" si="3"/>
        <v>-4.4674576029856432</v>
      </c>
      <c r="B25">
        <v>6.2034899999999999E-3</v>
      </c>
      <c r="C25" s="81">
        <f t="shared" si="4"/>
        <v>-0.93797294069738213</v>
      </c>
      <c r="D25" s="81">
        <f t="shared" si="4"/>
        <v>-0.91614658624613521</v>
      </c>
      <c r="E25" s="81">
        <f t="shared" si="4"/>
        <v>-0.89532610251296907</v>
      </c>
      <c r="F25" s="81">
        <f t="shared" si="4"/>
        <v>-0.84688917028238286</v>
      </c>
      <c r="G25" s="81">
        <f t="shared" si="4"/>
        <v>-0.80181011762694521</v>
      </c>
      <c r="H25" s="81">
        <f t="shared" si="4"/>
        <v>-0.75967824762412717</v>
      </c>
      <c r="I25" s="81">
        <f t="shared" si="4"/>
        <v>-0.6896208337218297</v>
      </c>
      <c r="J25" s="81">
        <f t="shared" si="4"/>
        <v>-0.61562816427229772</v>
      </c>
      <c r="K25" s="81">
        <f t="shared" si="4"/>
        <v>-0.55955960111343184</v>
      </c>
      <c r="L25" s="81">
        <f t="shared" si="4"/>
        <v>-0.5253633412105897</v>
      </c>
      <c r="M25" s="81">
        <f t="shared" si="4"/>
        <v>-0.4960645699945358</v>
      </c>
      <c r="N25" s="81">
        <f t="shared" si="4"/>
        <v>-0.51398851206784635</v>
      </c>
      <c r="O25" s="81">
        <f t="shared" si="4"/>
        <v>-0.59537915386473073</v>
      </c>
      <c r="P25" s="81">
        <f t="shared" si="4"/>
        <v>-0.70196589955888933</v>
      </c>
      <c r="Q25" s="81">
        <f t="shared" si="4"/>
        <v>-0.82865870068644543</v>
      </c>
      <c r="R25" s="81">
        <f t="shared" si="4"/>
        <v>-0.9608088891996398</v>
      </c>
      <c r="S25" s="81">
        <f t="shared" ref="S25:AC25" si="7">LN(S5)</f>
        <v>-1.0893366697878217</v>
      </c>
      <c r="T25" s="81">
        <f t="shared" si="7"/>
        <v>-1.1551210579416165</v>
      </c>
      <c r="U25" s="81">
        <f t="shared" si="7"/>
        <v>-1.2122504096846043</v>
      </c>
      <c r="V25" s="81">
        <f t="shared" si="7"/>
        <v>-1.3321545763308318</v>
      </c>
      <c r="W25" s="81">
        <f t="shared" si="7"/>
        <v>-1.4719717514974355</v>
      </c>
      <c r="X25" s="81">
        <f t="shared" si="7"/>
        <v>-1.6528901611253972</v>
      </c>
      <c r="Y25" s="81">
        <f t="shared" si="7"/>
        <v>-1.969103779835609</v>
      </c>
      <c r="Z25" s="81">
        <f t="shared" si="7"/>
        <v>-2.3865696344375484</v>
      </c>
      <c r="AA25" s="81">
        <f t="shared" si="7"/>
        <v>-2.6795873124021736</v>
      </c>
      <c r="AB25" s="81">
        <f t="shared" si="7"/>
        <v>-3.0377294766947935</v>
      </c>
      <c r="AC25" s="81">
        <f t="shared" si="7"/>
        <v>-3.5401342650116372</v>
      </c>
    </row>
    <row r="26" spans="1:29" x14ac:dyDescent="0.25">
      <c r="A26">
        <f t="shared" si="3"/>
        <v>-3.8590878720960915</v>
      </c>
      <c r="B26">
        <v>1.1398500000000001E-2</v>
      </c>
      <c r="C26" s="81">
        <f t="shared" si="4"/>
        <v>-1.4667820205889468</v>
      </c>
      <c r="D26" s="81">
        <f t="shared" si="4"/>
        <v>-1.438548671500685</v>
      </c>
      <c r="E26" s="81">
        <f t="shared" si="4"/>
        <v>-1.411586792154178</v>
      </c>
      <c r="F26" s="81">
        <f t="shared" si="4"/>
        <v>-1.3513113828796186</v>
      </c>
      <c r="G26" s="81">
        <f t="shared" si="4"/>
        <v>-1.2952808475599742</v>
      </c>
      <c r="H26" s="81">
        <f t="shared" si="4"/>
        <v>-1.2433952288326247</v>
      </c>
      <c r="I26" s="81">
        <f t="shared" si="4"/>
        <v>-1.1555017093593829</v>
      </c>
      <c r="J26" s="81">
        <f t="shared" si="4"/>
        <v>-1.0626661339758681</v>
      </c>
      <c r="K26" s="81">
        <f t="shared" si="4"/>
        <v>-0.99555745878983792</v>
      </c>
      <c r="L26" s="81">
        <f t="shared" si="4"/>
        <v>-0.95497217662677136</v>
      </c>
      <c r="M26" s="81">
        <f t="shared" si="4"/>
        <v>-0.93224572067400613</v>
      </c>
      <c r="N26" s="81">
        <f t="shared" si="4"/>
        <v>-0.96640801515654762</v>
      </c>
      <c r="O26" s="81">
        <f t="shared" si="4"/>
        <v>-1.0865396817723727</v>
      </c>
      <c r="P26" s="81">
        <f t="shared" si="4"/>
        <v>-1.2178517118578431</v>
      </c>
      <c r="Q26" s="81">
        <f t="shared" si="4"/>
        <v>-1.3614410571308295</v>
      </c>
      <c r="R26" s="81">
        <f t="shared" si="4"/>
        <v>-1.5069346710170375</v>
      </c>
      <c r="S26" s="81">
        <f t="shared" ref="S26:AC26" si="8">LN(S6)</f>
        <v>-1.6502212685029134</v>
      </c>
      <c r="T26" s="81">
        <f t="shared" si="8"/>
        <v>-1.7238306670901491</v>
      </c>
      <c r="U26" s="81">
        <f t="shared" si="8"/>
        <v>-1.7860114109861758</v>
      </c>
      <c r="V26" s="81">
        <f t="shared" si="8"/>
        <v>-1.9176263252986652</v>
      </c>
      <c r="W26" s="81">
        <f t="shared" si="8"/>
        <v>-2.0711805023894136</v>
      </c>
      <c r="X26" s="81">
        <f t="shared" si="8"/>
        <v>-2.2663076113185792</v>
      </c>
      <c r="Y26" s="81">
        <f t="shared" si="8"/>
        <v>-2.6055856167904947</v>
      </c>
      <c r="Z26" s="81">
        <f t="shared" si="8"/>
        <v>-3.0560321516263835</v>
      </c>
      <c r="AA26" s="81">
        <f t="shared" si="8"/>
        <v>-3.3715668472118741</v>
      </c>
      <c r="AB26" s="81">
        <f t="shared" si="8"/>
        <v>-3.7544235559167145</v>
      </c>
      <c r="AC26" s="81">
        <f t="shared" si="8"/>
        <v>-4.2843780642300029</v>
      </c>
    </row>
    <row r="27" spans="1:29" x14ac:dyDescent="0.25">
      <c r="A27">
        <f t="shared" si="3"/>
        <v>-3.2507126560986306</v>
      </c>
      <c r="B27">
        <v>2.09441E-2</v>
      </c>
      <c r="C27" s="81">
        <f t="shared" si="4"/>
        <v>-2.0752129475884846</v>
      </c>
      <c r="D27" s="81">
        <f t="shared" si="4"/>
        <v>-2.0403318070608445</v>
      </c>
      <c r="E27" s="81">
        <f t="shared" si="4"/>
        <v>-2.006950001420587</v>
      </c>
      <c r="F27" s="81">
        <f t="shared" si="4"/>
        <v>-1.9348420034974174</v>
      </c>
      <c r="G27" s="81">
        <f t="shared" si="4"/>
        <v>-1.867640066074006</v>
      </c>
      <c r="H27" s="81">
        <f t="shared" si="4"/>
        <v>-1.8054863375104266</v>
      </c>
      <c r="I27" s="81">
        <f t="shared" si="4"/>
        <v>-1.7011611987101372</v>
      </c>
      <c r="J27" s="81">
        <f t="shared" si="4"/>
        <v>-1.5893126496400714</v>
      </c>
      <c r="K27" s="81">
        <f t="shared" si="4"/>
        <v>-1.5121515067187759</v>
      </c>
      <c r="L27" s="81">
        <f t="shared" si="4"/>
        <v>-1.4653683934502859</v>
      </c>
      <c r="M27" s="81">
        <f t="shared" si="4"/>
        <v>-1.4511093248765323</v>
      </c>
      <c r="N27" s="81">
        <f t="shared" si="4"/>
        <v>-1.5022677898157233</v>
      </c>
      <c r="O27" s="81">
        <f t="shared" si="4"/>
        <v>-1.6622218895108978</v>
      </c>
      <c r="P27" s="81">
        <f t="shared" si="4"/>
        <v>-1.8136556726816397</v>
      </c>
      <c r="Q27" s="81">
        <f t="shared" si="4"/>
        <v>-1.9696352120274254</v>
      </c>
      <c r="R27" s="81">
        <f t="shared" si="4"/>
        <v>-2.1273048283414098</v>
      </c>
      <c r="S27" s="81">
        <f t="shared" ref="S27:AC27" si="9">LN(S7)</f>
        <v>-2.2851293333877845</v>
      </c>
      <c r="T27" s="81">
        <f t="shared" si="9"/>
        <v>-2.3666606868595164</v>
      </c>
      <c r="U27" s="81">
        <f t="shared" si="9"/>
        <v>-2.4338387058918443</v>
      </c>
      <c r="V27" s="81">
        <f t="shared" si="9"/>
        <v>-2.5773462747028324</v>
      </c>
      <c r="W27" s="81">
        <f t="shared" si="9"/>
        <v>-2.7446549617591991</v>
      </c>
      <c r="X27" s="81">
        <f t="shared" si="9"/>
        <v>-2.9529966697495689</v>
      </c>
      <c r="Y27" s="81">
        <f t="shared" si="9"/>
        <v>-3.3144696720795706</v>
      </c>
      <c r="Z27" s="81">
        <f t="shared" si="9"/>
        <v>-3.7952158454538027</v>
      </c>
      <c r="AA27" s="81">
        <f t="shared" si="9"/>
        <v>-4.1340088497450358</v>
      </c>
      <c r="AB27" s="81">
        <f t="shared" si="9"/>
        <v>-4.5381165875491094</v>
      </c>
      <c r="AC27" s="81">
        <f t="shared" si="9"/>
        <v>-5.1089448686280896</v>
      </c>
    </row>
    <row r="28" spans="1:29" x14ac:dyDescent="0.25">
      <c r="A28">
        <f t="shared" si="3"/>
        <v>-2.6423452589357179</v>
      </c>
      <c r="B28">
        <v>3.8483299999999998E-2</v>
      </c>
      <c r="C28" s="81">
        <f t="shared" si="4"/>
        <v>-2.757494999192017</v>
      </c>
      <c r="D28" s="81">
        <f t="shared" si="4"/>
        <v>-2.7156432360956684</v>
      </c>
      <c r="E28" s="81">
        <f t="shared" si="4"/>
        <v>-2.6756410398697188</v>
      </c>
      <c r="F28" s="81">
        <f t="shared" si="4"/>
        <v>-2.5921399513570509</v>
      </c>
      <c r="G28" s="81">
        <f t="shared" si="4"/>
        <v>-2.5144301504992339</v>
      </c>
      <c r="H28" s="81">
        <f t="shared" si="4"/>
        <v>-2.4427031603989611</v>
      </c>
      <c r="I28" s="81">
        <f t="shared" si="4"/>
        <v>-2.3264309656353994</v>
      </c>
      <c r="J28" s="81">
        <f t="shared" si="4"/>
        <v>-2.1977535657413738</v>
      </c>
      <c r="K28" s="81">
        <f t="shared" si="4"/>
        <v>-2.113320477030626</v>
      </c>
      <c r="L28" s="81">
        <f t="shared" si="4"/>
        <v>-2.0614228939032957</v>
      </c>
      <c r="M28" s="81">
        <f t="shared" si="4"/>
        <v>-2.0557104135529731</v>
      </c>
      <c r="N28" s="81">
        <f t="shared" si="4"/>
        <v>-2.1207459740188526</v>
      </c>
      <c r="O28" s="81">
        <f t="shared" si="4"/>
        <v>-2.3153497931174063</v>
      </c>
      <c r="P28" s="81">
        <f t="shared" si="4"/>
        <v>-2.4817156922693124</v>
      </c>
      <c r="Q28" s="81">
        <f t="shared" si="4"/>
        <v>-2.6478441996645663</v>
      </c>
      <c r="R28" s="81">
        <f t="shared" si="4"/>
        <v>-2.817750921886228</v>
      </c>
      <c r="S28" s="81">
        <f t="shared" ref="S28:AC28" si="10">LN(S8)</f>
        <v>-2.9902235093570297</v>
      </c>
      <c r="T28" s="81">
        <f t="shared" si="10"/>
        <v>-3.0793041597763553</v>
      </c>
      <c r="U28" s="81">
        <f t="shared" si="10"/>
        <v>-3.1513725702942619</v>
      </c>
      <c r="V28" s="81">
        <f t="shared" si="10"/>
        <v>-3.3063762619943371</v>
      </c>
      <c r="W28" s="81">
        <f t="shared" si="10"/>
        <v>-3.4868909803866117</v>
      </c>
      <c r="X28" s="81">
        <f t="shared" si="10"/>
        <v>-3.7078924192386431</v>
      </c>
      <c r="Y28" s="81">
        <f t="shared" si="10"/>
        <v>-4.0904942879690136</v>
      </c>
      <c r="Z28" s="81">
        <f t="shared" si="10"/>
        <v>-4.6030720428233787</v>
      </c>
      <c r="AA28" s="81">
        <f t="shared" si="10"/>
        <v>-4.9652616067097934</v>
      </c>
      <c r="AB28" s="81">
        <f t="shared" si="10"/>
        <v>-5.3866806686673829</v>
      </c>
      <c r="AC28" s="81">
        <f t="shared" si="10"/>
        <v>-6.0434821066109814</v>
      </c>
    </row>
    <row r="29" spans="1:29" x14ac:dyDescent="0.25">
      <c r="A29">
        <f t="shared" si="3"/>
        <v>-2.0339727347348804</v>
      </c>
      <c r="B29">
        <v>7.0710700000000001E-2</v>
      </c>
      <c r="C29" s="81">
        <f t="shared" si="4"/>
        <v>-3.5219082952496907</v>
      </c>
      <c r="D29" s="81">
        <f t="shared" si="4"/>
        <v>-3.4716883620209673</v>
      </c>
      <c r="E29" s="81">
        <f t="shared" si="4"/>
        <v>-3.4238012113781835</v>
      </c>
      <c r="F29" s="81">
        <f t="shared" si="4"/>
        <v>-3.3266538752078834</v>
      </c>
      <c r="G29" s="81">
        <f t="shared" si="4"/>
        <v>-3.2368673191425694</v>
      </c>
      <c r="H29" s="81">
        <f t="shared" si="4"/>
        <v>-3.1545921331676872</v>
      </c>
      <c r="I29" s="81">
        <f t="shared" si="4"/>
        <v>-3.0285815186168037</v>
      </c>
      <c r="J29" s="81">
        <f t="shared" si="4"/>
        <v>-2.8857837617599182</v>
      </c>
      <c r="K29" s="81">
        <f t="shared" si="4"/>
        <v>-2.7985471999538203</v>
      </c>
      <c r="L29" s="81">
        <f t="shared" si="4"/>
        <v>-2.7434951098186251</v>
      </c>
      <c r="M29" s="81">
        <f t="shared" si="4"/>
        <v>-2.7431715429910906</v>
      </c>
      <c r="N29" s="81">
        <f t="shared" si="4"/>
        <v>-2.815949588742797</v>
      </c>
      <c r="O29" s="81">
        <f t="shared" si="4"/>
        <v>-3.0402083726014308</v>
      </c>
      <c r="P29" s="81">
        <f t="shared" si="4"/>
        <v>-3.2191042403846812</v>
      </c>
      <c r="Q29" s="81">
        <f t="shared" si="4"/>
        <v>-3.395439350743672</v>
      </c>
      <c r="R29" s="81">
        <f t="shared" si="4"/>
        <v>-3.5788180810396262</v>
      </c>
      <c r="S29" s="81">
        <f t="shared" ref="S29:AC29" si="11">LN(S9)</f>
        <v>-3.7658006648753575</v>
      </c>
      <c r="T29" s="81">
        <f t="shared" si="11"/>
        <v>-3.8614781024070237</v>
      </c>
      <c r="U29" s="81">
        <f t="shared" si="11"/>
        <v>-3.9382052254194995</v>
      </c>
      <c r="V29" s="81">
        <f t="shared" si="11"/>
        <v>-4.1039981059910371</v>
      </c>
      <c r="W29" s="81">
        <f t="shared" si="11"/>
        <v>-4.2966434554375894</v>
      </c>
      <c r="X29" s="81">
        <f t="shared" si="11"/>
        <v>-4.5314638605058626</v>
      </c>
      <c r="Y29" s="81">
        <f t="shared" si="11"/>
        <v>-4.9363249770015623</v>
      </c>
      <c r="Z29" s="81">
        <f t="shared" si="11"/>
        <v>-5.4878956580616371</v>
      </c>
      <c r="AA29" s="81">
        <f t="shared" si="11"/>
        <v>-5.8796046193858649</v>
      </c>
      <c r="AB29" s="81">
        <f t="shared" si="11"/>
        <v>-6.3199747112851021</v>
      </c>
      <c r="AC29" s="81">
        <f t="shared" si="11"/>
        <v>-7.1379279696699749</v>
      </c>
    </row>
    <row r="30" spans="1:29" x14ac:dyDescent="0.25">
      <c r="A30">
        <f t="shared" si="3"/>
        <v>-1.4256045822788939</v>
      </c>
      <c r="B30">
        <v>0.12992600000000001</v>
      </c>
      <c r="C30" s="81">
        <f t="shared" si="4"/>
        <v>-4.3956284172629472</v>
      </c>
      <c r="D30" s="81">
        <f t="shared" si="4"/>
        <v>-4.3349768563042836</v>
      </c>
      <c r="E30" s="81">
        <f t="shared" si="4"/>
        <v>-4.2771936549430487</v>
      </c>
      <c r="F30" s="81">
        <f t="shared" si="4"/>
        <v>-4.1619307938293977</v>
      </c>
      <c r="G30" s="81">
        <f t="shared" si="4"/>
        <v>-4.0561417657244885</v>
      </c>
      <c r="H30" s="81">
        <f t="shared" si="4"/>
        <v>-3.9599111939788822</v>
      </c>
      <c r="I30" s="81">
        <f t="shared" si="4"/>
        <v>-3.8201161282935256</v>
      </c>
      <c r="J30" s="81">
        <f t="shared" si="4"/>
        <v>-3.6606116888194538</v>
      </c>
      <c r="K30" s="81">
        <f t="shared" si="4"/>
        <v>-3.5715062282625856</v>
      </c>
      <c r="L30" s="81">
        <f t="shared" si="4"/>
        <v>-3.5137583545278646</v>
      </c>
      <c r="M30" s="81">
        <f t="shared" si="4"/>
        <v>-3.5146775403493593</v>
      </c>
      <c r="N30" s="81">
        <f t="shared" si="4"/>
        <v>-3.5907497000984625</v>
      </c>
      <c r="O30" s="81">
        <f t="shared" si="4"/>
        <v>-3.8418477945117435</v>
      </c>
      <c r="P30" s="81">
        <f t="shared" si="4"/>
        <v>-4.0322229780724461</v>
      </c>
      <c r="Q30" s="81">
        <f t="shared" si="4"/>
        <v>-4.2202519457598804</v>
      </c>
      <c r="R30" s="81">
        <f t="shared" si="4"/>
        <v>-4.4188142700466537</v>
      </c>
      <c r="S30" s="81">
        <f t="shared" ref="S30:AC30" si="12">LN(S10)</f>
        <v>-4.6190594943747065</v>
      </c>
      <c r="T30" s="81">
        <f t="shared" si="12"/>
        <v>-4.7195795599030212</v>
      </c>
      <c r="U30" s="81">
        <f t="shared" si="12"/>
        <v>-4.8005129197670895</v>
      </c>
      <c r="V30" s="81">
        <f t="shared" si="12"/>
        <v>-4.9765590754274704</v>
      </c>
      <c r="W30" s="81">
        <f t="shared" si="12"/>
        <v>-5.1798055717891316</v>
      </c>
      <c r="X30" s="81">
        <f t="shared" si="12"/>
        <v>-5.4302742778884241</v>
      </c>
      <c r="Y30" s="81">
        <f t="shared" si="12"/>
        <v>-5.8622797441763277</v>
      </c>
      <c r="Z30" s="81">
        <f t="shared" si="12"/>
        <v>-6.4657988962812212</v>
      </c>
      <c r="AA30" s="81">
        <f t="shared" si="12"/>
        <v>-6.9009401575210907</v>
      </c>
      <c r="AB30" s="81">
        <f t="shared" si="12"/>
        <v>-7.3768224512162446</v>
      </c>
      <c r="AC30" s="81">
        <f t="shared" si="12"/>
        <v>-8.4716211825968557</v>
      </c>
    </row>
    <row r="31" spans="1:29" x14ac:dyDescent="0.25">
      <c r="A31">
        <f t="shared" si="3"/>
        <v>-0.8172322448496443</v>
      </c>
      <c r="B31">
        <v>0.238731</v>
      </c>
      <c r="C31" s="81">
        <f t="shared" si="4"/>
        <v>-5.4210716780558315</v>
      </c>
      <c r="D31" s="81">
        <f t="shared" si="4"/>
        <v>-5.348008292554999</v>
      </c>
      <c r="E31" s="81">
        <f t="shared" si="4"/>
        <v>-5.2782126259161091</v>
      </c>
      <c r="F31" s="81">
        <f t="shared" si="4"/>
        <v>-5.1393135185582448</v>
      </c>
      <c r="G31" s="81">
        <f t="shared" si="4"/>
        <v>-5.0122302493433315</v>
      </c>
      <c r="H31" s="81">
        <f t="shared" si="4"/>
        <v>-4.8968593823136475</v>
      </c>
      <c r="I31" s="81">
        <f t="shared" si="4"/>
        <v>-4.7338031391224353</v>
      </c>
      <c r="J31" s="81">
        <f t="shared" si="4"/>
        <v>-4.5496671564163433</v>
      </c>
      <c r="K31" s="81">
        <f t="shared" si="4"/>
        <v>-4.4536492246227857</v>
      </c>
      <c r="L31" s="81">
        <f t="shared" si="4"/>
        <v>-4.3903500392423966</v>
      </c>
      <c r="M31" s="81">
        <f t="shared" si="4"/>
        <v>-4.3860955090982952</v>
      </c>
      <c r="N31" s="81">
        <f t="shared" si="4"/>
        <v>-4.4627805609704776</v>
      </c>
      <c r="O31" s="81">
        <f t="shared" si="4"/>
        <v>-4.7379620152446353</v>
      </c>
      <c r="P31" s="81">
        <f t="shared" si="4"/>
        <v>-4.9381220098089011</v>
      </c>
      <c r="Q31" s="81">
        <f t="shared" si="4"/>
        <v>-5.1394290861704111</v>
      </c>
      <c r="R31" s="81">
        <f t="shared" si="4"/>
        <v>-5.3555445803624862</v>
      </c>
      <c r="S31" s="81">
        <f t="shared" ref="S31:AC31" si="13">LN(S11)</f>
        <v>-5.5669079887240729</v>
      </c>
      <c r="T31" s="81">
        <f t="shared" si="13"/>
        <v>-5.6698343051473286</v>
      </c>
      <c r="U31" s="81">
        <f t="shared" si="13"/>
        <v>-5.7541629843282198</v>
      </c>
      <c r="V31" s="81">
        <f t="shared" si="13"/>
        <v>-5.9392050795093638</v>
      </c>
      <c r="W31" s="81">
        <f t="shared" si="13"/>
        <v>-6.1517278675214468</v>
      </c>
      <c r="X31" s="81">
        <f t="shared" si="13"/>
        <v>-6.4189611907620439</v>
      </c>
      <c r="Y31" s="81">
        <f t="shared" si="13"/>
        <v>-6.8905256767471963</v>
      </c>
      <c r="Z31" s="81">
        <f t="shared" si="13"/>
        <v>-7.5920775565174319</v>
      </c>
      <c r="AA31" s="81">
        <f t="shared" si="13"/>
        <v>-8.115538058523553</v>
      </c>
      <c r="AB31" s="81">
        <f t="shared" si="13"/>
        <v>-8.6842141340460515</v>
      </c>
      <c r="AC31" s="81">
        <f t="shared" si="13"/>
        <v>-10.27909009813078</v>
      </c>
    </row>
    <row r="32" spans="1:29" x14ac:dyDescent="0.25">
      <c r="A32">
        <f t="shared" si="3"/>
        <v>-0.20886097217527588</v>
      </c>
      <c r="B32">
        <v>0.43865300000000002</v>
      </c>
      <c r="C32" s="81">
        <f t="shared" si="4"/>
        <v>-6.6678644795798654</v>
      </c>
      <c r="D32" s="81">
        <f t="shared" si="4"/>
        <v>-6.580212461010416</v>
      </c>
      <c r="E32" s="81">
        <f t="shared" si="4"/>
        <v>-6.4958729776292445</v>
      </c>
      <c r="F32" s="81">
        <f t="shared" si="4"/>
        <v>-6.3252420941677476</v>
      </c>
      <c r="G32" s="81">
        <f t="shared" si="4"/>
        <v>-6.1691518703912713</v>
      </c>
      <c r="H32" s="81">
        <f t="shared" si="4"/>
        <v>-6.0269900549560909</v>
      </c>
      <c r="I32" s="81">
        <f t="shared" si="4"/>
        <v>-5.8223024196480857</v>
      </c>
      <c r="J32" s="81">
        <f t="shared" si="4"/>
        <v>-5.5992009830874077</v>
      </c>
      <c r="K32" s="81">
        <f t="shared" si="4"/>
        <v>-5.4836955943514534</v>
      </c>
      <c r="L32" s="81">
        <f t="shared" si="4"/>
        <v>-5.4072127913947003</v>
      </c>
      <c r="M32" s="81">
        <f t="shared" si="4"/>
        <v>-5.3862021293115161</v>
      </c>
      <c r="N32" s="81">
        <f t="shared" si="4"/>
        <v>-5.4628107231229421</v>
      </c>
      <c r="O32" s="81">
        <f t="shared" si="4"/>
        <v>-5.7601129565272196</v>
      </c>
      <c r="P32" s="81">
        <f t="shared" si="4"/>
        <v>-5.9685536850065262</v>
      </c>
      <c r="Q32" s="81">
        <f t="shared" si="4"/>
        <v>-6.1849335267237304</v>
      </c>
      <c r="R32" s="81">
        <f t="shared" si="4"/>
        <v>-6.423601876300995</v>
      </c>
      <c r="S32" s="81">
        <f t="shared" ref="S32:AC32" si="14">LN(S12)</f>
        <v>-6.6432693461419712</v>
      </c>
      <c r="T32" s="81">
        <f t="shared" si="14"/>
        <v>-6.7453290376117874</v>
      </c>
      <c r="U32" s="81">
        <f t="shared" si="14"/>
        <v>-6.8315866617908778</v>
      </c>
      <c r="V32" s="81">
        <f t="shared" si="14"/>
        <v>-7.0253597615322221</v>
      </c>
      <c r="W32" s="81">
        <f t="shared" si="14"/>
        <v>-7.251020530322144</v>
      </c>
      <c r="X32" s="81">
        <f t="shared" si="14"/>
        <v>-7.5437686550417267</v>
      </c>
      <c r="Y32" s="81">
        <f t="shared" si="14"/>
        <v>-8.1065105365275389</v>
      </c>
      <c r="Z32" s="81">
        <f t="shared" si="14"/>
        <v>-9.0210796247120815</v>
      </c>
      <c r="AA32" s="81">
        <f t="shared" si="14"/>
        <v>-9.7388311159933636</v>
      </c>
      <c r="AB32" s="81">
        <f t="shared" si="14"/>
        <v>-10.518190444118162</v>
      </c>
      <c r="AC32" s="81">
        <f t="shared" si="14"/>
        <v>-12.478747264008026</v>
      </c>
    </row>
    <row r="33" spans="1:32" x14ac:dyDescent="0.25">
      <c r="A33">
        <f t="shared" si="3"/>
        <v>0.39951038052343052</v>
      </c>
      <c r="B33">
        <v>0.80599699999999996</v>
      </c>
      <c r="C33" s="81">
        <f t="shared" si="4"/>
        <v>-8.2149322946834236</v>
      </c>
      <c r="D33" s="81">
        <f t="shared" si="4"/>
        <v>-8.1148016604242912</v>
      </c>
      <c r="E33" s="81">
        <f t="shared" si="4"/>
        <v>-8.0168048378778654</v>
      </c>
      <c r="F33" s="81">
        <f t="shared" si="4"/>
        <v>-7.8082316843158583</v>
      </c>
      <c r="G33" s="81">
        <f t="shared" si="4"/>
        <v>-7.6161100410509448</v>
      </c>
      <c r="H33" s="81">
        <f t="shared" si="4"/>
        <v>-7.4395193543391827</v>
      </c>
      <c r="I33" s="81">
        <f t="shared" si="4"/>
        <v>-7.1729316262772995</v>
      </c>
      <c r="J33" s="81">
        <f t="shared" si="4"/>
        <v>-6.8827074962315624</v>
      </c>
      <c r="K33" s="81">
        <f t="shared" si="4"/>
        <v>-6.7251067702361604</v>
      </c>
      <c r="L33" s="81">
        <f t="shared" si="4"/>
        <v>-6.6218382191170777</v>
      </c>
      <c r="M33" s="81">
        <f t="shared" si="4"/>
        <v>-6.5635960235655473</v>
      </c>
      <c r="N33" s="81">
        <f t="shared" si="4"/>
        <v>-6.6458128005848671</v>
      </c>
      <c r="O33" s="81">
        <f t="shared" si="4"/>
        <v>-6.9673362098233529</v>
      </c>
      <c r="P33" s="81">
        <f t="shared" si="4"/>
        <v>-7.1784805904807749</v>
      </c>
      <c r="Q33" s="81">
        <f t="shared" si="4"/>
        <v>-7.4158301860269349</v>
      </c>
      <c r="R33" s="81">
        <f t="shared" si="4"/>
        <v>-7.6852853717812906</v>
      </c>
      <c r="S33" s="81">
        <f t="shared" ref="S33:AC33" si="15">LN(S13)</f>
        <v>-7.9097914797406057</v>
      </c>
      <c r="T33" s="81">
        <f t="shared" si="15"/>
        <v>-8.0120259499645918</v>
      </c>
      <c r="U33" s="81">
        <f t="shared" si="15"/>
        <v>-8.1036445132265484</v>
      </c>
      <c r="V33" s="81">
        <f t="shared" si="15"/>
        <v>-8.3171091025007193</v>
      </c>
      <c r="W33" s="81">
        <f t="shared" si="15"/>
        <v>-8.5713359997584124</v>
      </c>
      <c r="X33" s="81">
        <f t="shared" si="15"/>
        <v>-8.926439593833452</v>
      </c>
      <c r="Y33" s="81">
        <f t="shared" si="15"/>
        <v>-9.681285942496956</v>
      </c>
      <c r="Z33" s="81">
        <f t="shared" si="15"/>
        <v>-10.840187405218693</v>
      </c>
      <c r="AA33" s="81">
        <f t="shared" si="15"/>
        <v>-11.814411255615953</v>
      </c>
      <c r="AB33" s="81">
        <f t="shared" si="15"/>
        <v>-12.826106725014634</v>
      </c>
      <c r="AC33" s="81">
        <f t="shared" si="15"/>
        <v>-14.706470815510418</v>
      </c>
    </row>
    <row r="34" spans="1:32" x14ac:dyDescent="0.25">
      <c r="A34">
        <f t="shared" si="3"/>
        <v>1.0078829175873383</v>
      </c>
      <c r="B34">
        <v>1.4809699999999999</v>
      </c>
      <c r="C34" s="81">
        <f t="shared" si="4"/>
        <v>-10.075691951339543</v>
      </c>
      <c r="D34" s="81">
        <f t="shared" si="4"/>
        <v>-9.9678750255425097</v>
      </c>
      <c r="E34" s="81">
        <f t="shared" si="4"/>
        <v>-9.8599628025993358</v>
      </c>
      <c r="F34" s="81">
        <f t="shared" si="4"/>
        <v>-9.6118029655372617</v>
      </c>
      <c r="G34" s="81">
        <f t="shared" si="4"/>
        <v>-9.3817719914328634</v>
      </c>
      <c r="H34" s="81">
        <f t="shared" si="4"/>
        <v>-9.168732115341518</v>
      </c>
      <c r="I34" s="81">
        <f t="shared" si="4"/>
        <v>-8.8452209228167149</v>
      </c>
      <c r="J34" s="81">
        <f t="shared" si="4"/>
        <v>-8.4480315073146226</v>
      </c>
      <c r="K34" s="81">
        <f t="shared" si="4"/>
        <v>-8.223125068162874</v>
      </c>
      <c r="L34" s="81">
        <f t="shared" si="4"/>
        <v>-8.076540457727555</v>
      </c>
      <c r="M34" s="81">
        <f t="shared" si="4"/>
        <v>-7.9565201705012463</v>
      </c>
      <c r="N34" s="81">
        <f t="shared" si="4"/>
        <v>-8.0652350219095013</v>
      </c>
      <c r="O34" s="81">
        <f t="shared" si="4"/>
        <v>-8.4150993858970136</v>
      </c>
      <c r="P34" s="81">
        <f t="shared" si="4"/>
        <v>-8.5985901463868935</v>
      </c>
      <c r="Q34" s="81">
        <f t="shared" si="4"/>
        <v>-8.8712707272030276</v>
      </c>
      <c r="R34" s="81">
        <f t="shared" si="4"/>
        <v>-9.1711298221309043</v>
      </c>
      <c r="S34" s="81">
        <f t="shared" ref="S34:AC34" si="16">LN(S14)</f>
        <v>-9.3966949254961882</v>
      </c>
      <c r="T34" s="81">
        <f t="shared" si="16"/>
        <v>-9.5086877098652245</v>
      </c>
      <c r="U34" s="81">
        <f t="shared" si="16"/>
        <v>-9.6171713930081371</v>
      </c>
      <c r="V34" s="81">
        <f t="shared" si="16"/>
        <v>-9.8754656533446727</v>
      </c>
      <c r="W34" s="81">
        <f t="shared" si="16"/>
        <v>-10.170858576770165</v>
      </c>
      <c r="X34" s="81">
        <f t="shared" si="16"/>
        <v>-10.641491785184501</v>
      </c>
      <c r="Y34" s="81">
        <f t="shared" si="16"/>
        <v>-11.639871907499554</v>
      </c>
      <c r="Z34" s="81">
        <f t="shared" si="16"/>
        <v>-13.026570403411105</v>
      </c>
      <c r="AA34" s="81">
        <f t="shared" si="16"/>
        <v>-14.237694593573512</v>
      </c>
      <c r="AB34" s="81">
        <f t="shared" si="16"/>
        <v>-15.457335944622089</v>
      </c>
      <c r="AC34" s="81">
        <f t="shared" si="16"/>
        <v>-17.063716078228335</v>
      </c>
    </row>
    <row r="35" spans="1:32" x14ac:dyDescent="0.25">
      <c r="A35">
        <f t="shared" si="3"/>
        <v>1.6162512488533307</v>
      </c>
      <c r="B35">
        <v>2.7211799999999999</v>
      </c>
      <c r="C35" s="81">
        <f t="shared" si="4"/>
        <v>-12.318722768157366</v>
      </c>
      <c r="D35" s="81">
        <f t="shared" si="4"/>
        <v>-12.202851846104247</v>
      </c>
      <c r="E35" s="81">
        <f t="shared" si="4"/>
        <v>-12.083628458888162</v>
      </c>
      <c r="F35" s="81">
        <f t="shared" si="4"/>
        <v>-11.786341109282578</v>
      </c>
      <c r="G35" s="81">
        <f t="shared" si="4"/>
        <v>-11.509212753137078</v>
      </c>
      <c r="H35" s="81">
        <f t="shared" si="4"/>
        <v>-11.25110221502112</v>
      </c>
      <c r="I35" s="81">
        <f t="shared" si="4"/>
        <v>-10.842836466285892</v>
      </c>
      <c r="J35" s="81">
        <f t="shared" si="4"/>
        <v>-10.313328570742764</v>
      </c>
      <c r="K35" s="81">
        <f t="shared" si="4"/>
        <v>-9.9958846663524028</v>
      </c>
      <c r="L35" s="81">
        <f t="shared" si="4"/>
        <v>-9.7866039505105693</v>
      </c>
      <c r="M35" s="81">
        <f t="shared" si="4"/>
        <v>-9.5827757781568845</v>
      </c>
      <c r="N35" s="81">
        <f t="shared" si="4"/>
        <v>-9.7369119222290514</v>
      </c>
      <c r="O35" s="81">
        <f t="shared" si="4"/>
        <v>-10.114482511487122</v>
      </c>
      <c r="P35" s="81">
        <f t="shared" si="4"/>
        <v>-10.250701517634557</v>
      </c>
      <c r="Q35" s="81">
        <f t="shared" si="4"/>
        <v>-10.575838548562608</v>
      </c>
      <c r="R35" s="81">
        <f t="shared" si="4"/>
        <v>-10.9142571996573</v>
      </c>
      <c r="S35" s="81">
        <f t="shared" ref="S35:AC35" si="17">LN(S15)</f>
        <v>-11.165037996542484</v>
      </c>
      <c r="T35" s="81">
        <f t="shared" si="17"/>
        <v>-11.297941141285376</v>
      </c>
      <c r="U35" s="81">
        <f t="shared" si="17"/>
        <v>-11.43202353042521</v>
      </c>
      <c r="V35" s="81">
        <f t="shared" si="17"/>
        <v>-11.747595413276755</v>
      </c>
      <c r="W35" s="81">
        <f t="shared" si="17"/>
        <v>-12.102716717394197</v>
      </c>
      <c r="X35" s="81">
        <f t="shared" si="17"/>
        <v>-12.720269899576465</v>
      </c>
      <c r="Y35" s="81">
        <f t="shared" si="17"/>
        <v>-13.998208863683175</v>
      </c>
      <c r="Z35" s="81">
        <f t="shared" si="17"/>
        <v>-15.693752504768586</v>
      </c>
      <c r="AA35" s="81">
        <f t="shared" si="17"/>
        <v>-17.123158688412911</v>
      </c>
      <c r="AB35" s="81">
        <f t="shared" si="17"/>
        <v>-18.505451514189133</v>
      </c>
      <c r="AC35" s="81">
        <f t="shared" si="17"/>
        <v>-19.602262137587722</v>
      </c>
    </row>
    <row r="36" spans="1:32" x14ac:dyDescent="0.25">
      <c r="A36">
        <f t="shared" si="3"/>
        <v>2.224623551524334</v>
      </c>
      <c r="B36">
        <v>5</v>
      </c>
      <c r="C36" s="81">
        <f t="shared" si="4"/>
        <v>-15.007855668134352</v>
      </c>
      <c r="D36" s="81">
        <f t="shared" si="4"/>
        <v>-14.880399109821674</v>
      </c>
      <c r="E36" s="81">
        <f t="shared" si="4"/>
        <v>-14.74569591622949</v>
      </c>
      <c r="F36" s="81">
        <f t="shared" si="4"/>
        <v>-14.390796815792442</v>
      </c>
      <c r="G36" s="81">
        <f t="shared" si="4"/>
        <v>-14.058460852267594</v>
      </c>
      <c r="H36" s="81">
        <f t="shared" si="4"/>
        <v>-13.747507719279874</v>
      </c>
      <c r="I36" s="81">
        <f t="shared" si="4"/>
        <v>-13.241988634806207</v>
      </c>
      <c r="J36" s="81">
        <f t="shared" si="4"/>
        <v>-12.567007504103742</v>
      </c>
      <c r="K36" s="81">
        <f t="shared" si="4"/>
        <v>-12.136173925646682</v>
      </c>
      <c r="L36" s="81">
        <f t="shared" si="4"/>
        <v>-11.845552613416812</v>
      </c>
      <c r="M36" s="81">
        <f t="shared" si="4"/>
        <v>-11.54295152541458</v>
      </c>
      <c r="N36" s="81">
        <f t="shared" si="4"/>
        <v>-11.751418959733629</v>
      </c>
      <c r="O36" s="81">
        <f t="shared" si="4"/>
        <v>-12.165307487247368</v>
      </c>
      <c r="P36" s="81">
        <f t="shared" si="4"/>
        <v>-12.251113112957</v>
      </c>
      <c r="Q36" s="81">
        <f t="shared" si="4"/>
        <v>-12.646024090743081</v>
      </c>
      <c r="R36" s="81">
        <f t="shared" si="4"/>
        <v>-13.046175431266562</v>
      </c>
      <c r="S36" s="81">
        <f t="shared" ref="S36:AC36" si="18">LN(S16)</f>
        <v>-13.352171020410557</v>
      </c>
      <c r="T36" s="81">
        <f t="shared" si="18"/>
        <v>-13.517145049393916</v>
      </c>
      <c r="U36" s="81">
        <f t="shared" si="18"/>
        <v>-13.684564960730295</v>
      </c>
      <c r="V36" s="81">
        <f t="shared" si="18"/>
        <v>-14.068530419288823</v>
      </c>
      <c r="W36" s="81">
        <f t="shared" si="18"/>
        <v>-14.502667383334495</v>
      </c>
      <c r="X36" s="81">
        <f t="shared" si="18"/>
        <v>-15.285583827391743</v>
      </c>
      <c r="Y36" s="81">
        <f t="shared" si="18"/>
        <v>-16.86816240759936</v>
      </c>
      <c r="Z36" s="81">
        <f t="shared" si="18"/>
        <v>-18.884127808188023</v>
      </c>
      <c r="AA36" s="81">
        <f t="shared" si="18"/>
        <v>-20.438269835864521</v>
      </c>
      <c r="AB36" s="81">
        <f t="shared" si="18"/>
        <v>-21.835825467022293</v>
      </c>
      <c r="AC36" s="81">
        <f t="shared" si="18"/>
        <v>-22.369047717115379</v>
      </c>
    </row>
    <row r="37" spans="1:32" x14ac:dyDescent="0.25"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</row>
    <row r="38" spans="1:32" x14ac:dyDescent="0.25"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>
        <v>1.5</v>
      </c>
      <c r="Z38" s="81">
        <v>2</v>
      </c>
      <c r="AA38" s="81"/>
      <c r="AB38" s="81"/>
      <c r="AC38" s="81"/>
      <c r="AF38" s="81">
        <v>1.84</v>
      </c>
    </row>
    <row r="39" spans="1:32" ht="38.25" customHeight="1" x14ac:dyDescent="0.25">
      <c r="C39" s="93" t="str">
        <f>"Sa("&amp;C1&amp;")"</f>
        <v>Sa(T=0.01s)</v>
      </c>
      <c r="D39" s="93" t="str">
        <f t="shared" ref="D39:AC39" si="19">"Sa("&amp;D1&amp;")"</f>
        <v>Sa(T=0.015s)</v>
      </c>
      <c r="E39" s="93" t="str">
        <f t="shared" si="19"/>
        <v>Sa(T=0.02s)</v>
      </c>
      <c r="F39" s="93" t="str">
        <f t="shared" si="19"/>
        <v>Sa(T=0.03s)</v>
      </c>
      <c r="G39" s="93" t="str">
        <f t="shared" si="19"/>
        <v>Sa(T=0.04s)</v>
      </c>
      <c r="H39" s="93" t="str">
        <f t="shared" si="19"/>
        <v>Sa(T=0.05s)</v>
      </c>
      <c r="I39" s="93" t="str">
        <f t="shared" si="19"/>
        <v>Sa(T=0.06s)</v>
      </c>
      <c r="J39" s="93" t="str">
        <f t="shared" si="19"/>
        <v>Sa(T=0.075s)</v>
      </c>
      <c r="K39" s="93" t="str">
        <f t="shared" si="19"/>
        <v>Sa(T=0.09s)</v>
      </c>
      <c r="L39" s="93" t="str">
        <f t="shared" si="19"/>
        <v>Sa(T=0.1s)</v>
      </c>
      <c r="M39" s="93" t="str">
        <f t="shared" si="19"/>
        <v>Sa(T=0.15s)</v>
      </c>
      <c r="N39" s="93" t="str">
        <f t="shared" si="19"/>
        <v>Sa(T=0.2s)</v>
      </c>
      <c r="O39" s="93" t="str">
        <f t="shared" si="19"/>
        <v>Sa(T=0.3s)</v>
      </c>
      <c r="P39" s="93" t="str">
        <f t="shared" si="19"/>
        <v>Sa(T=0.4s)</v>
      </c>
      <c r="Q39" s="93" t="str">
        <f t="shared" si="19"/>
        <v>Sa(T=0.5s)</v>
      </c>
      <c r="R39" s="93" t="str">
        <f t="shared" si="19"/>
        <v>Sa(T=0.6s)</v>
      </c>
      <c r="S39" s="93" t="str">
        <f t="shared" si="19"/>
        <v>Sa(T=0.7s)</v>
      </c>
      <c r="T39" s="93" t="str">
        <f t="shared" si="19"/>
        <v>Sa(T=0.75s)</v>
      </c>
      <c r="U39" s="93" t="str">
        <f t="shared" si="19"/>
        <v>Sa(T=0.8s)</v>
      </c>
      <c r="V39" s="93" t="str">
        <f t="shared" si="19"/>
        <v>Sa(T=0.9s)</v>
      </c>
      <c r="W39" s="93" t="str">
        <f t="shared" si="19"/>
        <v>Sa(T=1s)</v>
      </c>
      <c r="X39" s="93" t="str">
        <f t="shared" si="19"/>
        <v>Sa(T=1.2s)</v>
      </c>
      <c r="Y39" s="93" t="str">
        <f t="shared" si="19"/>
        <v>Sa(T=1.5s)</v>
      </c>
      <c r="Z39" s="93" t="str">
        <f t="shared" si="19"/>
        <v>Sa(T=2s)</v>
      </c>
      <c r="AA39" s="93" t="str">
        <f t="shared" si="19"/>
        <v>Sa(T=2.5s)</v>
      </c>
      <c r="AB39" s="93" t="str">
        <f t="shared" si="19"/>
        <v>Sa(T=3s)</v>
      </c>
      <c r="AC39" s="93" t="str">
        <f t="shared" si="19"/>
        <v>Sa(T=5s)</v>
      </c>
    </row>
    <row r="40" spans="1:32" ht="15.75" x14ac:dyDescent="0.25">
      <c r="A40" s="92" t="s">
        <v>106</v>
      </c>
      <c r="C40">
        <f ca="1">EXP(_xlfn.FORECAST.LINEAR(LN($C$53),OFFSET($A$22,MATCH(LN($C$53),C22:C36,-1)-1, 0, 2),OFFSET(C22,MATCH(LN($C$53),C22:C36,-1)-1, 0, 2)))</f>
        <v>0.63441277580231126</v>
      </c>
      <c r="D40">
        <f t="shared" ref="D40:AC40" ca="1" si="20">EXP(_xlfn.FORECAST.LINEAR(LN($C$53),OFFSET($A$22,MATCH(LN($C$53),D22:D36,-1)-1, 0, 2),OFFSET(D22,MATCH(LN($C$53),D22:D36,-1)-1, 0, 2)))</f>
        <v>0.66054224534764816</v>
      </c>
      <c r="E40">
        <f t="shared" ca="1" si="20"/>
        <v>0.6872791572862923</v>
      </c>
      <c r="F40">
        <f t="shared" ca="1" si="20"/>
        <v>0.7468220850936873</v>
      </c>
      <c r="G40">
        <f t="shared" ca="1" si="20"/>
        <v>0.8090209922289443</v>
      </c>
      <c r="H40">
        <f t="shared" ca="1" si="20"/>
        <v>0.8605819892747153</v>
      </c>
      <c r="I40">
        <f t="shared" ca="1" si="20"/>
        <v>0.94624204076812157</v>
      </c>
      <c r="J40">
        <f t="shared" ca="1" si="20"/>
        <v>1.0602707086322567</v>
      </c>
      <c r="K40">
        <f t="shared" ca="1" si="20"/>
        <v>1.1322379597977403</v>
      </c>
      <c r="L40">
        <f t="shared" ca="1" si="20"/>
        <v>1.1851259250454016</v>
      </c>
      <c r="M40">
        <f t="shared" ca="1" si="20"/>
        <v>1.2124959690878212</v>
      </c>
      <c r="N40">
        <f t="shared" ca="1" si="20"/>
        <v>1.1634394644192856</v>
      </c>
      <c r="O40">
        <f t="shared" ca="1" si="20"/>
        <v>0.99434570386416776</v>
      </c>
      <c r="P40">
        <f t="shared" ca="1" si="20"/>
        <v>0.89499974528973925</v>
      </c>
      <c r="Q40">
        <f t="shared" ca="1" si="20"/>
        <v>0.80136340439027998</v>
      </c>
      <c r="R40">
        <f t="shared" ca="1" si="20"/>
        <v>0.69968719296893234</v>
      </c>
      <c r="S40">
        <f t="shared" ca="1" si="20"/>
        <v>0.61869889900894881</v>
      </c>
      <c r="T40">
        <f t="shared" ca="1" si="20"/>
        <v>0.5838641812153097</v>
      </c>
      <c r="U40">
        <f t="shared" ca="1" si="20"/>
        <v>0.55643598104584391</v>
      </c>
      <c r="V40">
        <f t="shared" ca="1" si="20"/>
        <v>0.50072157067659762</v>
      </c>
      <c r="W40">
        <f t="shared" ca="1" si="20"/>
        <v>0.44449352334832093</v>
      </c>
      <c r="X40">
        <f t="shared" ca="1" si="20"/>
        <v>0.37736587484480205</v>
      </c>
      <c r="Y40">
        <f t="shared" ca="1" si="20"/>
        <v>0.28722365626244312</v>
      </c>
      <c r="Z40">
        <f t="shared" ca="1" si="20"/>
        <v>0.1991325817740553</v>
      </c>
      <c r="AA40">
        <f t="shared" ca="1" si="20"/>
        <v>0.15489960437225886</v>
      </c>
      <c r="AB40">
        <f t="shared" ca="1" si="20"/>
        <v>0.11811550215798962</v>
      </c>
      <c r="AC40">
        <f t="shared" ca="1" si="20"/>
        <v>7.6097981434210343E-2</v>
      </c>
    </row>
    <row r="41" spans="1:32" ht="15.75" x14ac:dyDescent="0.25">
      <c r="A41" s="92" t="s">
        <v>105</v>
      </c>
      <c r="C41">
        <f ca="1">EXP(_xlfn.FORECAST.LINEAR(LN($C$56),OFFSET($A$22,MATCH(LN($C$56),C22:C36,-1)-1, 0, 2),OFFSET(C22,MATCH(LN($C$56),C22:C36,-1)-1, 0, 2)))</f>
        <v>1.2735973315459941</v>
      </c>
      <c r="D41">
        <f t="shared" ref="D41:AC41" ca="1" si="21">EXP(_xlfn.FORECAST.LINEAR(LN($C$56),OFFSET($A$22,MATCH(LN($C$56),D22:D36,-1)-1, 0, 2),OFFSET(D22,MATCH(LN($C$56),D22:D36,-1)-1, 0, 2)))</f>
        <v>1.3234726649035726</v>
      </c>
      <c r="E41">
        <f t="shared" ca="1" si="21"/>
        <v>1.3749081115340276</v>
      </c>
      <c r="F41">
        <f t="shared" ca="1" si="21"/>
        <v>1.4939963803064937</v>
      </c>
      <c r="G41">
        <f t="shared" ca="1" si="21"/>
        <v>1.5963079195594703</v>
      </c>
      <c r="H41">
        <f t="shared" ca="1" si="21"/>
        <v>1.7010723312963718</v>
      </c>
      <c r="I41">
        <f t="shared" ca="1" si="21"/>
        <v>1.8827379295761357</v>
      </c>
      <c r="J41">
        <f t="shared" ca="1" si="21"/>
        <v>2.1414027394474662</v>
      </c>
      <c r="K41">
        <f t="shared" ca="1" si="21"/>
        <v>2.3203731501012803</v>
      </c>
      <c r="L41">
        <f t="shared" ca="1" si="21"/>
        <v>2.4548945097796397</v>
      </c>
      <c r="M41">
        <f t="shared" ca="1" si="21"/>
        <v>2.5744451176923335</v>
      </c>
      <c r="N41">
        <f t="shared" ca="1" si="21"/>
        <v>2.4600957867072482</v>
      </c>
      <c r="O41">
        <f t="shared" ca="1" si="21"/>
        <v>2.1282282305962767</v>
      </c>
      <c r="P41">
        <f t="shared" ca="1" si="21"/>
        <v>1.9576875791926742</v>
      </c>
      <c r="Q41">
        <f t="shared" ca="1" si="21"/>
        <v>1.7611079265197447</v>
      </c>
      <c r="R41">
        <f t="shared" ca="1" si="21"/>
        <v>1.5717823865027567</v>
      </c>
      <c r="S41">
        <f t="shared" ca="1" si="21"/>
        <v>1.424035950640663</v>
      </c>
      <c r="T41">
        <f t="shared" ca="1" si="21"/>
        <v>1.3558113567999894</v>
      </c>
      <c r="U41">
        <f t="shared" ca="1" si="21"/>
        <v>1.2982063984342707</v>
      </c>
      <c r="V41">
        <f t="shared" ca="1" si="21"/>
        <v>1.1765195463296743</v>
      </c>
      <c r="W41">
        <f t="shared" ca="1" si="21"/>
        <v>1.0518443804053383</v>
      </c>
      <c r="X41">
        <f t="shared" ca="1" si="21"/>
        <v>0.91396606350937504</v>
      </c>
      <c r="Y41">
        <f t="shared" ca="1" si="21"/>
        <v>0.7010265371061446</v>
      </c>
      <c r="Z41">
        <f t="shared" ca="1" si="21"/>
        <v>0.48541324505674938</v>
      </c>
      <c r="AA41">
        <f t="shared" ca="1" si="21"/>
        <v>0.37973944927977749</v>
      </c>
      <c r="AB41">
        <f t="shared" ca="1" si="21"/>
        <v>0.29458917897567261</v>
      </c>
      <c r="AC41">
        <f t="shared" ca="1" si="21"/>
        <v>0.17806930925380451</v>
      </c>
      <c r="AF41" s="46">
        <f ca="1">_xlfn.FORECAST.LINEAR(AF38,Y41:Z41,Y38:Z38)</f>
        <v>0.55440949851255583</v>
      </c>
    </row>
    <row r="43" spans="1:32" ht="15.75" x14ac:dyDescent="0.25">
      <c r="A43" s="83" t="s">
        <v>103</v>
      </c>
      <c r="C43" s="85">
        <f ca="1">(E53-C40)/C40</f>
        <v>-0.21186959173753381</v>
      </c>
      <c r="W43" s="85">
        <f ca="1">(F53-W40)/W40</f>
        <v>0.12487578274156814</v>
      </c>
      <c r="Y43" s="85">
        <f ca="1">(G53-Y40)/Y40</f>
        <v>0.16053579176207786</v>
      </c>
      <c r="Z43" s="85">
        <f ca="1">(H53-Z40)/Z40</f>
        <v>0.25544497928350646</v>
      </c>
    </row>
    <row r="44" spans="1:32" ht="15.75" x14ac:dyDescent="0.25">
      <c r="A44" s="83" t="s">
        <v>104</v>
      </c>
      <c r="C44" s="85">
        <f ca="1">(E56-C41)/C41</f>
        <v>-0.41111685662093045</v>
      </c>
      <c r="W44" s="85">
        <f ca="1">(F56-W41)/W41</f>
        <v>-0.28696676621404749</v>
      </c>
      <c r="Y44" s="85">
        <f ca="1">(G56-Y41)/Y41</f>
        <v>-0.28676023868652284</v>
      </c>
      <c r="Z44" s="85">
        <f ca="1">(H56-Z41)/Z41</f>
        <v>-0.22746236568769571</v>
      </c>
    </row>
    <row r="48" spans="1:32" x14ac:dyDescent="0.25">
      <c r="B48" s="46" t="s">
        <v>45</v>
      </c>
    </row>
    <row r="49" spans="2:8" x14ac:dyDescent="0.25">
      <c r="B49" s="76" t="s">
        <v>39</v>
      </c>
      <c r="C49" s="76" t="s">
        <v>44</v>
      </c>
      <c r="D49" s="76" t="s">
        <v>36</v>
      </c>
      <c r="E49" s="107" t="s">
        <v>41</v>
      </c>
      <c r="F49" s="108"/>
      <c r="G49" s="108"/>
      <c r="H49" s="108"/>
    </row>
    <row r="50" spans="2:8" x14ac:dyDescent="0.25">
      <c r="B50" s="76"/>
      <c r="C50" s="76"/>
      <c r="D50" s="76"/>
      <c r="E50" s="76" t="s">
        <v>37</v>
      </c>
      <c r="F50" s="76" t="s">
        <v>40</v>
      </c>
      <c r="G50" s="76" t="s">
        <v>92</v>
      </c>
      <c r="H50" s="76" t="s">
        <v>93</v>
      </c>
    </row>
    <row r="51" spans="2:8" x14ac:dyDescent="0.25">
      <c r="B51" s="3">
        <v>175</v>
      </c>
      <c r="C51" s="3">
        <v>5.7142857142857143E-3</v>
      </c>
      <c r="D51" s="5">
        <v>0.375</v>
      </c>
      <c r="E51" s="5">
        <f>(D51*$E$66)</f>
        <v>0.375</v>
      </c>
      <c r="F51" s="5">
        <f>(D51*$F$66)</f>
        <v>0.375</v>
      </c>
      <c r="G51" s="5">
        <f>(D51*$G$66)</f>
        <v>0.25</v>
      </c>
      <c r="H51" s="5">
        <f>(D51*$H$66)</f>
        <v>0.1875</v>
      </c>
    </row>
    <row r="52" spans="2:8" x14ac:dyDescent="0.25">
      <c r="B52" s="3">
        <v>275</v>
      </c>
      <c r="C52" s="3">
        <v>3.6363636363636364E-3</v>
      </c>
      <c r="D52" s="5">
        <v>0.45</v>
      </c>
      <c r="E52" s="5">
        <f t="shared" ref="E52:E58" si="22">(D52*$E$66)</f>
        <v>0.45</v>
      </c>
      <c r="F52" s="5">
        <f t="shared" ref="F52:F58" si="23">(D52*$F$66)</f>
        <v>0.45</v>
      </c>
      <c r="G52" s="5">
        <f t="shared" ref="G52:G58" si="24">(D52*$G$66)</f>
        <v>0.3</v>
      </c>
      <c r="H52" s="5">
        <f t="shared" ref="H52:H58" si="25">(D52*$H$66)</f>
        <v>0.22500000000000001</v>
      </c>
    </row>
    <row r="53" spans="2:8" x14ac:dyDescent="0.25">
      <c r="B53" s="48">
        <v>475</v>
      </c>
      <c r="C53" s="48">
        <v>2.1052631578947368E-3</v>
      </c>
      <c r="D53" s="49">
        <v>0.5</v>
      </c>
      <c r="E53" s="49">
        <f t="shared" si="22"/>
        <v>0.5</v>
      </c>
      <c r="F53" s="49">
        <f t="shared" si="23"/>
        <v>0.5</v>
      </c>
      <c r="G53" s="49">
        <f t="shared" si="24"/>
        <v>0.33333333333333331</v>
      </c>
      <c r="H53" s="49">
        <f t="shared" si="25"/>
        <v>0.25</v>
      </c>
    </row>
    <row r="54" spans="2:8" x14ac:dyDescent="0.25">
      <c r="B54" s="3">
        <v>975</v>
      </c>
      <c r="C54" s="3">
        <v>1.0256410256410256E-3</v>
      </c>
      <c r="D54" s="5">
        <v>0.6</v>
      </c>
      <c r="E54" s="5">
        <f t="shared" si="22"/>
        <v>0.6</v>
      </c>
      <c r="F54" s="5">
        <f t="shared" si="23"/>
        <v>0.6</v>
      </c>
      <c r="G54" s="5">
        <f t="shared" si="24"/>
        <v>0.39999999999999997</v>
      </c>
      <c r="H54" s="5">
        <f t="shared" si="25"/>
        <v>0.3</v>
      </c>
    </row>
    <row r="55" spans="2:8" x14ac:dyDescent="0.25">
      <c r="B55" s="3">
        <v>1275</v>
      </c>
      <c r="C55" s="3">
        <v>7.8431372549019605E-4</v>
      </c>
      <c r="D55" s="5">
        <v>0.625</v>
      </c>
      <c r="E55" s="5">
        <f t="shared" si="22"/>
        <v>0.625</v>
      </c>
      <c r="F55" s="5">
        <f t="shared" si="23"/>
        <v>0.625</v>
      </c>
      <c r="G55" s="5">
        <f t="shared" si="24"/>
        <v>0.41666666666666663</v>
      </c>
      <c r="H55" s="5">
        <f t="shared" si="25"/>
        <v>0.3125</v>
      </c>
    </row>
    <row r="56" spans="2:8" x14ac:dyDescent="0.25">
      <c r="B56" s="48">
        <v>2475</v>
      </c>
      <c r="C56" s="48">
        <v>4.0404040404040404E-4</v>
      </c>
      <c r="D56" s="49">
        <v>0.75</v>
      </c>
      <c r="E56" s="49">
        <f t="shared" si="22"/>
        <v>0.75</v>
      </c>
      <c r="F56" s="49">
        <f t="shared" si="23"/>
        <v>0.75</v>
      </c>
      <c r="G56" s="49">
        <f t="shared" si="24"/>
        <v>0.5</v>
      </c>
      <c r="H56" s="49">
        <f t="shared" si="25"/>
        <v>0.375</v>
      </c>
    </row>
    <row r="57" spans="2:8" x14ac:dyDescent="0.25">
      <c r="B57" s="3">
        <v>4975</v>
      </c>
      <c r="C57" s="3">
        <v>2.0100502512562814E-4</v>
      </c>
      <c r="D57" s="5">
        <v>0.94</v>
      </c>
      <c r="E57" s="5">
        <f t="shared" si="22"/>
        <v>0.94</v>
      </c>
      <c r="F57" s="5">
        <f t="shared" si="23"/>
        <v>0.94</v>
      </c>
      <c r="G57" s="5">
        <f t="shared" si="24"/>
        <v>0.62666666666666659</v>
      </c>
      <c r="H57" s="5">
        <f t="shared" si="25"/>
        <v>0.47</v>
      </c>
    </row>
    <row r="58" spans="2:8" x14ac:dyDescent="0.25">
      <c r="B58" s="3">
        <v>9975</v>
      </c>
      <c r="C58" s="3">
        <v>1.0025062656641604E-4</v>
      </c>
      <c r="D58" s="5">
        <v>1.125</v>
      </c>
      <c r="E58" s="5">
        <f t="shared" si="22"/>
        <v>1.125</v>
      </c>
      <c r="F58" s="5">
        <f t="shared" si="23"/>
        <v>1.125</v>
      </c>
      <c r="G58" s="5">
        <f t="shared" si="24"/>
        <v>0.75</v>
      </c>
      <c r="H58" s="5">
        <f t="shared" si="25"/>
        <v>0.5625</v>
      </c>
    </row>
    <row r="59" spans="2:8" ht="15.75" thickBot="1" x14ac:dyDescent="0.3"/>
    <row r="60" spans="2:8" x14ac:dyDescent="0.25">
      <c r="B60" s="66" t="s">
        <v>91</v>
      </c>
      <c r="C60" s="67" t="s">
        <v>89</v>
      </c>
      <c r="D60" s="68" t="s">
        <v>90</v>
      </c>
    </row>
    <row r="61" spans="2:8" x14ac:dyDescent="0.25">
      <c r="B61" s="69">
        <v>1E-3</v>
      </c>
      <c r="C61" s="71">
        <f>1/475</f>
        <v>2.1052631578947368E-3</v>
      </c>
      <c r="D61" s="72">
        <f>1/2475</f>
        <v>4.0404040404040404E-4</v>
      </c>
    </row>
    <row r="62" spans="2:8" ht="15.75" thickBot="1" x14ac:dyDescent="0.3">
      <c r="B62" s="70">
        <v>4</v>
      </c>
      <c r="C62" s="73">
        <f>C61</f>
        <v>2.1052631578947368E-3</v>
      </c>
      <c r="D62" s="74">
        <f>D61</f>
        <v>4.0404040404040404E-4</v>
      </c>
    </row>
    <row r="64" spans="2:8" x14ac:dyDescent="0.25">
      <c r="D64" s="3" t="s">
        <v>87</v>
      </c>
      <c r="E64" s="3">
        <v>0</v>
      </c>
      <c r="F64" s="3">
        <v>1</v>
      </c>
      <c r="G64" s="3">
        <v>1.5</v>
      </c>
      <c r="H64" s="3">
        <v>2</v>
      </c>
    </row>
    <row r="65" spans="4:8" x14ac:dyDescent="0.25">
      <c r="D65" s="3"/>
      <c r="E65" s="47" t="s">
        <v>37</v>
      </c>
      <c r="F65" s="47" t="s">
        <v>40</v>
      </c>
      <c r="G65" s="47" t="s">
        <v>92</v>
      </c>
      <c r="H65" s="47" t="s">
        <v>93</v>
      </c>
    </row>
    <row r="66" spans="4:8" x14ac:dyDescent="0.25">
      <c r="D66" s="3" t="s">
        <v>88</v>
      </c>
      <c r="E66" s="75">
        <v>1</v>
      </c>
      <c r="F66" s="75">
        <f>(1/F64)</f>
        <v>1</v>
      </c>
      <c r="G66" s="75">
        <f t="shared" ref="G66:H66" si="26">(1/G64)</f>
        <v>0.66666666666666663</v>
      </c>
      <c r="H66" s="75">
        <f t="shared" si="26"/>
        <v>0.5</v>
      </c>
    </row>
    <row r="87" spans="2:11" x14ac:dyDescent="0.25">
      <c r="B87" s="80" t="s">
        <v>99</v>
      </c>
    </row>
    <row r="88" spans="2:11" ht="21.75" thickBot="1" x14ac:dyDescent="0.4">
      <c r="B88" s="52" t="s">
        <v>1</v>
      </c>
    </row>
    <row r="89" spans="2:11" x14ac:dyDescent="0.25">
      <c r="B89" s="60" t="s">
        <v>59</v>
      </c>
      <c r="C89" s="53">
        <v>75</v>
      </c>
      <c r="D89" s="53">
        <v>175</v>
      </c>
      <c r="E89" s="53">
        <v>275</v>
      </c>
      <c r="F89" s="61">
        <v>475</v>
      </c>
      <c r="G89" s="53">
        <v>975</v>
      </c>
      <c r="H89" s="53">
        <v>1275</v>
      </c>
      <c r="I89" s="61">
        <v>2475</v>
      </c>
      <c r="J89" s="53">
        <v>4975</v>
      </c>
      <c r="K89" s="54">
        <v>9975</v>
      </c>
    </row>
    <row r="90" spans="2:11" ht="15.75" thickBot="1" x14ac:dyDescent="0.3">
      <c r="B90" s="62" t="s">
        <v>60</v>
      </c>
      <c r="C90" s="63">
        <f>1/C89</f>
        <v>1.3333333333333334E-2</v>
      </c>
      <c r="D90" s="63">
        <f t="shared" ref="D90:K90" si="27">1/D89</f>
        <v>5.7142857142857143E-3</v>
      </c>
      <c r="E90" s="63">
        <f t="shared" si="27"/>
        <v>3.6363636363636364E-3</v>
      </c>
      <c r="F90" s="64">
        <f t="shared" si="27"/>
        <v>2.1052631578947368E-3</v>
      </c>
      <c r="G90" s="63">
        <f t="shared" si="27"/>
        <v>1.0256410256410256E-3</v>
      </c>
      <c r="H90" s="63">
        <f t="shared" si="27"/>
        <v>7.8431372549019605E-4</v>
      </c>
      <c r="I90" s="64">
        <f t="shared" si="27"/>
        <v>4.0404040404040404E-4</v>
      </c>
      <c r="J90" s="63">
        <f t="shared" si="27"/>
        <v>2.0100502512562814E-4</v>
      </c>
      <c r="K90" s="65">
        <f t="shared" si="27"/>
        <v>1.0025062656641604E-4</v>
      </c>
    </row>
    <row r="91" spans="2:11" x14ac:dyDescent="0.25">
      <c r="B91" s="16" t="s">
        <v>56</v>
      </c>
      <c r="C91" s="53">
        <v>2.1899999999999999E-2</v>
      </c>
      <c r="D91" s="53">
        <v>3.4599999999999999E-2</v>
      </c>
      <c r="E91" s="53">
        <v>4.36E-2</v>
      </c>
      <c r="F91" s="53">
        <v>5.6899999999999999E-2</v>
      </c>
      <c r="G91" s="53">
        <v>7.8299999999999995E-2</v>
      </c>
      <c r="H91" s="53">
        <v>8.6900000000000005E-2</v>
      </c>
      <c r="I91" s="53">
        <v>0.11119999999999999</v>
      </c>
      <c r="J91" s="53">
        <v>0.14269999999999999</v>
      </c>
      <c r="K91" s="54">
        <v>0.1822</v>
      </c>
    </row>
    <row r="92" spans="2:11" x14ac:dyDescent="0.25">
      <c r="B92" s="20" t="s">
        <v>57</v>
      </c>
      <c r="C92" s="55">
        <v>4.0500000000000001E-2</v>
      </c>
      <c r="D92" s="55">
        <v>7.2300000000000003E-2</v>
      </c>
      <c r="E92" s="55">
        <v>9.6799999999999997E-2</v>
      </c>
      <c r="F92" s="55">
        <v>0.1353</v>
      </c>
      <c r="G92" s="55">
        <v>0.2049</v>
      </c>
      <c r="H92" s="55">
        <v>0.23699999999999999</v>
      </c>
      <c r="I92" s="55">
        <v>0.33300000000000002</v>
      </c>
      <c r="J92" s="55">
        <v>0.46029999999999999</v>
      </c>
      <c r="K92" s="56">
        <v>0.61229999999999996</v>
      </c>
    </row>
    <row r="93" spans="2:11" ht="15.75" thickBot="1" x14ac:dyDescent="0.3">
      <c r="B93" s="57" t="s">
        <v>58</v>
      </c>
      <c r="C93" s="58">
        <v>7.6499999999999999E-2</v>
      </c>
      <c r="D93" s="58">
        <v>0.13089999999999999</v>
      </c>
      <c r="E93" s="58">
        <v>0.1736</v>
      </c>
      <c r="F93" s="58">
        <v>0.2392</v>
      </c>
      <c r="G93" s="58">
        <v>0.34949999999999998</v>
      </c>
      <c r="H93" s="58">
        <v>0.39689999999999998</v>
      </c>
      <c r="I93" s="58">
        <v>0.52990000000000004</v>
      </c>
      <c r="J93" s="58">
        <v>0.69689999999999996</v>
      </c>
      <c r="K93" s="59">
        <v>0.89090000000000003</v>
      </c>
    </row>
    <row r="96" spans="2:11" ht="21" x14ac:dyDescent="0.35">
      <c r="B96" s="52" t="s">
        <v>95</v>
      </c>
    </row>
    <row r="97" spans="2:11" ht="15.75" thickBot="1" x14ac:dyDescent="0.3">
      <c r="B97" s="57" t="s">
        <v>58</v>
      </c>
      <c r="C97">
        <v>5.2293892505633002E-2</v>
      </c>
      <c r="D97">
        <v>9.1064584612919997E-2</v>
      </c>
      <c r="E97">
        <v>0.12191817478853099</v>
      </c>
      <c r="F97">
        <v>0.172158491209953</v>
      </c>
      <c r="G97">
        <v>0.26363969697801198</v>
      </c>
      <c r="H97">
        <v>0.305479555921292</v>
      </c>
      <c r="I97">
        <v>0.426834471978288</v>
      </c>
      <c r="J97">
        <v>0.57765356581347205</v>
      </c>
      <c r="K97">
        <v>0.74716675566533297</v>
      </c>
    </row>
    <row r="99" spans="2:11" ht="21" x14ac:dyDescent="0.35">
      <c r="B99" s="52" t="s">
        <v>94</v>
      </c>
    </row>
    <row r="100" spans="2:11" ht="15.75" thickBot="1" x14ac:dyDescent="0.3">
      <c r="B100" s="57" t="s">
        <v>58</v>
      </c>
      <c r="C100">
        <v>3.3486886000579003E-2</v>
      </c>
      <c r="D100">
        <v>5.9594458260840998E-2</v>
      </c>
      <c r="E100">
        <v>8.0547131615930995E-2</v>
      </c>
      <c r="F100">
        <v>0.11528852544931099</v>
      </c>
      <c r="G100">
        <v>0.181452564394496</v>
      </c>
      <c r="H100">
        <v>0.213195345470754</v>
      </c>
      <c r="I100">
        <v>0.30794023513923302</v>
      </c>
      <c r="J100">
        <v>0.43256041752329799</v>
      </c>
      <c r="K100">
        <v>0.57806747652811596</v>
      </c>
    </row>
    <row r="102" spans="2:11" ht="21" x14ac:dyDescent="0.35">
      <c r="B102" s="52" t="s">
        <v>96</v>
      </c>
    </row>
    <row r="103" spans="2:11" ht="15.75" thickBot="1" x14ac:dyDescent="0.3">
      <c r="B103" s="57" t="s">
        <v>58</v>
      </c>
      <c r="C103">
        <v>2.4702999504088E-2</v>
      </c>
      <c r="D103">
        <v>4.4748869882656001E-2</v>
      </c>
      <c r="E103">
        <v>6.1009352382924001E-2</v>
      </c>
      <c r="F103">
        <v>8.7903875669160997E-2</v>
      </c>
      <c r="G103">
        <v>0.137771126536268</v>
      </c>
      <c r="H103">
        <v>0.161164194566945</v>
      </c>
      <c r="I103">
        <v>0.230078042282644</v>
      </c>
      <c r="J103">
        <v>0.31776596549538499</v>
      </c>
      <c r="K103">
        <v>0.41572709488854198</v>
      </c>
    </row>
  </sheetData>
  <mergeCells count="1">
    <mergeCell ref="E49:H4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C88"/>
  <sheetViews>
    <sheetView topLeftCell="A7" zoomScale="70" zoomScaleNormal="70" workbookViewId="0">
      <selection activeCell="A116" sqref="A116"/>
    </sheetView>
  </sheetViews>
  <sheetFormatPr defaultRowHeight="15" x14ac:dyDescent="0.25"/>
  <cols>
    <col min="1" max="1" width="34.85546875" customWidth="1"/>
    <col min="2" max="2" width="12.42578125" customWidth="1"/>
    <col min="3" max="3" width="20.85546875" customWidth="1"/>
    <col min="4" max="17" width="15.7109375" customWidth="1"/>
    <col min="18" max="18" width="15.5703125" customWidth="1"/>
    <col min="19" max="22" width="15.7109375" customWidth="1"/>
    <col min="23" max="23" width="15.5703125" customWidth="1"/>
    <col min="24" max="29" width="15.7109375" customWidth="1"/>
  </cols>
  <sheetData>
    <row r="1" spans="1:29" x14ac:dyDescent="0.25">
      <c r="A1" s="82" t="s">
        <v>101</v>
      </c>
      <c r="B1" s="50" t="s">
        <v>62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73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16</v>
      </c>
      <c r="P1" s="45" t="s">
        <v>17</v>
      </c>
      <c r="Q1" s="45" t="s">
        <v>74</v>
      </c>
      <c r="R1" s="45" t="s">
        <v>18</v>
      </c>
      <c r="S1" s="45" t="s">
        <v>75</v>
      </c>
      <c r="T1" s="45" t="s">
        <v>76</v>
      </c>
      <c r="U1" s="45" t="s">
        <v>19</v>
      </c>
      <c r="V1" s="45" t="s">
        <v>77</v>
      </c>
      <c r="W1" s="45" t="s">
        <v>78</v>
      </c>
      <c r="X1" s="45" t="s">
        <v>79</v>
      </c>
      <c r="Y1" s="45" t="s">
        <v>21</v>
      </c>
      <c r="Z1" s="45" t="s">
        <v>80</v>
      </c>
      <c r="AA1" s="45" t="s">
        <v>81</v>
      </c>
      <c r="AB1" s="45" t="s">
        <v>82</v>
      </c>
      <c r="AC1" s="45" t="s">
        <v>83</v>
      </c>
    </row>
    <row r="2" spans="1:29" x14ac:dyDescent="0.25">
      <c r="A2">
        <f>($C$19*B2)</f>
        <v>1.8500000000000001E-3</v>
      </c>
      <c r="B2">
        <v>1E-3</v>
      </c>
      <c r="C2" s="14">
        <v>0.62895619882499998</v>
      </c>
      <c r="D2" s="14">
        <v>0.63233946477500003</v>
      </c>
      <c r="E2" s="14">
        <v>0.63559518879999999</v>
      </c>
      <c r="F2" s="14">
        <v>0.65580938577500003</v>
      </c>
      <c r="G2" s="14">
        <v>0.67538236289999998</v>
      </c>
      <c r="H2" s="14">
        <v>0.72986493895000004</v>
      </c>
      <c r="I2" s="14">
        <v>0.76913570902500006</v>
      </c>
      <c r="J2" s="14">
        <v>0.81336740510000005</v>
      </c>
      <c r="K2" s="14">
        <v>0.83916115797500002</v>
      </c>
      <c r="L2" s="14">
        <v>0.85350880374999993</v>
      </c>
      <c r="M2" s="14">
        <v>0.89074438225000008</v>
      </c>
      <c r="N2" s="14">
        <v>0.91709981200000001</v>
      </c>
      <c r="O2" s="14">
        <v>0.93039720400000003</v>
      </c>
      <c r="P2" s="14">
        <v>0.86494634775000012</v>
      </c>
      <c r="Q2" s="14">
        <v>0.77054938725</v>
      </c>
      <c r="R2" s="14">
        <v>0.66623615174999995</v>
      </c>
      <c r="S2" s="14">
        <v>0.58147152050000006</v>
      </c>
      <c r="T2" s="14">
        <v>0.53614275249999999</v>
      </c>
      <c r="U2" s="14">
        <v>0.50243003225000005</v>
      </c>
      <c r="V2" s="14">
        <v>0.45129026799999999</v>
      </c>
      <c r="W2" s="14">
        <v>0.39717595425000002</v>
      </c>
      <c r="X2" s="14">
        <v>0.34051802850000001</v>
      </c>
      <c r="Y2" s="14">
        <v>0.25698516582499997</v>
      </c>
      <c r="Z2" s="14">
        <v>0.17950517729999999</v>
      </c>
      <c r="AA2" s="14">
        <v>0.143276017325</v>
      </c>
      <c r="AB2" s="14">
        <v>0.109322565575</v>
      </c>
      <c r="AC2" s="14">
        <v>6.0438943949999997E-2</v>
      </c>
    </row>
    <row r="3" spans="1:29" x14ac:dyDescent="0.25">
      <c r="A3">
        <f t="shared" ref="A3:A16" si="0">($C$19*B3)</f>
        <v>3.3992640000000004E-3</v>
      </c>
      <c r="B3">
        <v>1.8374400000000001E-3</v>
      </c>
      <c r="C3" s="14">
        <v>0.39151487600000001</v>
      </c>
      <c r="D3" s="14">
        <v>0.39500273604999997</v>
      </c>
      <c r="E3" s="14">
        <v>0.39841814089999994</v>
      </c>
      <c r="F3" s="14">
        <v>0.41551573777500006</v>
      </c>
      <c r="G3" s="14">
        <v>0.43447469227500002</v>
      </c>
      <c r="H3" s="14">
        <v>0.47875349517499999</v>
      </c>
      <c r="I3" s="14">
        <v>0.51829463980000001</v>
      </c>
      <c r="J3" s="14">
        <v>0.57658184895000009</v>
      </c>
      <c r="K3" s="14">
        <v>0.61842563314999999</v>
      </c>
      <c r="L3" s="14">
        <v>0.64050258989999986</v>
      </c>
      <c r="M3" s="14">
        <v>0.67898657585</v>
      </c>
      <c r="N3" s="14">
        <v>0.68673458339999993</v>
      </c>
      <c r="O3" s="14">
        <v>0.66404047924999987</v>
      </c>
      <c r="P3" s="14">
        <v>0.58775561200000004</v>
      </c>
      <c r="Q3" s="14">
        <v>0.50716612724999999</v>
      </c>
      <c r="R3" s="14">
        <v>0.42716795000000002</v>
      </c>
      <c r="S3" s="14">
        <v>0.36799312637500003</v>
      </c>
      <c r="T3" s="14">
        <v>0.33751199337499999</v>
      </c>
      <c r="U3" s="14">
        <v>0.31571630300000003</v>
      </c>
      <c r="V3" s="14">
        <v>0.27974240797500005</v>
      </c>
      <c r="W3" s="14">
        <v>0.24287415877499996</v>
      </c>
      <c r="X3" s="14">
        <v>0.20574309629999998</v>
      </c>
      <c r="Y3" s="14">
        <v>0.15482876925</v>
      </c>
      <c r="Z3" s="14">
        <v>0.1055033229</v>
      </c>
      <c r="AA3" s="14">
        <v>8.2014701500000009E-2</v>
      </c>
      <c r="AB3" s="14">
        <v>6.1554349212499998E-2</v>
      </c>
      <c r="AC3" s="14">
        <v>3.214029827875E-2</v>
      </c>
    </row>
    <row r="4" spans="1:29" x14ac:dyDescent="0.25">
      <c r="A4">
        <f t="shared" si="0"/>
        <v>6.2459145000000006E-3</v>
      </c>
      <c r="B4">
        <v>3.37617E-3</v>
      </c>
      <c r="C4" s="14">
        <v>0.23031760242500002</v>
      </c>
      <c r="D4" s="14">
        <v>0.23321927741249998</v>
      </c>
      <c r="E4" s="14">
        <v>0.23609443560000001</v>
      </c>
      <c r="F4" s="14">
        <v>0.24976683451250004</v>
      </c>
      <c r="G4" s="14">
        <v>0.26583368830000004</v>
      </c>
      <c r="H4" s="14">
        <v>0.29119434512499998</v>
      </c>
      <c r="I4" s="14">
        <v>0.31537125779999997</v>
      </c>
      <c r="J4" s="14">
        <v>0.35507521976249995</v>
      </c>
      <c r="K4" s="14">
        <v>0.38998426691249999</v>
      </c>
      <c r="L4" s="14">
        <v>0.41193626231250002</v>
      </c>
      <c r="M4" s="14">
        <v>0.45387594775000001</v>
      </c>
      <c r="N4" s="14">
        <v>0.4535548774</v>
      </c>
      <c r="O4" s="14">
        <v>0.41988081172500002</v>
      </c>
      <c r="P4" s="14">
        <v>0.36017257674999997</v>
      </c>
      <c r="Q4" s="14">
        <v>0.30404757112500003</v>
      </c>
      <c r="R4" s="14">
        <v>0.25391455415000003</v>
      </c>
      <c r="S4" s="14">
        <v>0.21636582724999998</v>
      </c>
      <c r="T4" s="14">
        <v>0.19741905837500001</v>
      </c>
      <c r="U4" s="14">
        <v>0.18416050307499998</v>
      </c>
      <c r="V4" s="14">
        <v>0.16211692707499997</v>
      </c>
      <c r="W4" s="14">
        <v>0.14023626757499999</v>
      </c>
      <c r="X4" s="14">
        <v>0.11784373938750001</v>
      </c>
      <c r="Y4" s="14">
        <v>8.7239708249999992E-2</v>
      </c>
      <c r="Z4" s="14">
        <v>5.8185217687499999E-2</v>
      </c>
      <c r="AA4" s="14">
        <v>4.4105708162500007E-2</v>
      </c>
      <c r="AB4" s="14">
        <v>3.2070830704999997E-2</v>
      </c>
      <c r="AC4" s="14">
        <v>1.5852025527499997E-2</v>
      </c>
    </row>
    <row r="5" spans="1:29" x14ac:dyDescent="0.25">
      <c r="A5">
        <f t="shared" si="0"/>
        <v>1.1476456500000001E-2</v>
      </c>
      <c r="B5">
        <v>6.2034899999999999E-3</v>
      </c>
      <c r="C5" s="14">
        <v>0.13021499759374999</v>
      </c>
      <c r="D5" s="14">
        <v>0.13219292628625001</v>
      </c>
      <c r="E5" s="14">
        <v>0.1341731507475</v>
      </c>
      <c r="F5" s="14">
        <v>0.14406865896499998</v>
      </c>
      <c r="G5" s="14">
        <v>0.15611476208</v>
      </c>
      <c r="H5" s="14">
        <v>0.17045991130499999</v>
      </c>
      <c r="I5" s="14">
        <v>0.18338925463125</v>
      </c>
      <c r="J5" s="14">
        <v>0.20479932809250001</v>
      </c>
      <c r="K5" s="14">
        <v>0.22373258924125</v>
      </c>
      <c r="L5" s="14">
        <v>0.23664982719999997</v>
      </c>
      <c r="M5" s="14">
        <v>0.26478825023750008</v>
      </c>
      <c r="N5" s="14">
        <v>0.26510340930000004</v>
      </c>
      <c r="O5" s="14">
        <v>0.23943310595000003</v>
      </c>
      <c r="P5" s="14">
        <v>0.20264657454999999</v>
      </c>
      <c r="Q5" s="14">
        <v>0.16888911294999998</v>
      </c>
      <c r="R5" s="14">
        <v>0.14063267085</v>
      </c>
      <c r="S5" s="14">
        <v>0.11938101003749998</v>
      </c>
      <c r="T5" s="14">
        <v>0.10882068222499999</v>
      </c>
      <c r="U5" s="14">
        <v>0.10138449013749999</v>
      </c>
      <c r="V5" s="14">
        <v>8.8566760049999999E-2</v>
      </c>
      <c r="W5" s="14">
        <v>7.6014487287500002E-2</v>
      </c>
      <c r="X5" s="14">
        <v>6.322533990000001E-2</v>
      </c>
      <c r="Y5" s="14">
        <v>4.6137476262499991E-2</v>
      </c>
      <c r="Z5" s="14">
        <v>2.9688888518749998E-2</v>
      </c>
      <c r="AA5" s="14">
        <v>2.1952331786250001E-2</v>
      </c>
      <c r="AB5" s="14">
        <v>1.5587991411249998E-2</v>
      </c>
      <c r="AC5" s="14">
        <v>7.392612865875E-3</v>
      </c>
    </row>
    <row r="6" spans="1:29" x14ac:dyDescent="0.25">
      <c r="A6">
        <f t="shared" si="0"/>
        <v>2.1087225000000001E-2</v>
      </c>
      <c r="B6">
        <v>1.1398500000000001E-2</v>
      </c>
      <c r="C6" s="14">
        <v>7.0132479508749998E-2</v>
      </c>
      <c r="D6" s="14">
        <v>7.1287486963749994E-2</v>
      </c>
      <c r="E6" s="14">
        <v>7.2451759886250008E-2</v>
      </c>
      <c r="F6" s="14">
        <v>7.9004813261250001E-2</v>
      </c>
      <c r="G6" s="14">
        <v>8.7186510924999988E-2</v>
      </c>
      <c r="H6" s="14">
        <v>9.5841035766499993E-2</v>
      </c>
      <c r="I6" s="14">
        <v>0.10318920077437499</v>
      </c>
      <c r="J6" s="14">
        <v>0.1147647496685</v>
      </c>
      <c r="K6" s="14">
        <v>0.12388892919337499</v>
      </c>
      <c r="L6" s="14">
        <v>0.13023705335462499</v>
      </c>
      <c r="M6" s="14">
        <v>0.14296190990999999</v>
      </c>
      <c r="N6" s="14">
        <v>0.14254546426125</v>
      </c>
      <c r="O6" s="14">
        <v>0.12713933261749999</v>
      </c>
      <c r="P6" s="14">
        <v>0.10671708369999999</v>
      </c>
      <c r="Q6" s="14">
        <v>8.8399009774999981E-2</v>
      </c>
      <c r="R6" s="14">
        <v>7.3775530275000001E-2</v>
      </c>
      <c r="S6" s="14">
        <v>6.2257490400000004E-2</v>
      </c>
      <c r="T6" s="14">
        <v>5.6636096922500004E-2</v>
      </c>
      <c r="U6" s="14">
        <v>5.2687065285000008E-2</v>
      </c>
      <c r="V6" s="14">
        <v>4.5565450567499999E-2</v>
      </c>
      <c r="W6" s="14">
        <v>3.8632276202499996E-2</v>
      </c>
      <c r="X6" s="14">
        <v>3.1610819234999997E-2</v>
      </c>
      <c r="Y6" s="14">
        <v>2.25534720625E-2</v>
      </c>
      <c r="Z6" s="14">
        <v>1.4084682751250001E-2</v>
      </c>
      <c r="AA6" s="14">
        <v>1.0048148524125E-2</v>
      </c>
      <c r="AB6" s="14">
        <v>6.9222798885000001E-3</v>
      </c>
      <c r="AC6" s="14">
        <v>3.15799599107625E-3</v>
      </c>
    </row>
    <row r="7" spans="1:29" x14ac:dyDescent="0.25">
      <c r="A7">
        <f t="shared" si="0"/>
        <v>3.8746585E-2</v>
      </c>
      <c r="B7">
        <v>2.09441E-2</v>
      </c>
      <c r="C7" s="14">
        <v>3.5647570108700004E-2</v>
      </c>
      <c r="D7" s="14">
        <v>3.62630045541125E-2</v>
      </c>
      <c r="E7" s="14">
        <v>3.6884803153937495E-2</v>
      </c>
      <c r="F7" s="14">
        <v>4.0917773116362501E-2</v>
      </c>
      <c r="G7" s="14">
        <v>4.6065948731424999E-2</v>
      </c>
      <c r="H7" s="14">
        <v>5.1378272536537498E-2</v>
      </c>
      <c r="I7" s="14">
        <v>5.5750732736850002E-2</v>
      </c>
      <c r="J7" s="14">
        <v>6.2355424416062497E-2</v>
      </c>
      <c r="K7" s="14">
        <v>6.6827867493387511E-2</v>
      </c>
      <c r="L7" s="14">
        <v>6.9879073309012496E-2</v>
      </c>
      <c r="M7" s="14">
        <v>7.4666832875587508E-2</v>
      </c>
      <c r="N7" s="14">
        <v>7.3268154041624997E-2</v>
      </c>
      <c r="O7" s="14">
        <v>6.4358404892499999E-2</v>
      </c>
      <c r="P7" s="14">
        <v>5.3328484447500005E-2</v>
      </c>
      <c r="Q7" s="14">
        <v>4.3862142273750002E-2</v>
      </c>
      <c r="R7" s="14">
        <v>3.6562483605000001E-2</v>
      </c>
      <c r="S7" s="14">
        <v>3.0538810875000003E-2</v>
      </c>
      <c r="T7" s="14">
        <v>2.7648188683749998E-2</v>
      </c>
      <c r="U7" s="14">
        <v>2.5624608933749998E-2</v>
      </c>
      <c r="V7" s="14">
        <v>2.1877639188749999E-2</v>
      </c>
      <c r="W7" s="14">
        <v>1.82785635725E-2</v>
      </c>
      <c r="X7" s="14">
        <v>1.47059243475E-2</v>
      </c>
      <c r="Y7" s="14">
        <v>1.0184102786500001E-2</v>
      </c>
      <c r="Z7" s="14">
        <v>6.1822878828750004E-3</v>
      </c>
      <c r="AA7" s="14">
        <v>4.2567787756499992E-3</v>
      </c>
      <c r="AB7" s="14">
        <v>2.8141848547E-3</v>
      </c>
      <c r="AC7" s="14">
        <v>1.2488634354563862E-3</v>
      </c>
    </row>
    <row r="8" spans="1:29" x14ac:dyDescent="0.25">
      <c r="A8">
        <f t="shared" si="0"/>
        <v>7.1194104999999994E-2</v>
      </c>
      <c r="B8">
        <v>3.8483299999999998E-2</v>
      </c>
      <c r="C8" s="14">
        <v>1.6854862909638002E-2</v>
      </c>
      <c r="D8" s="14">
        <v>1.7163679915940002E-2</v>
      </c>
      <c r="E8" s="14">
        <v>1.7475928047866247E-2</v>
      </c>
      <c r="F8" s="14">
        <v>1.9777774155739249E-2</v>
      </c>
      <c r="G8" s="14">
        <v>2.2775673829547375E-2</v>
      </c>
      <c r="H8" s="14">
        <v>2.5920040644783496E-2</v>
      </c>
      <c r="I8" s="14">
        <v>2.8516948686945674E-2</v>
      </c>
      <c r="J8" s="14">
        <v>3.2383240788646871E-2</v>
      </c>
      <c r="K8" s="14">
        <v>3.4711787737927748E-2</v>
      </c>
      <c r="L8" s="14">
        <v>3.6247208859679143E-2</v>
      </c>
      <c r="M8" s="14">
        <v>3.7995051019414881E-2</v>
      </c>
      <c r="N8" s="14">
        <v>3.639848877597375E-2</v>
      </c>
      <c r="O8" s="14">
        <v>3.11367737441E-2</v>
      </c>
      <c r="P8" s="14">
        <v>2.5197261392374999E-2</v>
      </c>
      <c r="Q8" s="14">
        <v>2.0478679106E-2</v>
      </c>
      <c r="R8" s="14">
        <v>1.7004567976124998E-2</v>
      </c>
      <c r="S8" s="14">
        <v>1.4041167029624999E-2</v>
      </c>
      <c r="T8" s="14">
        <v>1.2635468142624999E-2</v>
      </c>
      <c r="U8" s="14">
        <v>1.166119640675E-2</v>
      </c>
      <c r="V8" s="14">
        <v>9.8105925133750004E-3</v>
      </c>
      <c r="W8" s="14">
        <v>8.0619317728749997E-3</v>
      </c>
      <c r="X8" s="14">
        <v>6.3614389198874983E-3</v>
      </c>
      <c r="Y8" s="14">
        <v>4.2746145784500001E-3</v>
      </c>
      <c r="Z8" s="14">
        <v>2.5090692463775005E-3</v>
      </c>
      <c r="AA8" s="14">
        <v>1.6477921914312497E-3</v>
      </c>
      <c r="AB8" s="14">
        <v>1.0463432465707499E-3</v>
      </c>
      <c r="AC8" s="14">
        <v>4.601140517498175E-4</v>
      </c>
    </row>
    <row r="9" spans="1:29" x14ac:dyDescent="0.25">
      <c r="A9">
        <f t="shared" si="0"/>
        <v>0.13081479500000001</v>
      </c>
      <c r="B9">
        <v>7.0710700000000001E-2</v>
      </c>
      <c r="C9" s="14">
        <v>7.2977983982423968E-3</v>
      </c>
      <c r="D9" s="14">
        <v>7.4437631985154202E-3</v>
      </c>
      <c r="E9" s="14">
        <v>7.5914531210998937E-3</v>
      </c>
      <c r="F9" s="14">
        <v>8.7833084184496361E-3</v>
      </c>
      <c r="G9" s="14">
        <v>1.036615932053659E-2</v>
      </c>
      <c r="H9" s="14">
        <v>1.2078856273283065E-2</v>
      </c>
      <c r="I9" s="14">
        <v>1.3531725169095263E-2</v>
      </c>
      <c r="J9" s="14">
        <v>1.5713136545213193E-2</v>
      </c>
      <c r="K9" s="14">
        <v>1.6964145814493001E-2</v>
      </c>
      <c r="L9" s="14">
        <v>1.7774821249774E-2</v>
      </c>
      <c r="M9" s="14">
        <v>1.8553139426726008E-2</v>
      </c>
      <c r="N9" s="14">
        <v>1.7341224242764894E-2</v>
      </c>
      <c r="O9" s="14">
        <v>1.4283615558109825E-2</v>
      </c>
      <c r="P9" s="14">
        <v>1.1183149417971251E-2</v>
      </c>
      <c r="Q9" s="14">
        <v>8.9474671189499998E-3</v>
      </c>
      <c r="R9" s="14">
        <v>7.3841398717237492E-3</v>
      </c>
      <c r="S9" s="14">
        <v>6.0188710474725002E-3</v>
      </c>
      <c r="T9" s="14">
        <v>5.3765236049575001E-3</v>
      </c>
      <c r="U9" s="14">
        <v>4.9439683660587493E-3</v>
      </c>
      <c r="V9" s="14">
        <v>4.0989910607337494E-3</v>
      </c>
      <c r="W9" s="14">
        <v>3.31330107806125E-3</v>
      </c>
      <c r="X9" s="14">
        <v>2.5485055940987502E-3</v>
      </c>
      <c r="Y9" s="14">
        <v>1.6561986391708753E-3</v>
      </c>
      <c r="Z9" s="14">
        <v>9.3817358328850001E-4</v>
      </c>
      <c r="AA9" s="14">
        <v>5.7175414417221253E-4</v>
      </c>
      <c r="AB9" s="14">
        <v>3.5105291234422255E-4</v>
      </c>
      <c r="AC9" s="14">
        <v>1.5311240579986632E-4</v>
      </c>
    </row>
    <row r="10" spans="1:29" x14ac:dyDescent="0.25">
      <c r="A10">
        <f t="shared" si="0"/>
        <v>0.24036310000000002</v>
      </c>
      <c r="B10">
        <v>0.12992600000000001</v>
      </c>
      <c r="C10" s="14">
        <v>2.8492364654759549E-3</v>
      </c>
      <c r="D10" s="14">
        <v>2.9136820533448102E-3</v>
      </c>
      <c r="E10" s="14">
        <v>2.9789385372928768E-3</v>
      </c>
      <c r="F10" s="14">
        <v>3.5287643157197401E-3</v>
      </c>
      <c r="G10" s="14">
        <v>4.271594895537475E-3</v>
      </c>
      <c r="H10" s="14">
        <v>5.1052198496605895E-3</v>
      </c>
      <c r="I10" s="14">
        <v>5.84265437082984E-3</v>
      </c>
      <c r="J10" s="14">
        <v>6.9724652261593401E-3</v>
      </c>
      <c r="K10" s="14">
        <v>7.6188066936648917E-3</v>
      </c>
      <c r="L10" s="14">
        <v>8.0376973095893402E-3</v>
      </c>
      <c r="M10" s="14">
        <v>8.4762359530079802E-3</v>
      </c>
      <c r="N10" s="14">
        <v>7.7996843795261998E-3</v>
      </c>
      <c r="O10" s="14">
        <v>6.1340252274300813E-3</v>
      </c>
      <c r="P10" s="14">
        <v>4.608611914140576E-3</v>
      </c>
      <c r="Q10" s="14">
        <v>3.6177003795929245E-3</v>
      </c>
      <c r="R10" s="14">
        <v>2.9599230287115749E-3</v>
      </c>
      <c r="S10" s="14">
        <v>2.3738614641126065E-3</v>
      </c>
      <c r="T10" s="14">
        <v>2.0995666974270924E-3</v>
      </c>
      <c r="U10" s="14">
        <v>1.9248926957428274E-3</v>
      </c>
      <c r="V10" s="14">
        <v>1.573404333328214E-3</v>
      </c>
      <c r="W10" s="14">
        <v>1.2525816520441899E-3</v>
      </c>
      <c r="X10" s="14">
        <v>9.2748483603299209E-4</v>
      </c>
      <c r="Y10" s="14">
        <v>5.766760730457817E-4</v>
      </c>
      <c r="Z10" s="14">
        <v>3.191845237099301E-4</v>
      </c>
      <c r="AA10" s="14">
        <v>1.8539034295948602E-4</v>
      </c>
      <c r="AB10" s="14">
        <v>1.1893646460803283E-4</v>
      </c>
      <c r="AC10" s="14">
        <v>5.9649067170549997E-5</v>
      </c>
    </row>
    <row r="11" spans="1:29" x14ac:dyDescent="0.25">
      <c r="A11">
        <f t="shared" si="0"/>
        <v>0.44165235000000003</v>
      </c>
      <c r="B11">
        <v>0.238731</v>
      </c>
      <c r="C11" s="14">
        <v>9.7771603843247075E-4</v>
      </c>
      <c r="D11" s="14">
        <v>1.00357083635751E-3</v>
      </c>
      <c r="E11" s="14">
        <v>1.0298145220518577E-3</v>
      </c>
      <c r="F11" s="14">
        <v>1.2516515168452948E-3</v>
      </c>
      <c r="G11" s="14">
        <v>1.556924014906866E-3</v>
      </c>
      <c r="H11" s="14">
        <v>1.913759327779046E-3</v>
      </c>
      <c r="I11" s="14">
        <v>2.2466507417427842E-3</v>
      </c>
      <c r="J11" s="14">
        <v>2.7706829601295366E-3</v>
      </c>
      <c r="K11" s="14">
        <v>3.0788433750217011E-3</v>
      </c>
      <c r="L11" s="14">
        <v>3.2802747001869697E-3</v>
      </c>
      <c r="M11" s="14">
        <v>3.534613228477001E-3</v>
      </c>
      <c r="N11" s="14">
        <v>3.2322569013168668E-3</v>
      </c>
      <c r="O11" s="14">
        <v>2.431890192395E-3</v>
      </c>
      <c r="P11" s="14">
        <v>1.7540590292239751E-3</v>
      </c>
      <c r="Q11" s="14">
        <v>1.3490578870460261E-3</v>
      </c>
      <c r="R11" s="14">
        <v>1.0894446066947025E-3</v>
      </c>
      <c r="S11" s="14">
        <v>8.5041983586977492E-4</v>
      </c>
      <c r="T11" s="14">
        <v>7.38087256457325E-4</v>
      </c>
      <c r="U11" s="14">
        <v>6.7297180196636253E-4</v>
      </c>
      <c r="V11" s="14">
        <v>5.4495039562879371E-4</v>
      </c>
      <c r="W11" s="14">
        <v>4.3134504448386502E-4</v>
      </c>
      <c r="X11" s="14">
        <v>3.0329428990566562E-4</v>
      </c>
      <c r="Y11" s="14">
        <v>1.8594749393349935E-4</v>
      </c>
      <c r="Z11" s="14">
        <v>1.0758000707867391E-4</v>
      </c>
      <c r="AA11" s="14">
        <v>5.963685175652E-5</v>
      </c>
      <c r="AB11" s="14">
        <v>3.9995406376256998E-5</v>
      </c>
      <c r="AC11" s="14">
        <v>2.5031778224918699E-5</v>
      </c>
    </row>
    <row r="12" spans="1:29" x14ac:dyDescent="0.25">
      <c r="A12">
        <f t="shared" si="0"/>
        <v>0.81150805000000004</v>
      </c>
      <c r="B12">
        <v>0.43865300000000002</v>
      </c>
      <c r="C12" s="14">
        <v>2.8403969463420702E-4</v>
      </c>
      <c r="D12" s="14">
        <v>2.9280109165131515E-4</v>
      </c>
      <c r="E12" s="14">
        <v>3.0174355071678781E-4</v>
      </c>
      <c r="F12" s="14">
        <v>3.7465109561079032E-4</v>
      </c>
      <c r="G12" s="14">
        <v>4.7899714996334008E-4</v>
      </c>
      <c r="H12" s="14">
        <v>6.0875441638846156E-4</v>
      </c>
      <c r="I12" s="14">
        <v>7.3911478230171519E-4</v>
      </c>
      <c r="J12" s="14">
        <v>9.5219125754346693E-4</v>
      </c>
      <c r="K12" s="14">
        <v>1.0849045098567307E-3</v>
      </c>
      <c r="L12" s="14">
        <v>1.1728742363873381E-3</v>
      </c>
      <c r="M12" s="14">
        <v>1.3118263548546377E-3</v>
      </c>
      <c r="N12" s="14">
        <v>1.2015752467326251E-3</v>
      </c>
      <c r="O12" s="14">
        <v>8.6920130406115343E-4</v>
      </c>
      <c r="P12" s="14">
        <v>6.1046407342926247E-4</v>
      </c>
      <c r="Q12" s="14">
        <v>4.6663692491981748E-4</v>
      </c>
      <c r="R12" s="14">
        <v>3.7612470475646053E-4</v>
      </c>
      <c r="S12" s="14">
        <v>2.8280782993743891E-4</v>
      </c>
      <c r="T12" s="14">
        <v>2.3785273635347438E-4</v>
      </c>
      <c r="U12" s="14">
        <v>2.1616059520723039E-4</v>
      </c>
      <c r="V12" s="14">
        <v>1.7620854441816888E-4</v>
      </c>
      <c r="W12" s="14">
        <v>1.4182617764834775E-4</v>
      </c>
      <c r="X12" s="14">
        <v>9.1527539101010232E-5</v>
      </c>
      <c r="Y12" s="14">
        <v>5.6886110641691905E-5</v>
      </c>
      <c r="Z12" s="14">
        <v>3.5484510523874228E-5</v>
      </c>
      <c r="AA12" s="14">
        <v>1.8094118028979256E-5</v>
      </c>
      <c r="AB12" s="14">
        <v>1.2464884302947648E-5</v>
      </c>
      <c r="AC12" s="14">
        <v>9.6693549182040742E-6</v>
      </c>
    </row>
    <row r="13" spans="1:29" x14ac:dyDescent="0.25">
      <c r="A13">
        <f t="shared" si="0"/>
        <v>1.4910944500000001</v>
      </c>
      <c r="B13">
        <v>0.80599699999999996</v>
      </c>
      <c r="C13" s="14">
        <v>6.913113741951301E-5</v>
      </c>
      <c r="D13" s="14">
        <v>7.1502501146962003E-5</v>
      </c>
      <c r="E13" s="14">
        <v>7.3935195401717501E-5</v>
      </c>
      <c r="F13" s="14">
        <v>9.12920453777175E-5</v>
      </c>
      <c r="G13" s="14">
        <v>1.1760375675065538E-4</v>
      </c>
      <c r="H13" s="14">
        <v>1.5388385278363077E-4</v>
      </c>
      <c r="I13" s="14">
        <v>1.9450811612897365E-4</v>
      </c>
      <c r="J13" s="14">
        <v>2.6544781474043775E-4</v>
      </c>
      <c r="K13" s="14">
        <v>3.1461103475779713E-4</v>
      </c>
      <c r="L13" s="14">
        <v>3.479510921383668E-4</v>
      </c>
      <c r="M13" s="14">
        <v>4.1481417453395099E-4</v>
      </c>
      <c r="N13" s="14">
        <v>3.8510029580225653E-4</v>
      </c>
      <c r="O13" s="14">
        <v>2.6983510382797699E-4</v>
      </c>
      <c r="P13" s="14">
        <v>1.8754415857644762E-4</v>
      </c>
      <c r="Q13" s="14">
        <v>1.4714892283540211E-4</v>
      </c>
      <c r="R13" s="14">
        <v>1.2207082350011717E-4</v>
      </c>
      <c r="S13" s="14">
        <v>8.6190223910196523E-5</v>
      </c>
      <c r="T13" s="14">
        <v>6.8481715566091729E-5</v>
      </c>
      <c r="U13" s="14">
        <v>6.26839628251153E-5</v>
      </c>
      <c r="V13" s="14">
        <v>5.2545546523420262E-5</v>
      </c>
      <c r="W13" s="14">
        <v>4.4271433996280052E-5</v>
      </c>
      <c r="X13" s="14">
        <v>2.4311258760074414E-5</v>
      </c>
      <c r="Y13" s="14">
        <v>1.5724124954888403E-5</v>
      </c>
      <c r="Z13" s="14">
        <v>1.1092141272831569E-5</v>
      </c>
      <c r="AA13" s="14">
        <v>4.8981540746380886E-6</v>
      </c>
      <c r="AB13" s="14">
        <v>3.3567494976423503E-6</v>
      </c>
      <c r="AC13" s="14">
        <v>3.1161257738953502E-6</v>
      </c>
    </row>
    <row r="14" spans="1:29" x14ac:dyDescent="0.25">
      <c r="A14">
        <f t="shared" si="0"/>
        <v>2.7397944999999999</v>
      </c>
      <c r="B14">
        <v>1.4809699999999999</v>
      </c>
      <c r="C14" s="14">
        <v>1.4802845531204761E-5</v>
      </c>
      <c r="D14" s="14">
        <v>1.5352823047046008E-5</v>
      </c>
      <c r="E14" s="14">
        <v>1.591734948525445E-5</v>
      </c>
      <c r="F14" s="14">
        <v>1.8770401671223675E-5</v>
      </c>
      <c r="G14" s="14">
        <v>2.3178355226122247E-5</v>
      </c>
      <c r="H14" s="14">
        <v>3.0093230081652005E-5</v>
      </c>
      <c r="I14" s="14">
        <v>3.88255305480665E-5</v>
      </c>
      <c r="J14" s="14">
        <v>5.5737674578716507E-5</v>
      </c>
      <c r="K14" s="14">
        <v>6.950468519438153E-5</v>
      </c>
      <c r="L14" s="14">
        <v>7.9192822331163243E-5</v>
      </c>
      <c r="M14" s="14">
        <v>1.0405582619933759E-4</v>
      </c>
      <c r="N14" s="14">
        <v>9.9438718666965245E-5</v>
      </c>
      <c r="O14" s="14">
        <v>6.7965922188930515E-5</v>
      </c>
      <c r="P14" s="14">
        <v>4.8093686539405155E-5</v>
      </c>
      <c r="Q14" s="14">
        <v>4.1728931305066903E-5</v>
      </c>
      <c r="R14" s="14">
        <v>3.7856046392236005E-5</v>
      </c>
      <c r="S14" s="14">
        <v>2.355444381302325E-5</v>
      </c>
      <c r="T14" s="14">
        <v>1.6841810497417252E-5</v>
      </c>
      <c r="U14" s="14">
        <v>1.5819072812022252E-5</v>
      </c>
      <c r="V14" s="14">
        <v>1.4160905324871375E-5</v>
      </c>
      <c r="W14" s="14">
        <v>1.2964556750221853E-5</v>
      </c>
      <c r="X14" s="14">
        <v>5.4870185339353975E-6</v>
      </c>
      <c r="Y14" s="14">
        <v>3.766594059597147E-6</v>
      </c>
      <c r="Z14" s="14">
        <v>3.100141620092515E-6</v>
      </c>
      <c r="AA14" s="14">
        <v>1.0896123130978226E-6</v>
      </c>
      <c r="AB14" s="14">
        <v>7.204376619423926E-7</v>
      </c>
      <c r="AC14" s="14">
        <v>7.5433344123851134E-7</v>
      </c>
    </row>
    <row r="15" spans="1:29" x14ac:dyDescent="0.25">
      <c r="A15">
        <f t="shared" si="0"/>
        <v>5.0341830000000005</v>
      </c>
      <c r="B15">
        <v>2.7211799999999999</v>
      </c>
      <c r="C15" s="14">
        <v>2.7155729759079806E-6</v>
      </c>
      <c r="D15" s="14">
        <v>2.8359942049685146E-6</v>
      </c>
      <c r="E15" s="14">
        <v>2.9598165783509103E-6</v>
      </c>
      <c r="F15" s="14">
        <v>3.3413775167221617E-6</v>
      </c>
      <c r="G15" s="14">
        <v>3.8723472738328875E-6</v>
      </c>
      <c r="H15" s="14">
        <v>4.7574945964027371E-6</v>
      </c>
      <c r="I15" s="14">
        <v>5.9583269765667402E-6</v>
      </c>
      <c r="J15" s="14">
        <v>8.5529070176691004E-6</v>
      </c>
      <c r="K15" s="14">
        <v>1.1068611514991251E-5</v>
      </c>
      <c r="L15" s="14">
        <v>1.2911251839997748E-5</v>
      </c>
      <c r="M15" s="14">
        <v>1.8974163319380248E-5</v>
      </c>
      <c r="N15" s="14">
        <v>1.8901671770024828E-5</v>
      </c>
      <c r="O15" s="14">
        <v>1.2942785657624074E-5</v>
      </c>
      <c r="P15" s="14">
        <v>1.0017688046663117E-5</v>
      </c>
      <c r="Q15" s="14">
        <v>1.074958001650116E-5</v>
      </c>
      <c r="R15" s="14">
        <v>1.1278981106121818E-5</v>
      </c>
      <c r="S15" s="14">
        <v>5.7200440414152912E-6</v>
      </c>
      <c r="T15" s="14">
        <v>3.4904284249457752E-6</v>
      </c>
      <c r="U15" s="14">
        <v>3.4320176838452324E-6</v>
      </c>
      <c r="V15" s="14">
        <v>3.3813606969133375E-6</v>
      </c>
      <c r="W15" s="14">
        <v>3.4083496804242651E-6</v>
      </c>
      <c r="X15" s="14">
        <v>1.0220495260428906E-6</v>
      </c>
      <c r="Y15" s="14">
        <v>7.2439296048416243E-7</v>
      </c>
      <c r="Z15" s="14">
        <v>6.9553201199566131E-7</v>
      </c>
      <c r="AA15" s="14">
        <v>1.800558410003794E-7</v>
      </c>
      <c r="AB15" s="14">
        <v>1.1318907713349674E-7</v>
      </c>
      <c r="AC15" s="14">
        <v>1.2509962994881005E-7</v>
      </c>
    </row>
    <row r="16" spans="1:29" x14ac:dyDescent="0.25">
      <c r="A16">
        <f t="shared" si="0"/>
        <v>9.25</v>
      </c>
      <c r="B16">
        <v>5</v>
      </c>
      <c r="C16" s="14">
        <v>3.4901867549027744E-7</v>
      </c>
      <c r="D16" s="14">
        <v>3.6971350872335101E-7</v>
      </c>
      <c r="E16" s="14">
        <v>3.9123801111377806E-7</v>
      </c>
      <c r="F16" s="14">
        <v>4.4132181652082998E-7</v>
      </c>
      <c r="G16" s="14">
        <v>5.0103467451755994E-7</v>
      </c>
      <c r="H16" s="14">
        <v>5.8899905225138947E-7</v>
      </c>
      <c r="I16" s="14">
        <v>7.0527890656562253E-7</v>
      </c>
      <c r="J16" s="14">
        <v>9.6800142655811273E-7</v>
      </c>
      <c r="K16" s="14">
        <v>1.2570965227016485E-6</v>
      </c>
      <c r="L16" s="14">
        <v>1.4719394448042942E-6</v>
      </c>
      <c r="M16" s="14">
        <v>2.349118642666577E-6</v>
      </c>
      <c r="N16" s="14">
        <v>2.5067312845318389E-6</v>
      </c>
      <c r="O16" s="14">
        <v>1.877192457253606E-6</v>
      </c>
      <c r="P16" s="14">
        <v>1.7175708899013839E-6</v>
      </c>
      <c r="Q16" s="14">
        <v>2.3845087215249719E-6</v>
      </c>
      <c r="R16" s="14">
        <v>2.8427823667553801E-6</v>
      </c>
      <c r="S16" s="14">
        <v>1.1429335203988965E-6</v>
      </c>
      <c r="T16" s="14">
        <v>5.8409313828626573E-7</v>
      </c>
      <c r="U16" s="14">
        <v>6.036669162455415E-7</v>
      </c>
      <c r="V16" s="14">
        <v>6.5227341040863176E-7</v>
      </c>
      <c r="W16" s="14">
        <v>7.1317965361588708E-7</v>
      </c>
      <c r="X16" s="14">
        <v>1.4516325225549754E-7</v>
      </c>
      <c r="Y16" s="14">
        <v>1.000876857173599E-7</v>
      </c>
      <c r="Z16" s="14">
        <v>1.1267250358923437E-7</v>
      </c>
      <c r="AA16" s="14">
        <v>2.0272250767797278E-8</v>
      </c>
      <c r="AB16" s="14">
        <v>1.2098331825780325E-8</v>
      </c>
      <c r="AC16" s="14">
        <v>1.3387669962E-8</v>
      </c>
    </row>
    <row r="19" spans="1:29" x14ac:dyDescent="0.25">
      <c r="B19" s="45" t="s">
        <v>84</v>
      </c>
      <c r="C19" s="45">
        <v>1.85</v>
      </c>
    </row>
    <row r="20" spans="1:29" x14ac:dyDescent="0.25">
      <c r="B20" s="46" t="s">
        <v>86</v>
      </c>
      <c r="C20" s="46"/>
    </row>
    <row r="21" spans="1:29" s="90" customFormat="1" ht="33" customHeight="1" x14ac:dyDescent="0.25">
      <c r="A21" s="87" t="s">
        <v>100</v>
      </c>
      <c r="B21" s="89" t="s">
        <v>62</v>
      </c>
      <c r="C21" s="91" t="str">
        <f>"ln(λ_im("&amp;C1&amp;"))"</f>
        <v>ln(λ_im(T=0.01s))</v>
      </c>
      <c r="D21" s="91" t="str">
        <f t="shared" ref="D21:AC21" si="1">"ln(λ_im("&amp;D1&amp;"))"</f>
        <v>ln(λ_im(T=0.015s))</v>
      </c>
      <c r="E21" s="91" t="str">
        <f t="shared" si="1"/>
        <v>ln(λ_im(T=0.02s))</v>
      </c>
      <c r="F21" s="91" t="str">
        <f t="shared" si="1"/>
        <v>ln(λ_im(T=0.03s))</v>
      </c>
      <c r="G21" s="91" t="str">
        <f t="shared" si="1"/>
        <v>ln(λ_im(T=0.04s))</v>
      </c>
      <c r="H21" s="91" t="str">
        <f t="shared" si="1"/>
        <v>ln(λ_im(T=0.05s))</v>
      </c>
      <c r="I21" s="91" t="str">
        <f t="shared" si="1"/>
        <v>ln(λ_im(T=0.06s))</v>
      </c>
      <c r="J21" s="91" t="str">
        <f t="shared" si="1"/>
        <v>ln(λ_im(T=0.075s))</v>
      </c>
      <c r="K21" s="91" t="str">
        <f t="shared" si="1"/>
        <v>ln(λ_im(T=0.09s))</v>
      </c>
      <c r="L21" s="91" t="str">
        <f t="shared" si="1"/>
        <v>ln(λ_im(T=0.1s))</v>
      </c>
      <c r="M21" s="91" t="str">
        <f t="shared" si="1"/>
        <v>ln(λ_im(T=0.15s))</v>
      </c>
      <c r="N21" s="91" t="str">
        <f t="shared" si="1"/>
        <v>ln(λ_im(T=0.2s))</v>
      </c>
      <c r="O21" s="91" t="str">
        <f t="shared" si="1"/>
        <v>ln(λ_im(T=0.3s))</v>
      </c>
      <c r="P21" s="91" t="str">
        <f t="shared" si="1"/>
        <v>ln(λ_im(T=0.4s))</v>
      </c>
      <c r="Q21" s="91" t="str">
        <f t="shared" si="1"/>
        <v>ln(λ_im(T=0.5s))</v>
      </c>
      <c r="R21" s="91" t="str">
        <f t="shared" si="1"/>
        <v>ln(λ_im(T=0.6s))</v>
      </c>
      <c r="S21" s="91" t="str">
        <f t="shared" si="1"/>
        <v>ln(λ_im(T=0.7s))</v>
      </c>
      <c r="T21" s="91" t="str">
        <f t="shared" si="1"/>
        <v>ln(λ_im(T=0.75s))</v>
      </c>
      <c r="U21" s="91" t="str">
        <f t="shared" si="1"/>
        <v>ln(λ_im(T=0.8s))</v>
      </c>
      <c r="V21" s="91" t="str">
        <f t="shared" si="1"/>
        <v>ln(λ_im(T=0.9s))</v>
      </c>
      <c r="W21" s="91" t="str">
        <f t="shared" si="1"/>
        <v>ln(λ_im(T=1s))</v>
      </c>
      <c r="X21" s="91" t="str">
        <f t="shared" si="1"/>
        <v>ln(λ_im(T=1.2s))</v>
      </c>
      <c r="Y21" s="91" t="str">
        <f t="shared" si="1"/>
        <v>ln(λ_im(T=1.5s))</v>
      </c>
      <c r="Z21" s="91" t="str">
        <f t="shared" si="1"/>
        <v>ln(λ_im(T=2s))</v>
      </c>
      <c r="AA21" s="91" t="str">
        <f t="shared" si="1"/>
        <v>ln(λ_im(T=2.5s))</v>
      </c>
      <c r="AB21" s="91" t="str">
        <f t="shared" si="1"/>
        <v>ln(λ_im(T=3s))</v>
      </c>
      <c r="AC21" s="91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14">
        <f>LN(C2)</f>
        <v>-0.46369366091467695</v>
      </c>
      <c r="D22" s="14">
        <f t="shared" ref="D22:AC22" si="2">LN(D2)</f>
        <v>-0.45832890122824255</v>
      </c>
      <c r="E22" s="14">
        <f t="shared" si="2"/>
        <v>-0.45319341388881684</v>
      </c>
      <c r="F22" s="14">
        <f t="shared" si="2"/>
        <v>-0.42188510272676405</v>
      </c>
      <c r="G22" s="14">
        <f t="shared" si="2"/>
        <v>-0.39247628493396819</v>
      </c>
      <c r="H22" s="14">
        <f t="shared" si="2"/>
        <v>-0.31489577709409827</v>
      </c>
      <c r="I22" s="14">
        <f t="shared" si="2"/>
        <v>-0.2624878503714142</v>
      </c>
      <c r="J22" s="14">
        <f t="shared" si="2"/>
        <v>-0.20657235872403076</v>
      </c>
      <c r="K22" s="14">
        <f t="shared" si="2"/>
        <v>-0.17535250755772511</v>
      </c>
      <c r="L22" s="14">
        <f t="shared" si="2"/>
        <v>-0.15839942192093356</v>
      </c>
      <c r="M22" s="14">
        <f t="shared" si="2"/>
        <v>-0.11569778128004221</v>
      </c>
      <c r="N22" s="14">
        <f t="shared" si="2"/>
        <v>-8.6538966411262366E-2</v>
      </c>
      <c r="O22" s="14">
        <f t="shared" si="2"/>
        <v>-7.2143682941269216E-2</v>
      </c>
      <c r="P22" s="14">
        <f t="shared" si="2"/>
        <v>-0.14508779969647562</v>
      </c>
      <c r="Q22" s="14">
        <f t="shared" si="2"/>
        <v>-0.26065152861227947</v>
      </c>
      <c r="R22" s="14">
        <f t="shared" si="2"/>
        <v>-0.40611108908395521</v>
      </c>
      <c r="S22" s="14">
        <f t="shared" si="2"/>
        <v>-0.54219328414711121</v>
      </c>
      <c r="T22" s="14">
        <f t="shared" si="2"/>
        <v>-0.62335482407964016</v>
      </c>
      <c r="U22" s="14">
        <f t="shared" si="2"/>
        <v>-0.6882988880470805</v>
      </c>
      <c r="V22" s="14">
        <f t="shared" si="2"/>
        <v>-0.79564453675129487</v>
      </c>
      <c r="W22" s="14">
        <f t="shared" si="2"/>
        <v>-0.92337588678562066</v>
      </c>
      <c r="X22" s="14">
        <f t="shared" si="2"/>
        <v>-1.0772872076576563</v>
      </c>
      <c r="Y22" s="14">
        <f t="shared" si="2"/>
        <v>-1.3587369162781029</v>
      </c>
      <c r="Z22" s="14">
        <f t="shared" si="2"/>
        <v>-1.7175512285728161</v>
      </c>
      <c r="AA22" s="14">
        <f t="shared" si="2"/>
        <v>-1.9429823180635244</v>
      </c>
      <c r="AB22" s="14">
        <f t="shared" si="2"/>
        <v>-2.2134524497106396</v>
      </c>
      <c r="AC22" s="14">
        <f t="shared" si="2"/>
        <v>-2.8061216144304462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14">
        <f t="shared" ref="C23:R36" si="4">LN(C3)</f>
        <v>-0.9377317668274423</v>
      </c>
      <c r="D23" s="14">
        <f t="shared" si="4"/>
        <v>-0.92886258739614402</v>
      </c>
      <c r="E23" s="14">
        <f t="shared" si="4"/>
        <v>-0.92025321992080256</v>
      </c>
      <c r="F23" s="14">
        <f t="shared" si="4"/>
        <v>-0.87823478868913718</v>
      </c>
      <c r="G23" s="14">
        <f t="shared" si="4"/>
        <v>-0.83361758160019039</v>
      </c>
      <c r="H23" s="14">
        <f t="shared" si="4"/>
        <v>-0.73656943788729889</v>
      </c>
      <c r="I23" s="14">
        <f t="shared" si="4"/>
        <v>-0.65721139572689191</v>
      </c>
      <c r="J23" s="14">
        <f t="shared" si="4"/>
        <v>-0.55063797372181444</v>
      </c>
      <c r="K23" s="14">
        <f t="shared" si="4"/>
        <v>-0.480578331807958</v>
      </c>
      <c r="L23" s="14">
        <f t="shared" si="4"/>
        <v>-0.44550211409380452</v>
      </c>
      <c r="M23" s="14">
        <f t="shared" si="4"/>
        <v>-0.38715392209016058</v>
      </c>
      <c r="N23" s="14">
        <f t="shared" si="4"/>
        <v>-0.3758074028936027</v>
      </c>
      <c r="O23" s="14">
        <f t="shared" si="4"/>
        <v>-0.40941216863795121</v>
      </c>
      <c r="P23" s="14">
        <f t="shared" si="4"/>
        <v>-0.53144404333021378</v>
      </c>
      <c r="Q23" s="14">
        <f t="shared" si="4"/>
        <v>-0.67891666190235056</v>
      </c>
      <c r="R23" s="14">
        <f t="shared" si="4"/>
        <v>-0.85057801755878826</v>
      </c>
      <c r="S23" s="14">
        <f t="shared" ref="S23:AC23" si="5">LN(S3)</f>
        <v>-0.99969101931645254</v>
      </c>
      <c r="T23" s="14">
        <f t="shared" si="5"/>
        <v>-1.0861542333750127</v>
      </c>
      <c r="U23" s="14">
        <f t="shared" si="5"/>
        <v>-1.1529112439533049</v>
      </c>
      <c r="V23" s="14">
        <f t="shared" si="5"/>
        <v>-1.273886070764259</v>
      </c>
      <c r="W23" s="14">
        <f t="shared" si="5"/>
        <v>-1.415211834903501</v>
      </c>
      <c r="X23" s="14">
        <f t="shared" si="5"/>
        <v>-1.5811269938153607</v>
      </c>
      <c r="Y23" s="14">
        <f t="shared" si="5"/>
        <v>-1.8654354872258689</v>
      </c>
      <c r="Z23" s="14">
        <f t="shared" si="5"/>
        <v>-2.2490128298795615</v>
      </c>
      <c r="AA23" s="14">
        <f t="shared" si="5"/>
        <v>-2.5008567612024373</v>
      </c>
      <c r="AB23" s="14">
        <f t="shared" si="5"/>
        <v>-2.7878347673939752</v>
      </c>
      <c r="AC23" s="14">
        <f t="shared" si="5"/>
        <v>-3.4376446381075589</v>
      </c>
    </row>
    <row r="24" spans="1:29" x14ac:dyDescent="0.25">
      <c r="A24">
        <f t="shared" si="3"/>
        <v>-5.0758277089757486</v>
      </c>
      <c r="B24">
        <v>3.37617E-3</v>
      </c>
      <c r="C24" s="14">
        <f t="shared" si="4"/>
        <v>-1.4682960424883902</v>
      </c>
      <c r="D24" s="14">
        <f t="shared" si="4"/>
        <v>-1.4557761632032142</v>
      </c>
      <c r="E24" s="14">
        <f t="shared" si="4"/>
        <v>-1.4435234031480686</v>
      </c>
      <c r="F24" s="14">
        <f t="shared" si="4"/>
        <v>-1.3872274582696642</v>
      </c>
      <c r="G24" s="14">
        <f t="shared" si="4"/>
        <v>-1.3248843976943327</v>
      </c>
      <c r="H24" s="14">
        <f t="shared" si="4"/>
        <v>-1.2337643820617605</v>
      </c>
      <c r="I24" s="14">
        <f t="shared" si="4"/>
        <v>-1.1540047379652749</v>
      </c>
      <c r="J24" s="14">
        <f t="shared" si="4"/>
        <v>-1.0354256252965985</v>
      </c>
      <c r="K24" s="14">
        <f t="shared" si="4"/>
        <v>-0.94164888192217511</v>
      </c>
      <c r="L24" s="14">
        <f t="shared" si="4"/>
        <v>-0.88688664472537337</v>
      </c>
      <c r="M24" s="14">
        <f t="shared" si="4"/>
        <v>-0.78993136111982554</v>
      </c>
      <c r="N24" s="14">
        <f t="shared" si="4"/>
        <v>-0.79063900814811627</v>
      </c>
      <c r="O24" s="14">
        <f t="shared" si="4"/>
        <v>-0.86778438958548554</v>
      </c>
      <c r="P24" s="14">
        <f t="shared" si="4"/>
        <v>-1.0211719825366878</v>
      </c>
      <c r="Q24" s="14">
        <f t="shared" si="4"/>
        <v>-1.1905711058544377</v>
      </c>
      <c r="R24" s="14">
        <f t="shared" si="4"/>
        <v>-1.3707574695433564</v>
      </c>
      <c r="S24" s="14">
        <f t="shared" ref="S24:AC24" si="6">LN(S4)</f>
        <v>-1.5307846592208763</v>
      </c>
      <c r="T24" s="14">
        <f t="shared" si="6"/>
        <v>-1.6224266096573006</v>
      </c>
      <c r="U24" s="14">
        <f t="shared" si="6"/>
        <v>-1.6919476022844504</v>
      </c>
      <c r="V24" s="14">
        <f t="shared" si="6"/>
        <v>-1.8194374320340418</v>
      </c>
      <c r="W24" s="14">
        <f t="shared" si="6"/>
        <v>-1.9644266532769539</v>
      </c>
      <c r="X24" s="14">
        <f t="shared" si="6"/>
        <v>-2.1383957745791986</v>
      </c>
      <c r="Y24" s="14">
        <f t="shared" si="6"/>
        <v>-2.4390956818771343</v>
      </c>
      <c r="Z24" s="14">
        <f t="shared" si="6"/>
        <v>-2.8441239481297917</v>
      </c>
      <c r="AA24" s="14">
        <f t="shared" si="6"/>
        <v>-3.1211660681141722</v>
      </c>
      <c r="AB24" s="14">
        <f t="shared" si="6"/>
        <v>-3.4398083627438223</v>
      </c>
      <c r="AC24" s="14">
        <f t="shared" si="6"/>
        <v>-4.1444579932906223</v>
      </c>
    </row>
    <row r="25" spans="1:29" x14ac:dyDescent="0.25">
      <c r="A25">
        <f t="shared" si="3"/>
        <v>-4.4674576029856432</v>
      </c>
      <c r="B25">
        <v>6.2034899999999999E-3</v>
      </c>
      <c r="C25" s="14">
        <f t="shared" si="4"/>
        <v>-2.0385683669493102</v>
      </c>
      <c r="D25" s="14">
        <f t="shared" si="4"/>
        <v>-2.0234928606644429</v>
      </c>
      <c r="E25" s="14">
        <f t="shared" si="4"/>
        <v>-2.0086241434066205</v>
      </c>
      <c r="F25" s="14">
        <f t="shared" si="4"/>
        <v>-1.9374652946703046</v>
      </c>
      <c r="G25" s="14">
        <f t="shared" si="4"/>
        <v>-1.8571638878346579</v>
      </c>
      <c r="H25" s="14">
        <f t="shared" si="4"/>
        <v>-1.7692551342154705</v>
      </c>
      <c r="I25" s="14">
        <f t="shared" si="4"/>
        <v>-1.6961443106731138</v>
      </c>
      <c r="J25" s="14">
        <f t="shared" si="4"/>
        <v>-1.585724666620506</v>
      </c>
      <c r="K25" s="14">
        <f t="shared" si="4"/>
        <v>-1.4973037383017229</v>
      </c>
      <c r="L25" s="14">
        <f t="shared" si="4"/>
        <v>-1.4411737528224138</v>
      </c>
      <c r="M25" s="14">
        <f t="shared" si="4"/>
        <v>-1.3288248281186386</v>
      </c>
      <c r="N25" s="14">
        <f t="shared" si="4"/>
        <v>-1.3276353053398253</v>
      </c>
      <c r="O25" s="14">
        <f t="shared" si="4"/>
        <v>-1.4294812082427804</v>
      </c>
      <c r="P25" s="14">
        <f t="shared" si="4"/>
        <v>-1.5962918293322015</v>
      </c>
      <c r="Q25" s="14">
        <f t="shared" si="4"/>
        <v>-1.7785129158012829</v>
      </c>
      <c r="R25" s="14">
        <f t="shared" si="4"/>
        <v>-1.9616039592444885</v>
      </c>
      <c r="S25" s="14">
        <f t="shared" ref="S25:AC25" si="7">LN(S5)</f>
        <v>-2.125435135584679</v>
      </c>
      <c r="T25" s="14">
        <f t="shared" si="7"/>
        <v>-2.2180538686460864</v>
      </c>
      <c r="U25" s="14">
        <f t="shared" si="7"/>
        <v>-2.2888351567480694</v>
      </c>
      <c r="V25" s="14">
        <f t="shared" si="7"/>
        <v>-2.4239986605003905</v>
      </c>
      <c r="W25" s="14">
        <f t="shared" si="7"/>
        <v>-2.5768313346579625</v>
      </c>
      <c r="X25" s="14">
        <f t="shared" si="7"/>
        <v>-2.7610501104025991</v>
      </c>
      <c r="Y25" s="14">
        <f t="shared" si="7"/>
        <v>-3.0761297251208695</v>
      </c>
      <c r="Z25" s="14">
        <f t="shared" si="7"/>
        <v>-3.5169824271231187</v>
      </c>
      <c r="AA25" s="14">
        <f t="shared" si="7"/>
        <v>-3.8188819133833283</v>
      </c>
      <c r="AB25" s="14">
        <f t="shared" si="7"/>
        <v>-4.1612544424905584</v>
      </c>
      <c r="AC25" s="14">
        <f t="shared" si="7"/>
        <v>-4.9072740387349825</v>
      </c>
    </row>
    <row r="26" spans="1:29" x14ac:dyDescent="0.25">
      <c r="A26">
        <f t="shared" si="3"/>
        <v>-3.8590878720960915</v>
      </c>
      <c r="B26">
        <v>1.1398500000000001E-2</v>
      </c>
      <c r="C26" s="14">
        <f t="shared" si="4"/>
        <v>-2.6573692611656949</v>
      </c>
      <c r="D26" s="14">
        <f t="shared" si="4"/>
        <v>-2.6410344653681621</v>
      </c>
      <c r="E26" s="14">
        <f t="shared" si="4"/>
        <v>-2.6248343194649197</v>
      </c>
      <c r="F26" s="14">
        <f t="shared" si="4"/>
        <v>-2.5382465010135165</v>
      </c>
      <c r="G26" s="14">
        <f t="shared" si="4"/>
        <v>-2.4397056512601893</v>
      </c>
      <c r="H26" s="14">
        <f t="shared" si="4"/>
        <v>-2.3450643374269435</v>
      </c>
      <c r="I26" s="14">
        <f t="shared" si="4"/>
        <v>-2.2711910750693614</v>
      </c>
      <c r="J26" s="14">
        <f t="shared" si="4"/>
        <v>-2.1648709008855862</v>
      </c>
      <c r="K26" s="14">
        <f t="shared" si="4"/>
        <v>-2.0883698470964998</v>
      </c>
      <c r="L26" s="14">
        <f t="shared" si="4"/>
        <v>-2.0383990017179947</v>
      </c>
      <c r="M26" s="14">
        <f t="shared" si="4"/>
        <v>-1.9451770484692259</v>
      </c>
      <c r="N26" s="14">
        <f t="shared" si="4"/>
        <v>-1.9480942827108774</v>
      </c>
      <c r="O26" s="14">
        <f t="shared" si="4"/>
        <v>-2.0624716866814534</v>
      </c>
      <c r="P26" s="14">
        <f t="shared" si="4"/>
        <v>-2.2375740238373787</v>
      </c>
      <c r="Q26" s="14">
        <f t="shared" si="4"/>
        <v>-2.42589451104155</v>
      </c>
      <c r="R26" s="14">
        <f t="shared" si="4"/>
        <v>-2.6067281704459937</v>
      </c>
      <c r="S26" s="14">
        <f t="shared" ref="S26:AC26" si="8">LN(S6)</f>
        <v>-2.776476423165275</v>
      </c>
      <c r="T26" s="14">
        <f t="shared" si="8"/>
        <v>-2.8711087422376904</v>
      </c>
      <c r="U26" s="14">
        <f t="shared" si="8"/>
        <v>-2.9433852940726064</v>
      </c>
      <c r="V26" s="14">
        <f t="shared" si="8"/>
        <v>-3.0886055126268857</v>
      </c>
      <c r="W26" s="14">
        <f t="shared" si="8"/>
        <v>-3.2536671808583844</v>
      </c>
      <c r="X26" s="14">
        <f t="shared" si="8"/>
        <v>-3.4542558361337901</v>
      </c>
      <c r="Y26" s="14">
        <f t="shared" si="8"/>
        <v>-3.7918662531563898</v>
      </c>
      <c r="Z26" s="14">
        <f t="shared" si="8"/>
        <v>-4.2626674017803818</v>
      </c>
      <c r="AA26" s="14">
        <f t="shared" si="8"/>
        <v>-4.6003668879040545</v>
      </c>
      <c r="AB26" s="14">
        <f t="shared" si="8"/>
        <v>-4.9730100999577225</v>
      </c>
      <c r="AC26" s="14">
        <f t="shared" si="8"/>
        <v>-5.7578176325996981</v>
      </c>
    </row>
    <row r="27" spans="1:29" x14ac:dyDescent="0.25">
      <c r="A27">
        <f t="shared" si="3"/>
        <v>-3.2507126560986306</v>
      </c>
      <c r="B27">
        <v>2.09441E-2</v>
      </c>
      <c r="C27" s="14">
        <f t="shared" si="4"/>
        <v>-3.3340742940885648</v>
      </c>
      <c r="D27" s="14">
        <f t="shared" si="4"/>
        <v>-3.3169572156951839</v>
      </c>
      <c r="E27" s="14">
        <f t="shared" si="4"/>
        <v>-3.2999556514111625</v>
      </c>
      <c r="F27" s="14">
        <f t="shared" si="4"/>
        <v>-3.196190759800805</v>
      </c>
      <c r="G27" s="14">
        <f t="shared" si="4"/>
        <v>-3.0776812411394587</v>
      </c>
      <c r="H27" s="14">
        <f t="shared" si="4"/>
        <v>-2.9685399091864051</v>
      </c>
      <c r="I27" s="14">
        <f t="shared" si="4"/>
        <v>-2.8868647254663973</v>
      </c>
      <c r="J27" s="14">
        <f t="shared" si="4"/>
        <v>-2.7749046111846312</v>
      </c>
      <c r="K27" s="14">
        <f t="shared" si="4"/>
        <v>-2.7056351073893805</v>
      </c>
      <c r="L27" s="14">
        <f t="shared" si="4"/>
        <v>-2.6609890549803348</v>
      </c>
      <c r="M27" s="14">
        <f t="shared" si="4"/>
        <v>-2.5947192897853517</v>
      </c>
      <c r="N27" s="14">
        <f t="shared" si="4"/>
        <v>-2.6136292250456794</v>
      </c>
      <c r="O27" s="14">
        <f t="shared" si="4"/>
        <v>-2.7432877413089649</v>
      </c>
      <c r="P27" s="14">
        <f t="shared" si="4"/>
        <v>-2.9312846731589604</v>
      </c>
      <c r="Q27" s="14">
        <f t="shared" si="4"/>
        <v>-3.126703693734445</v>
      </c>
      <c r="R27" s="14">
        <f t="shared" si="4"/>
        <v>-3.3087326024004189</v>
      </c>
      <c r="S27" s="14">
        <f t="shared" ref="S27:AC27" si="9">LN(S7)</f>
        <v>-3.4887569165901726</v>
      </c>
      <c r="T27" s="14">
        <f t="shared" si="9"/>
        <v>-3.5881950618847194</v>
      </c>
      <c r="U27" s="14">
        <f t="shared" si="9"/>
        <v>-3.6642021027619682</v>
      </c>
      <c r="V27" s="14">
        <f t="shared" si="9"/>
        <v>-3.8222902053873482</v>
      </c>
      <c r="W27" s="14">
        <f t="shared" si="9"/>
        <v>-4.0020262952285401</v>
      </c>
      <c r="X27" s="14">
        <f t="shared" si="9"/>
        <v>-4.2195048495501837</v>
      </c>
      <c r="Y27" s="14">
        <f t="shared" si="9"/>
        <v>-4.5869273248380589</v>
      </c>
      <c r="Z27" s="14">
        <f t="shared" si="9"/>
        <v>-5.0860668684375057</v>
      </c>
      <c r="AA27" s="14">
        <f t="shared" si="9"/>
        <v>-5.4592425606816715</v>
      </c>
      <c r="AB27" s="14">
        <f t="shared" si="9"/>
        <v>-5.8730826313671916</v>
      </c>
      <c r="AC27" s="14">
        <f t="shared" si="9"/>
        <v>-6.6855213929228281</v>
      </c>
    </row>
    <row r="28" spans="1:29" x14ac:dyDescent="0.25">
      <c r="A28">
        <f t="shared" si="3"/>
        <v>-2.6423452589357179</v>
      </c>
      <c r="B28">
        <v>3.8483299999999998E-2</v>
      </c>
      <c r="C28" s="14">
        <f t="shared" si="4"/>
        <v>-4.0831160638422128</v>
      </c>
      <c r="D28" s="14">
        <f t="shared" si="4"/>
        <v>-4.0649597605970085</v>
      </c>
      <c r="E28" s="14">
        <f t="shared" si="4"/>
        <v>-4.046930885098365</v>
      </c>
      <c r="F28" s="14">
        <f t="shared" si="4"/>
        <v>-3.9231964891630677</v>
      </c>
      <c r="G28" s="14">
        <f t="shared" si="4"/>
        <v>-3.7820622499050729</v>
      </c>
      <c r="H28" s="14">
        <f t="shared" si="4"/>
        <v>-3.6527388394135096</v>
      </c>
      <c r="I28" s="14">
        <f t="shared" si="4"/>
        <v>-3.5572566776959902</v>
      </c>
      <c r="J28" s="14">
        <f t="shared" si="4"/>
        <v>-3.4301142496184198</v>
      </c>
      <c r="K28" s="14">
        <f t="shared" si="4"/>
        <v>-3.3606759454527055</v>
      </c>
      <c r="L28" s="14">
        <f t="shared" si="4"/>
        <v>-3.3173928976202411</v>
      </c>
      <c r="M28" s="14">
        <f t="shared" si="4"/>
        <v>-3.2702993640684261</v>
      </c>
      <c r="N28" s="14">
        <f t="shared" si="4"/>
        <v>-3.3132280223448807</v>
      </c>
      <c r="O28" s="14">
        <f t="shared" si="4"/>
        <v>-3.4693657228216113</v>
      </c>
      <c r="P28" s="14">
        <f t="shared" si="4"/>
        <v>-3.6810199652760587</v>
      </c>
      <c r="Q28" s="14">
        <f t="shared" si="4"/>
        <v>-3.8883709776681803</v>
      </c>
      <c r="R28" s="14">
        <f t="shared" si="4"/>
        <v>-4.0742732665425621</v>
      </c>
      <c r="S28" s="14">
        <f t="shared" ref="S28:AC28" si="10">LN(S8)</f>
        <v>-4.2657617620707322</v>
      </c>
      <c r="T28" s="14">
        <f t="shared" si="10"/>
        <v>-4.3712474875719298</v>
      </c>
      <c r="U28" s="14">
        <f t="shared" si="10"/>
        <v>-4.4514884955405902</v>
      </c>
      <c r="V28" s="14">
        <f t="shared" si="10"/>
        <v>-4.6242926083118849</v>
      </c>
      <c r="W28" s="14">
        <f t="shared" si="10"/>
        <v>-4.8206020771268676</v>
      </c>
      <c r="X28" s="14">
        <f t="shared" si="10"/>
        <v>-5.0575006819543766</v>
      </c>
      <c r="Y28" s="14">
        <f t="shared" si="10"/>
        <v>-5.4550613377455273</v>
      </c>
      <c r="Z28" s="14">
        <f t="shared" si="10"/>
        <v>-5.9878434127848008</v>
      </c>
      <c r="AA28" s="14">
        <f t="shared" si="10"/>
        <v>-6.4083189528783011</v>
      </c>
      <c r="AB28" s="14">
        <f t="shared" si="10"/>
        <v>-6.8624538155720902</v>
      </c>
      <c r="AC28" s="14">
        <f t="shared" si="10"/>
        <v>-7.684036160626265</v>
      </c>
    </row>
    <row r="29" spans="1:29" x14ac:dyDescent="0.25">
      <c r="A29">
        <f t="shared" si="3"/>
        <v>-2.0339727347348804</v>
      </c>
      <c r="B29">
        <v>7.0710700000000001E-2</v>
      </c>
      <c r="C29" s="14">
        <f t="shared" si="4"/>
        <v>-4.9201825655968481</v>
      </c>
      <c r="D29" s="14">
        <f t="shared" si="4"/>
        <v>-4.9003787517619273</v>
      </c>
      <c r="E29" s="14">
        <f t="shared" si="4"/>
        <v>-4.8807322538438829</v>
      </c>
      <c r="F29" s="14">
        <f t="shared" si="4"/>
        <v>-4.7349021292760485</v>
      </c>
      <c r="G29" s="14">
        <f t="shared" si="4"/>
        <v>-4.5692086898038307</v>
      </c>
      <c r="H29" s="14">
        <f t="shared" si="4"/>
        <v>-4.416298770321827</v>
      </c>
      <c r="I29" s="14">
        <f t="shared" si="4"/>
        <v>-4.3027183379731966</v>
      </c>
      <c r="J29" s="14">
        <f t="shared" si="4"/>
        <v>-4.1532581938600641</v>
      </c>
      <c r="K29" s="14">
        <f t="shared" si="4"/>
        <v>-4.0766532318813269</v>
      </c>
      <c r="L29" s="14">
        <f t="shared" si="4"/>
        <v>-4.0299723596149022</v>
      </c>
      <c r="M29" s="14">
        <f t="shared" si="4"/>
        <v>-3.9871162629154533</v>
      </c>
      <c r="N29" s="14">
        <f t="shared" si="4"/>
        <v>-4.0546687078863854</v>
      </c>
      <c r="O29" s="14">
        <f t="shared" si="4"/>
        <v>-4.2486421637741394</v>
      </c>
      <c r="P29" s="14">
        <f t="shared" si="4"/>
        <v>-4.4933471498547064</v>
      </c>
      <c r="Q29" s="14">
        <f t="shared" si="4"/>
        <v>-4.7163847902176856</v>
      </c>
      <c r="R29" s="14">
        <f t="shared" si="4"/>
        <v>-4.9084208394198576</v>
      </c>
      <c r="S29" s="14">
        <f t="shared" ref="S29:AC29" si="11">LN(S9)</f>
        <v>-5.1128555708904813</v>
      </c>
      <c r="T29" s="14">
        <f t="shared" si="11"/>
        <v>-5.2257132837485569</v>
      </c>
      <c r="U29" s="14">
        <f t="shared" si="11"/>
        <v>-5.3095869572981176</v>
      </c>
      <c r="V29" s="14">
        <f t="shared" si="11"/>
        <v>-5.4970144183030687</v>
      </c>
      <c r="W29" s="14">
        <f t="shared" si="11"/>
        <v>-5.7098102820207242</v>
      </c>
      <c r="X29" s="14">
        <f t="shared" si="11"/>
        <v>-5.9722481331311617</v>
      </c>
      <c r="Y29" s="14">
        <f t="shared" si="11"/>
        <v>-6.4032302790224955</v>
      </c>
      <c r="Z29" s="14">
        <f t="shared" si="11"/>
        <v>-6.9715755692681816</v>
      </c>
      <c r="AA29" s="14">
        <f t="shared" si="11"/>
        <v>-7.4668014768634059</v>
      </c>
      <c r="AB29" s="14">
        <f t="shared" si="11"/>
        <v>-7.9545735984402217</v>
      </c>
      <c r="AC29" s="14">
        <f t="shared" si="11"/>
        <v>-8.7843382278854296</v>
      </c>
    </row>
    <row r="30" spans="1:29" x14ac:dyDescent="0.25">
      <c r="A30">
        <f t="shared" si="3"/>
        <v>-1.4256045822788939</v>
      </c>
      <c r="B30">
        <v>0.12992600000000001</v>
      </c>
      <c r="C30" s="14">
        <f t="shared" si="4"/>
        <v>-5.860704227445571</v>
      </c>
      <c r="D30" s="14">
        <f t="shared" si="4"/>
        <v>-5.8383376872015873</v>
      </c>
      <c r="E30" s="14">
        <f t="shared" si="4"/>
        <v>-5.8161882374568261</v>
      </c>
      <c r="F30" s="14">
        <f t="shared" si="4"/>
        <v>-5.646807521523546</v>
      </c>
      <c r="G30" s="14">
        <f t="shared" si="4"/>
        <v>-5.4557680096443102</v>
      </c>
      <c r="H30" s="14">
        <f t="shared" si="4"/>
        <v>-5.2774917627373492</v>
      </c>
      <c r="I30" s="14">
        <f t="shared" si="4"/>
        <v>-5.1425700698498522</v>
      </c>
      <c r="J30" s="14">
        <f t="shared" si="4"/>
        <v>-4.9657864257594921</v>
      </c>
      <c r="K30" s="14">
        <f t="shared" si="4"/>
        <v>-4.8771355234281852</v>
      </c>
      <c r="L30" s="14">
        <f t="shared" si="4"/>
        <v>-4.8236126410927334</v>
      </c>
      <c r="M30" s="14">
        <f t="shared" si="4"/>
        <v>-4.770488801185353</v>
      </c>
      <c r="N30" s="14">
        <f t="shared" si="4"/>
        <v>-4.8536720102685953</v>
      </c>
      <c r="O30" s="14">
        <f t="shared" si="4"/>
        <v>-5.0939041005776211</v>
      </c>
      <c r="P30" s="14">
        <f t="shared" si="4"/>
        <v>-5.3798285705375593</v>
      </c>
      <c r="Q30" s="14">
        <f t="shared" si="4"/>
        <v>-5.6219167092600335</v>
      </c>
      <c r="R30" s="14">
        <f t="shared" si="4"/>
        <v>-5.8225920147979302</v>
      </c>
      <c r="S30" s="14">
        <f t="shared" ref="S30:AC30" si="12">LN(S10)</f>
        <v>-6.043237339968087</v>
      </c>
      <c r="T30" s="14">
        <f t="shared" si="12"/>
        <v>-6.1660242901011912</v>
      </c>
      <c r="U30" s="14">
        <f t="shared" si="12"/>
        <v>-6.252885055267317</v>
      </c>
      <c r="V30" s="14">
        <f t="shared" si="12"/>
        <v>-6.4545136419555904</v>
      </c>
      <c r="W30" s="14">
        <f t="shared" si="12"/>
        <v>-6.6825485358772649</v>
      </c>
      <c r="X30" s="14">
        <f t="shared" si="12"/>
        <v>-6.9830341129069096</v>
      </c>
      <c r="Y30" s="14">
        <f t="shared" si="12"/>
        <v>-7.4582298476335085</v>
      </c>
      <c r="Z30" s="14">
        <f t="shared" si="12"/>
        <v>-8.0497411781820514</v>
      </c>
      <c r="AA30" s="14">
        <f t="shared" si="12"/>
        <v>-8.5930469937862881</v>
      </c>
      <c r="AB30" s="14">
        <f t="shared" si="12"/>
        <v>-9.0369211182907652</v>
      </c>
      <c r="AC30" s="14">
        <f t="shared" si="12"/>
        <v>-9.7270320479240215</v>
      </c>
    </row>
    <row r="31" spans="1:29" x14ac:dyDescent="0.25">
      <c r="A31">
        <f t="shared" si="3"/>
        <v>-0.8172322448496443</v>
      </c>
      <c r="B31">
        <v>0.238731</v>
      </c>
      <c r="C31" s="14">
        <f t="shared" si="4"/>
        <v>-6.9302912793400138</v>
      </c>
      <c r="D31" s="14">
        <f t="shared" si="4"/>
        <v>-6.9041908029242105</v>
      </c>
      <c r="E31" s="14">
        <f t="shared" si="4"/>
        <v>-6.8783765686339722</v>
      </c>
      <c r="F31" s="14">
        <f t="shared" si="4"/>
        <v>-6.6832913862262053</v>
      </c>
      <c r="G31" s="14">
        <f t="shared" si="4"/>
        <v>-6.4650431895646472</v>
      </c>
      <c r="H31" s="14">
        <f t="shared" si="4"/>
        <v>-6.2586857369198459</v>
      </c>
      <c r="I31" s="14">
        <f t="shared" si="4"/>
        <v>-6.0983147309962042</v>
      </c>
      <c r="J31" s="14">
        <f t="shared" si="4"/>
        <v>-5.888661433169383</v>
      </c>
      <c r="K31" s="14">
        <f t="shared" si="4"/>
        <v>-5.7832012801151533</v>
      </c>
      <c r="L31" s="14">
        <f t="shared" si="4"/>
        <v>-5.7198281100359223</v>
      </c>
      <c r="M31" s="14">
        <f t="shared" si="4"/>
        <v>-5.6451513976486707</v>
      </c>
      <c r="N31" s="14">
        <f t="shared" si="4"/>
        <v>-5.7345746546886112</v>
      </c>
      <c r="O31" s="14">
        <f t="shared" si="4"/>
        <v>-6.0190864670509319</v>
      </c>
      <c r="P31" s="14">
        <f t="shared" si="4"/>
        <v>-6.345822731536872</v>
      </c>
      <c r="Q31" s="14">
        <f t="shared" si="4"/>
        <v>-6.6083487915978347</v>
      </c>
      <c r="R31" s="14">
        <f t="shared" si="4"/>
        <v>-6.8220872477407033</v>
      </c>
      <c r="S31" s="14">
        <f t="shared" ref="S31:AC31" si="13">LN(S11)</f>
        <v>-7.0697804058678164</v>
      </c>
      <c r="T31" s="14">
        <f t="shared" si="13"/>
        <v>-7.2114485066708403</v>
      </c>
      <c r="U31" s="14">
        <f t="shared" si="13"/>
        <v>-7.3038071282071968</v>
      </c>
      <c r="V31" s="14">
        <f t="shared" si="13"/>
        <v>-7.5148157846382198</v>
      </c>
      <c r="W31" s="14">
        <f t="shared" si="13"/>
        <v>-7.7486022208956111</v>
      </c>
      <c r="X31" s="14">
        <f t="shared" si="13"/>
        <v>-8.1008069700026297</v>
      </c>
      <c r="Y31" s="14">
        <f t="shared" si="13"/>
        <v>-8.5900462147826975</v>
      </c>
      <c r="Z31" s="14">
        <f t="shared" si="13"/>
        <v>-9.1372757353200171</v>
      </c>
      <c r="AA31" s="14">
        <f t="shared" si="13"/>
        <v>-9.7272368569104053</v>
      </c>
      <c r="AB31" s="14">
        <f t="shared" si="13"/>
        <v>-10.126745951038599</v>
      </c>
      <c r="AC31" s="14">
        <f t="shared" si="13"/>
        <v>-10.595364411299824</v>
      </c>
    </row>
    <row r="32" spans="1:29" x14ac:dyDescent="0.25">
      <c r="A32">
        <f t="shared" si="3"/>
        <v>-0.20886097217527588</v>
      </c>
      <c r="B32">
        <v>0.43865300000000002</v>
      </c>
      <c r="C32" s="14">
        <f t="shared" si="4"/>
        <v>-8.1663965597312043</v>
      </c>
      <c r="D32" s="14">
        <f t="shared" si="4"/>
        <v>-8.1360170475667353</v>
      </c>
      <c r="E32" s="14">
        <f t="shared" si="4"/>
        <v>-8.1059330711502895</v>
      </c>
      <c r="F32" s="14">
        <f t="shared" si="4"/>
        <v>-7.8895153768000554</v>
      </c>
      <c r="G32" s="14">
        <f t="shared" si="4"/>
        <v>-7.6438159105432097</v>
      </c>
      <c r="H32" s="14">
        <f t="shared" si="4"/>
        <v>-7.404095628746215</v>
      </c>
      <c r="I32" s="14">
        <f t="shared" si="4"/>
        <v>-7.2100573279652185</v>
      </c>
      <c r="J32" s="14">
        <f t="shared" si="4"/>
        <v>-6.9567446425698156</v>
      </c>
      <c r="K32" s="14">
        <f t="shared" si="4"/>
        <v>-6.8262633052113992</v>
      </c>
      <c r="L32" s="14">
        <f t="shared" si="4"/>
        <v>-6.7482979304148385</v>
      </c>
      <c r="M32" s="14">
        <f t="shared" si="4"/>
        <v>-6.6363349487022161</v>
      </c>
      <c r="N32" s="14">
        <f t="shared" si="4"/>
        <v>-6.7241218774223963</v>
      </c>
      <c r="O32" s="14">
        <f t="shared" si="4"/>
        <v>-7.0479358092826727</v>
      </c>
      <c r="P32" s="14">
        <f t="shared" si="4"/>
        <v>-7.4012911139268294</v>
      </c>
      <c r="Q32" s="14">
        <f t="shared" si="4"/>
        <v>-7.6699590653747007</v>
      </c>
      <c r="R32" s="14">
        <f t="shared" si="4"/>
        <v>-7.8855898079755944</v>
      </c>
      <c r="S32" s="14">
        <f t="shared" ref="S32:AC32" si="14">LN(S12)</f>
        <v>-8.1707429371347615</v>
      </c>
      <c r="T32" s="14">
        <f t="shared" si="14"/>
        <v>-8.3438588306178971</v>
      </c>
      <c r="U32" s="14">
        <f t="shared" si="14"/>
        <v>-8.4394889302068137</v>
      </c>
      <c r="V32" s="14">
        <f t="shared" si="14"/>
        <v>-8.6438423529127935</v>
      </c>
      <c r="W32" s="14">
        <f t="shared" si="14"/>
        <v>-8.8609083512546682</v>
      </c>
      <c r="X32" s="14">
        <f t="shared" si="14"/>
        <v>-9.2988706571847892</v>
      </c>
      <c r="Y32" s="14">
        <f t="shared" si="14"/>
        <v>-9.7744593478300299</v>
      </c>
      <c r="Z32" s="14">
        <f t="shared" si="14"/>
        <v>-10.246414279970748</v>
      </c>
      <c r="AA32" s="14">
        <f t="shared" si="14"/>
        <v>-10.919923643281566</v>
      </c>
      <c r="AB32" s="14">
        <f t="shared" si="14"/>
        <v>-11.292595122784926</v>
      </c>
      <c r="AC32" s="14">
        <f t="shared" si="14"/>
        <v>-11.546548960320525</v>
      </c>
    </row>
    <row r="33" spans="1:29" x14ac:dyDescent="0.25">
      <c r="A33">
        <f t="shared" si="3"/>
        <v>0.39951038052343052</v>
      </c>
      <c r="B33">
        <v>0.80599699999999996</v>
      </c>
      <c r="C33" s="14">
        <f t="shared" si="4"/>
        <v>-9.5795053148007359</v>
      </c>
      <c r="D33" s="14">
        <f t="shared" si="4"/>
        <v>-9.5457781277997444</v>
      </c>
      <c r="E33" s="14">
        <f t="shared" si="4"/>
        <v>-9.5123215862571122</v>
      </c>
      <c r="F33" s="14">
        <f t="shared" si="4"/>
        <v>-9.3014469003614959</v>
      </c>
      <c r="G33" s="14">
        <f t="shared" si="4"/>
        <v>-9.0481895778513497</v>
      </c>
      <c r="H33" s="14">
        <f t="shared" si="4"/>
        <v>-8.7793124428082834</v>
      </c>
      <c r="I33" s="14">
        <f t="shared" si="4"/>
        <v>-8.5450366676068388</v>
      </c>
      <c r="J33" s="14">
        <f t="shared" si="4"/>
        <v>-8.2340922912516294</v>
      </c>
      <c r="K33" s="14">
        <f t="shared" si="4"/>
        <v>-8.0641734924377548</v>
      </c>
      <c r="L33" s="14">
        <f t="shared" si="4"/>
        <v>-7.9634486278987264</v>
      </c>
      <c r="M33" s="14">
        <f t="shared" si="4"/>
        <v>-7.7876799102208336</v>
      </c>
      <c r="N33" s="14">
        <f t="shared" si="4"/>
        <v>-7.8620067490256673</v>
      </c>
      <c r="O33" s="14">
        <f t="shared" si="4"/>
        <v>-8.2176995120983811</v>
      </c>
      <c r="P33" s="14">
        <f t="shared" si="4"/>
        <v>-8.5814962278747817</v>
      </c>
      <c r="Q33" s="14">
        <f t="shared" si="4"/>
        <v>-8.8240654034923391</v>
      </c>
      <c r="R33" s="14">
        <f t="shared" si="4"/>
        <v>-9.0109091611750909</v>
      </c>
      <c r="S33" s="14">
        <f t="shared" ref="S33:AC33" si="15">LN(S13)</f>
        <v>-9.3589537984408793</v>
      </c>
      <c r="T33" s="14">
        <f t="shared" si="15"/>
        <v>-9.588943774369648</v>
      </c>
      <c r="U33" s="14">
        <f t="shared" si="15"/>
        <v>-9.6774049193556895</v>
      </c>
      <c r="V33" s="14">
        <f t="shared" si="15"/>
        <v>-9.8538302116460841</v>
      </c>
      <c r="W33" s="14">
        <f t="shared" si="15"/>
        <v>-10.025170919689717</v>
      </c>
      <c r="X33" s="14">
        <f t="shared" si="15"/>
        <v>-10.624570991459091</v>
      </c>
      <c r="Y33" s="14">
        <f t="shared" si="15"/>
        <v>-11.060314403674063</v>
      </c>
      <c r="Z33" s="14">
        <f t="shared" si="15"/>
        <v>-11.409273693830295</v>
      </c>
      <c r="AA33" s="14">
        <f t="shared" si="15"/>
        <v>-12.226652143285911</v>
      </c>
      <c r="AB33" s="14">
        <f t="shared" si="15"/>
        <v>-12.604537463649567</v>
      </c>
      <c r="AC33" s="14">
        <f t="shared" si="15"/>
        <v>-12.678920066875843</v>
      </c>
    </row>
    <row r="34" spans="1:29" x14ac:dyDescent="0.25">
      <c r="A34">
        <f t="shared" si="3"/>
        <v>1.0078829175873383</v>
      </c>
      <c r="B34">
        <v>1.4809699999999999</v>
      </c>
      <c r="C34" s="14">
        <f t="shared" si="4"/>
        <v>-11.120691130052927</v>
      </c>
      <c r="D34" s="14">
        <f t="shared" si="4"/>
        <v>-11.084211188981106</v>
      </c>
      <c r="E34" s="14">
        <f t="shared" si="4"/>
        <v>-11.048100881028668</v>
      </c>
      <c r="F34" s="14">
        <f t="shared" si="4"/>
        <v>-10.883229307955844</v>
      </c>
      <c r="G34" s="14">
        <f t="shared" si="4"/>
        <v>-10.672291679165451</v>
      </c>
      <c r="H34" s="14">
        <f t="shared" si="4"/>
        <v>-10.411210325737274</v>
      </c>
      <c r="I34" s="14">
        <f t="shared" si="4"/>
        <v>-10.156432523908492</v>
      </c>
      <c r="J34" s="14">
        <f t="shared" si="4"/>
        <v>-9.7948542558565084</v>
      </c>
      <c r="K34" s="14">
        <f t="shared" si="4"/>
        <v>-9.5741163947968744</v>
      </c>
      <c r="L34" s="14">
        <f t="shared" si="4"/>
        <v>-9.4436248903825586</v>
      </c>
      <c r="M34" s="14">
        <f t="shared" si="4"/>
        <v>-9.1705830124650731</v>
      </c>
      <c r="N34" s="14">
        <f t="shared" si="4"/>
        <v>-9.215968996333924</v>
      </c>
      <c r="O34" s="14">
        <f t="shared" si="4"/>
        <v>-9.5965041226833652</v>
      </c>
      <c r="P34" s="14">
        <f t="shared" si="4"/>
        <v>-9.9423596464445332</v>
      </c>
      <c r="Q34" s="14">
        <f t="shared" si="4"/>
        <v>-10.084315873440319</v>
      </c>
      <c r="R34" s="14">
        <f t="shared" si="4"/>
        <v>-10.181719844676762</v>
      </c>
      <c r="S34" s="14">
        <f t="shared" ref="S34:AC34" si="16">LN(S14)</f>
        <v>-10.656196058359214</v>
      </c>
      <c r="T34" s="14">
        <f t="shared" si="16"/>
        <v>-10.99164604320595</v>
      </c>
      <c r="U34" s="14">
        <f t="shared" si="16"/>
        <v>-11.054294205937623</v>
      </c>
      <c r="V34" s="14">
        <f t="shared" si="16"/>
        <v>-11.165025536370207</v>
      </c>
      <c r="W34" s="14">
        <f t="shared" si="16"/>
        <v>-11.25329132773996</v>
      </c>
      <c r="X34" s="14">
        <f t="shared" si="16"/>
        <v>-12.113125522102836</v>
      </c>
      <c r="Y34" s="14">
        <f t="shared" si="16"/>
        <v>-12.489339397313024</v>
      </c>
      <c r="Z34" s="14">
        <f t="shared" si="16"/>
        <v>-12.68406276361584</v>
      </c>
      <c r="AA34" s="14">
        <f t="shared" si="16"/>
        <v>-13.729688601047997</v>
      </c>
      <c r="AB34" s="14">
        <f t="shared" si="16"/>
        <v>-14.143406945801802</v>
      </c>
      <c r="AC34" s="14">
        <f t="shared" si="16"/>
        <v>-14.097431336933917</v>
      </c>
    </row>
    <row r="35" spans="1:29" x14ac:dyDescent="0.25">
      <c r="A35">
        <f t="shared" si="3"/>
        <v>1.6162512488533307</v>
      </c>
      <c r="B35">
        <v>2.7211799999999999</v>
      </c>
      <c r="C35" s="14">
        <f t="shared" si="4"/>
        <v>-12.816507585994279</v>
      </c>
      <c r="D35" s="14">
        <f t="shared" si="4"/>
        <v>-12.773117992678527</v>
      </c>
      <c r="E35" s="14">
        <f t="shared" si="4"/>
        <v>-12.730383258321666</v>
      </c>
      <c r="F35" s="14">
        <f t="shared" si="4"/>
        <v>-12.609127405845269</v>
      </c>
      <c r="G35" s="14">
        <f t="shared" si="4"/>
        <v>-12.461649704081816</v>
      </c>
      <c r="H35" s="14">
        <f t="shared" si="4"/>
        <v>-12.255789373582797</v>
      </c>
      <c r="I35" s="14">
        <f t="shared" si="4"/>
        <v>-12.030720824922799</v>
      </c>
      <c r="J35" s="14">
        <f t="shared" si="4"/>
        <v>-11.669239330736648</v>
      </c>
      <c r="K35" s="14">
        <f t="shared" si="4"/>
        <v>-11.411397246843846</v>
      </c>
      <c r="L35" s="14">
        <f t="shared" si="4"/>
        <v>-11.257411391114378</v>
      </c>
      <c r="M35" s="14">
        <f t="shared" si="4"/>
        <v>-10.872432329495046</v>
      </c>
      <c r="N35" s="14">
        <f t="shared" si="4"/>
        <v>-10.876260186369985</v>
      </c>
      <c r="O35" s="14">
        <f t="shared" si="4"/>
        <v>-11.254972017127534</v>
      </c>
      <c r="P35" s="14">
        <f t="shared" si="4"/>
        <v>-11.511158222796665</v>
      </c>
      <c r="Q35" s="14">
        <f t="shared" si="4"/>
        <v>-11.440643872386236</v>
      </c>
      <c r="R35" s="14">
        <f t="shared" si="4"/>
        <v>-11.392569643445603</v>
      </c>
      <c r="S35" s="14">
        <f t="shared" ref="S35:AC35" si="17">LN(S15)</f>
        <v>-12.071534053054082</v>
      </c>
      <c r="T35" s="14">
        <f t="shared" si="17"/>
        <v>-12.565486071419949</v>
      </c>
      <c r="U35" s="14">
        <f t="shared" si="17"/>
        <v>-12.582362223716276</v>
      </c>
      <c r="V35" s="14">
        <f t="shared" si="17"/>
        <v>-12.597232356428853</v>
      </c>
      <c r="W35" s="14">
        <f t="shared" si="17"/>
        <v>-12.589282348502522</v>
      </c>
      <c r="X35" s="14">
        <f t="shared" si="17"/>
        <v>-13.793700607432354</v>
      </c>
      <c r="Y35" s="14">
        <f t="shared" si="17"/>
        <v>-14.137931828703637</v>
      </c>
      <c r="Z35" s="14">
        <f t="shared" si="17"/>
        <v>-14.1785887993299</v>
      </c>
      <c r="AA35" s="14">
        <f t="shared" si="17"/>
        <v>-15.529998806387002</v>
      </c>
      <c r="AB35" s="14">
        <f t="shared" si="17"/>
        <v>-15.994206167586519</v>
      </c>
      <c r="AC35" s="14">
        <f t="shared" si="17"/>
        <v>-15.894155377521006</v>
      </c>
    </row>
    <row r="36" spans="1:29" x14ac:dyDescent="0.25">
      <c r="A36">
        <f t="shared" si="3"/>
        <v>2.224623551524334</v>
      </c>
      <c r="B36">
        <v>5</v>
      </c>
      <c r="C36" s="14">
        <f t="shared" si="4"/>
        <v>-14.86814040474221</v>
      </c>
      <c r="D36" s="14">
        <f t="shared" si="4"/>
        <v>-14.810537431981496</v>
      </c>
      <c r="E36" s="14">
        <f t="shared" si="4"/>
        <v>-14.753949738082236</v>
      </c>
      <c r="F36" s="14">
        <f t="shared" si="4"/>
        <v>-14.63349148495467</v>
      </c>
      <c r="G36" s="14">
        <f t="shared" si="4"/>
        <v>-14.506590527642599</v>
      </c>
      <c r="H36" s="14">
        <f t="shared" si="4"/>
        <v>-14.344841262376951</v>
      </c>
      <c r="I36" s="14">
        <f t="shared" si="4"/>
        <v>-14.164672500218177</v>
      </c>
      <c r="J36" s="14">
        <f t="shared" si="4"/>
        <v>-13.848032275953862</v>
      </c>
      <c r="K36" s="14">
        <f t="shared" si="4"/>
        <v>-13.586705843156532</v>
      </c>
      <c r="L36" s="14">
        <f t="shared" si="4"/>
        <v>-13.428929676544342</v>
      </c>
      <c r="M36" s="14">
        <f t="shared" si="4"/>
        <v>-12.961470345829222</v>
      </c>
      <c r="N36" s="14">
        <f t="shared" si="4"/>
        <v>-12.896530930599233</v>
      </c>
      <c r="O36" s="14">
        <f t="shared" si="4"/>
        <v>-13.185733271117746</v>
      </c>
      <c r="P36" s="14">
        <f t="shared" si="4"/>
        <v>-13.274599538649946</v>
      </c>
      <c r="Q36" s="14">
        <f t="shared" si="4"/>
        <v>-12.946517441624144</v>
      </c>
      <c r="R36" s="14">
        <f t="shared" si="4"/>
        <v>-12.770727278786449</v>
      </c>
      <c r="S36" s="14">
        <f t="shared" ref="S36:AC36" si="18">LN(S16)</f>
        <v>-13.681912337223766</v>
      </c>
      <c r="T36" s="14">
        <f t="shared" si="18"/>
        <v>-14.353205383467412</v>
      </c>
      <c r="U36" s="14">
        <f t="shared" si="18"/>
        <v>-14.320243254292969</v>
      </c>
      <c r="V36" s="14">
        <f t="shared" si="18"/>
        <v>-14.24280202180114</v>
      </c>
      <c r="W36" s="14">
        <f t="shared" si="18"/>
        <v>-14.153532479665142</v>
      </c>
      <c r="X36" s="14">
        <f t="shared" si="18"/>
        <v>-15.745406850226608</v>
      </c>
      <c r="Y36" s="14">
        <f t="shared" si="18"/>
        <v>-16.117219177999388</v>
      </c>
      <c r="Z36" s="14">
        <f t="shared" si="18"/>
        <v>-15.9987804244684</v>
      </c>
      <c r="AA36" s="14">
        <f t="shared" si="18"/>
        <v>-17.714012843288391</v>
      </c>
      <c r="AB36" s="14">
        <f t="shared" si="18"/>
        <v>-18.230198259486045</v>
      </c>
      <c r="AC36" s="14">
        <f t="shared" si="18"/>
        <v>-18.128931705678902</v>
      </c>
    </row>
    <row r="39" spans="1:29" s="94" customFormat="1" ht="42.75" customHeight="1" x14ac:dyDescent="0.25">
      <c r="C39" s="93" t="str">
        <f>"Sa("&amp;C1&amp;")"</f>
        <v>Sa(T=0.01s)</v>
      </c>
      <c r="D39" s="93" t="str">
        <f t="shared" ref="D39:AC39" si="19">"Sa("&amp;D1&amp;")"</f>
        <v>Sa(T=0.015s)</v>
      </c>
      <c r="E39" s="93" t="str">
        <f t="shared" si="19"/>
        <v>Sa(T=0.02s)</v>
      </c>
      <c r="F39" s="93" t="str">
        <f t="shared" si="19"/>
        <v>Sa(T=0.03s)</v>
      </c>
      <c r="G39" s="93" t="str">
        <f t="shared" si="19"/>
        <v>Sa(T=0.04s)</v>
      </c>
      <c r="H39" s="93" t="str">
        <f t="shared" si="19"/>
        <v>Sa(T=0.05s)</v>
      </c>
      <c r="I39" s="93" t="str">
        <f t="shared" si="19"/>
        <v>Sa(T=0.06s)</v>
      </c>
      <c r="J39" s="93" t="str">
        <f t="shared" si="19"/>
        <v>Sa(T=0.075s)</v>
      </c>
      <c r="K39" s="93" t="str">
        <f t="shared" si="19"/>
        <v>Sa(T=0.09s)</v>
      </c>
      <c r="L39" s="93" t="str">
        <f t="shared" si="19"/>
        <v>Sa(T=0.1s)</v>
      </c>
      <c r="M39" s="93" t="str">
        <f t="shared" si="19"/>
        <v>Sa(T=0.15s)</v>
      </c>
      <c r="N39" s="93" t="str">
        <f t="shared" si="19"/>
        <v>Sa(T=0.2s)</v>
      </c>
      <c r="O39" s="93" t="str">
        <f t="shared" si="19"/>
        <v>Sa(T=0.3s)</v>
      </c>
      <c r="P39" s="93" t="str">
        <f t="shared" si="19"/>
        <v>Sa(T=0.4s)</v>
      </c>
      <c r="Q39" s="93" t="str">
        <f t="shared" si="19"/>
        <v>Sa(T=0.5s)</v>
      </c>
      <c r="R39" s="93" t="str">
        <f t="shared" si="19"/>
        <v>Sa(T=0.6s)</v>
      </c>
      <c r="S39" s="93" t="str">
        <f t="shared" si="19"/>
        <v>Sa(T=0.7s)</v>
      </c>
      <c r="T39" s="93" t="str">
        <f t="shared" si="19"/>
        <v>Sa(T=0.75s)</v>
      </c>
      <c r="U39" s="93" t="str">
        <f t="shared" si="19"/>
        <v>Sa(T=0.8s)</v>
      </c>
      <c r="V39" s="93" t="str">
        <f t="shared" si="19"/>
        <v>Sa(T=0.9s)</v>
      </c>
      <c r="W39" s="93" t="str">
        <f t="shared" si="19"/>
        <v>Sa(T=1s)</v>
      </c>
      <c r="X39" s="93" t="str">
        <f t="shared" si="19"/>
        <v>Sa(T=1.2s)</v>
      </c>
      <c r="Y39" s="93" t="str">
        <f t="shared" si="19"/>
        <v>Sa(T=1.5s)</v>
      </c>
      <c r="Z39" s="93" t="str">
        <f t="shared" si="19"/>
        <v>Sa(T=2s)</v>
      </c>
      <c r="AA39" s="93" t="str">
        <f t="shared" si="19"/>
        <v>Sa(T=2.5s)</v>
      </c>
      <c r="AB39" s="93" t="str">
        <f t="shared" si="19"/>
        <v>Sa(T=3s)</v>
      </c>
      <c r="AC39" s="93" t="str">
        <f t="shared" si="19"/>
        <v>Sa(T=5s)</v>
      </c>
    </row>
    <row r="40" spans="1:29" ht="15.75" x14ac:dyDescent="0.25">
      <c r="A40" s="92" t="s">
        <v>106</v>
      </c>
      <c r="C40">
        <f ca="1">EXP(_xlfn.FORECAST.LINEAR(LN($C$53),OFFSET($A$22,MATCH(LN($C$53),C22:C36,-1)-1, 0, 2),OFFSET(C22,MATCH(LN($C$53),C22:C36,-1)-1, 0, 2)))</f>
        <v>0.28550887352436849</v>
      </c>
      <c r="D40">
        <f t="shared" ref="D40:AC40" ca="1" si="20">EXP(_xlfn.FORECAST.LINEAR(LN($C$53),OFFSET($A$22,MATCH(LN($C$53),D22:D36,-1)-1, 0, 2),OFFSET(D22,MATCH(LN($C$53),D22:D36,-1)-1, 0, 2)))</f>
        <v>0.28935160278482769</v>
      </c>
      <c r="E40">
        <f t="shared" ca="1" si="20"/>
        <v>0.29323335789844296</v>
      </c>
      <c r="F40">
        <f t="shared" ca="1" si="20"/>
        <v>0.32548575559649884</v>
      </c>
      <c r="G40">
        <f t="shared" ca="1" si="20"/>
        <v>0.36820754717194332</v>
      </c>
      <c r="H40">
        <f t="shared" ca="1" si="20"/>
        <v>0.41629324935117035</v>
      </c>
      <c r="I40">
        <f t="shared" ca="1" si="20"/>
        <v>0.45764445251318692</v>
      </c>
      <c r="J40">
        <f t="shared" ca="1" si="20"/>
        <v>0.51644216092055129</v>
      </c>
      <c r="K40">
        <f t="shared" ca="1" si="20"/>
        <v>0.55127082032670205</v>
      </c>
      <c r="L40">
        <f t="shared" ca="1" si="20"/>
        <v>0.57413177456668341</v>
      </c>
      <c r="M40">
        <f t="shared" ca="1" si="20"/>
        <v>0.60702061100580951</v>
      </c>
      <c r="N40">
        <f t="shared" ca="1" si="20"/>
        <v>0.5748513326736806</v>
      </c>
      <c r="O40">
        <f t="shared" ca="1" si="20"/>
        <v>0.48097102251865637</v>
      </c>
      <c r="P40">
        <f t="shared" ca="1" si="20"/>
        <v>0.3936970004557338</v>
      </c>
      <c r="Q40">
        <f t="shared" ca="1" si="20"/>
        <v>0.33564453743265771</v>
      </c>
      <c r="R40">
        <f t="shared" ca="1" si="20"/>
        <v>0.29575804382762538</v>
      </c>
      <c r="S40">
        <f t="shared" ca="1" si="20"/>
        <v>0.25809135773080011</v>
      </c>
      <c r="T40">
        <f t="shared" ca="1" si="20"/>
        <v>0.23994211263024151</v>
      </c>
      <c r="U40">
        <f t="shared" ca="1" si="20"/>
        <v>0.2268714365952707</v>
      </c>
      <c r="V40">
        <f t="shared" ca="1" si="20"/>
        <v>0.19976289177649295</v>
      </c>
      <c r="W40">
        <f t="shared" ca="1" si="20"/>
        <v>0.17371438765419703</v>
      </c>
      <c r="X40">
        <f t="shared" ca="1" si="20"/>
        <v>0.14675742449812387</v>
      </c>
      <c r="Y40">
        <f t="shared" ca="1" si="20"/>
        <v>0.11215096436369063</v>
      </c>
      <c r="Z40">
        <f t="shared" ca="1" si="20"/>
        <v>7.9354672980389687E-2</v>
      </c>
      <c r="AA40">
        <f t="shared" ca="1" si="20"/>
        <v>6.0846842387373964E-2</v>
      </c>
      <c r="AB40">
        <f t="shared" ca="1" si="20"/>
        <v>4.6316917463432826E-2</v>
      </c>
      <c r="AC40">
        <f t="shared" ca="1" si="20"/>
        <v>2.7511024327389073E-2</v>
      </c>
    </row>
    <row r="41" spans="1:29" ht="15.75" x14ac:dyDescent="0.25">
      <c r="A41" s="92" t="s">
        <v>105</v>
      </c>
      <c r="C41">
        <f ca="1">EXP(_xlfn.FORECAST.LINEAR(LN($C$56),OFFSET($A$22,MATCH(LN($C$56),C22:C36,-1)-1, 0, 2),OFFSET(C22,MATCH(LN($C$56),C22:C36,-1)-1, 0, 2)))</f>
        <v>0.68228940996243181</v>
      </c>
      <c r="D41">
        <f t="shared" ref="D41:AC41" ca="1" si="21">EXP(_xlfn.FORECAST.LINEAR(LN($C$56),OFFSET($A$22,MATCH(LN($C$56),D22:D36,-1)-1, 0, 2),OFFSET(D22,MATCH(LN($C$56),D22:D36,-1)-1, 0, 2)))</f>
        <v>0.69218633850775191</v>
      </c>
      <c r="E41">
        <f t="shared" ca="1" si="21"/>
        <v>0.70219524769747732</v>
      </c>
      <c r="F41">
        <f t="shared" ca="1" si="21"/>
        <v>0.78117967515227138</v>
      </c>
      <c r="G41">
        <f t="shared" ca="1" si="21"/>
        <v>0.8735940363640281</v>
      </c>
      <c r="H41">
        <f t="shared" ca="1" si="21"/>
        <v>0.97284694253786141</v>
      </c>
      <c r="I41">
        <f t="shared" ca="1" si="21"/>
        <v>1.0686149320804781</v>
      </c>
      <c r="J41">
        <f t="shared" ca="1" si="21"/>
        <v>1.2207043266539757</v>
      </c>
      <c r="K41">
        <f t="shared" ca="1" si="21"/>
        <v>1.3185866101997816</v>
      </c>
      <c r="L41">
        <f t="shared" ca="1" si="21"/>
        <v>1.3835961320691437</v>
      </c>
      <c r="M41">
        <f t="shared" ca="1" si="21"/>
        <v>1.5084570726258135</v>
      </c>
      <c r="N41">
        <f t="shared" ca="1" si="21"/>
        <v>1.4533063600296501</v>
      </c>
      <c r="O41">
        <f t="shared" ca="1" si="21"/>
        <v>1.2087078131236906</v>
      </c>
      <c r="P41">
        <f t="shared" ca="1" si="21"/>
        <v>1.0038872381947437</v>
      </c>
      <c r="Q41">
        <f t="shared" ca="1" si="21"/>
        <v>0.87552283466890646</v>
      </c>
      <c r="R41">
        <f t="shared" ca="1" si="21"/>
        <v>0.77894406861218468</v>
      </c>
      <c r="S41">
        <f t="shared" ca="1" si="21"/>
        <v>0.66631494688174331</v>
      </c>
      <c r="T41">
        <f t="shared" ca="1" si="21"/>
        <v>0.61047228440126888</v>
      </c>
      <c r="U41">
        <f t="shared" ca="1" si="21"/>
        <v>0.58046237722315219</v>
      </c>
      <c r="V41">
        <f t="shared" ca="1" si="21"/>
        <v>0.51891229180600351</v>
      </c>
      <c r="W41">
        <f t="shared" ca="1" si="21"/>
        <v>0.45773468023464031</v>
      </c>
      <c r="X41">
        <f t="shared" ca="1" si="21"/>
        <v>0.37782068720890588</v>
      </c>
      <c r="Y41">
        <f t="shared" ca="1" si="21"/>
        <v>0.29101692950767877</v>
      </c>
      <c r="Z41">
        <f t="shared" ca="1" si="21"/>
        <v>0.21042481346525269</v>
      </c>
      <c r="AA41">
        <f t="shared" ca="1" si="21"/>
        <v>0.15779988848985327</v>
      </c>
      <c r="AB41">
        <f t="shared" ca="1" si="21"/>
        <v>0.12096154501844135</v>
      </c>
      <c r="AC41">
        <f t="shared" ca="1" si="21"/>
        <v>7.649814312136724E-2</v>
      </c>
    </row>
    <row r="43" spans="1:29" ht="15.75" x14ac:dyDescent="0.25">
      <c r="A43" s="83" t="s">
        <v>103</v>
      </c>
      <c r="C43" s="85">
        <f ca="1">(E53-C40)/C40</f>
        <v>-0.18391328043920424</v>
      </c>
      <c r="W43" s="85">
        <f ca="1">(F53-W40)/W40</f>
        <v>0.3412821076387717</v>
      </c>
      <c r="Y43" s="85">
        <f ca="1">(G53-Y40)/Y40</f>
        <v>0.38503787474896811</v>
      </c>
      <c r="Z43" s="85">
        <f ca="1">(H53-Z40)/Z40</f>
        <v>0.46809249694456884</v>
      </c>
    </row>
    <row r="44" spans="1:29" ht="15.75" x14ac:dyDescent="0.25">
      <c r="A44" s="83" t="s">
        <v>104</v>
      </c>
      <c r="C44" s="85">
        <f ca="1">(E56-C41)/C41</f>
        <v>-0.48702120406753541</v>
      </c>
      <c r="W44" s="85">
        <f ca="1">(F56-W41)/W41</f>
        <v>-0.23536490654239753</v>
      </c>
      <c r="Y44" s="85">
        <f ca="1">(G56-Y41)/Y41</f>
        <v>-0.19821388491704026</v>
      </c>
      <c r="Z44" s="85">
        <f ca="1">(H56-Z41)/Z41</f>
        <v>-0.16834903109514873</v>
      </c>
    </row>
    <row r="45" spans="1:29" ht="15.75" x14ac:dyDescent="0.25">
      <c r="A45" s="83"/>
    </row>
    <row r="46" spans="1:29" ht="15.75" x14ac:dyDescent="0.25">
      <c r="A46" s="83"/>
    </row>
    <row r="48" spans="1:29" x14ac:dyDescent="0.25">
      <c r="B48" s="46" t="s">
        <v>45</v>
      </c>
    </row>
    <row r="49" spans="2:8" x14ac:dyDescent="0.25">
      <c r="B49" s="76" t="s">
        <v>39</v>
      </c>
      <c r="C49" s="76" t="s">
        <v>44</v>
      </c>
      <c r="D49" s="76" t="s">
        <v>98</v>
      </c>
      <c r="E49" s="109" t="s">
        <v>41</v>
      </c>
      <c r="F49" s="110"/>
      <c r="G49" s="110"/>
      <c r="H49" s="110"/>
    </row>
    <row r="50" spans="2:8" x14ac:dyDescent="0.25">
      <c r="B50" s="47"/>
      <c r="C50" s="47"/>
      <c r="D50" s="47"/>
      <c r="E50" s="76" t="s">
        <v>37</v>
      </c>
      <c r="F50" s="76" t="s">
        <v>40</v>
      </c>
      <c r="G50" s="76" t="s">
        <v>92</v>
      </c>
      <c r="H50" s="76" t="s">
        <v>93</v>
      </c>
    </row>
    <row r="51" spans="2:8" x14ac:dyDescent="0.25">
      <c r="B51" s="3">
        <v>175</v>
      </c>
      <c r="C51" s="3">
        <v>5.7142857142857143E-3</v>
      </c>
      <c r="D51" s="5">
        <v>0.17499999999999999</v>
      </c>
      <c r="E51" s="5">
        <f t="shared" ref="E51:E58" si="22">(D51*$E$68)</f>
        <v>0.17499999999999999</v>
      </c>
      <c r="F51" s="5">
        <f t="shared" ref="F51:F58" si="23">(D51*$F$68)</f>
        <v>0.17499999999999999</v>
      </c>
      <c r="G51" s="5">
        <f t="shared" ref="G51:G58" si="24">(D51*$G$68)</f>
        <v>0.11666666666666665</v>
      </c>
      <c r="H51" s="5">
        <f t="shared" ref="H51:H58" si="25">(D51*$H$68)</f>
        <v>8.7499999999999994E-2</v>
      </c>
    </row>
    <row r="52" spans="2:8" x14ac:dyDescent="0.25">
      <c r="B52" s="3">
        <v>275</v>
      </c>
      <c r="C52" s="3">
        <v>3.6363636363636364E-3</v>
      </c>
      <c r="D52" s="5">
        <v>0.21</v>
      </c>
      <c r="E52" s="5">
        <f t="shared" si="22"/>
        <v>0.21</v>
      </c>
      <c r="F52" s="5">
        <f t="shared" si="23"/>
        <v>0.21</v>
      </c>
      <c r="G52" s="5">
        <f t="shared" si="24"/>
        <v>0.13999999999999999</v>
      </c>
      <c r="H52" s="5">
        <f t="shared" si="25"/>
        <v>0.105</v>
      </c>
    </row>
    <row r="53" spans="2:8" x14ac:dyDescent="0.25">
      <c r="B53" s="48">
        <v>475</v>
      </c>
      <c r="C53" s="48">
        <v>2.1052631578947368E-3</v>
      </c>
      <c r="D53" s="49">
        <v>0.23300000000000001</v>
      </c>
      <c r="E53" s="49">
        <f t="shared" si="22"/>
        <v>0.23300000000000001</v>
      </c>
      <c r="F53" s="49">
        <f t="shared" si="23"/>
        <v>0.23300000000000001</v>
      </c>
      <c r="G53" s="49">
        <f t="shared" si="24"/>
        <v>0.15533333333333332</v>
      </c>
      <c r="H53" s="49">
        <f t="shared" si="25"/>
        <v>0.11650000000000001</v>
      </c>
    </row>
    <row r="54" spans="2:8" x14ac:dyDescent="0.25">
      <c r="B54" s="3">
        <v>975</v>
      </c>
      <c r="C54" s="3">
        <v>1.0256410256410256E-3</v>
      </c>
      <c r="D54" s="5">
        <v>0.28000000000000003</v>
      </c>
      <c r="E54" s="5">
        <f t="shared" si="22"/>
        <v>0.28000000000000003</v>
      </c>
      <c r="F54" s="5">
        <f t="shared" si="23"/>
        <v>0.28000000000000003</v>
      </c>
      <c r="G54" s="5">
        <f t="shared" si="24"/>
        <v>0.18666666666666668</v>
      </c>
      <c r="H54" s="5">
        <f t="shared" si="25"/>
        <v>0.14000000000000001</v>
      </c>
    </row>
    <row r="55" spans="2:8" x14ac:dyDescent="0.25">
      <c r="B55" s="3">
        <v>1275</v>
      </c>
      <c r="C55" s="3">
        <v>7.8431372549019605E-4</v>
      </c>
      <c r="D55" s="5">
        <v>0.29170000000000001</v>
      </c>
      <c r="E55" s="5">
        <f t="shared" si="22"/>
        <v>0.29170000000000001</v>
      </c>
      <c r="F55" s="5">
        <f t="shared" si="23"/>
        <v>0.29170000000000001</v>
      </c>
      <c r="G55" s="5">
        <f t="shared" si="24"/>
        <v>0.19446666666666668</v>
      </c>
      <c r="H55" s="5">
        <f t="shared" si="25"/>
        <v>0.14585000000000001</v>
      </c>
    </row>
    <row r="56" spans="2:8" x14ac:dyDescent="0.25">
      <c r="B56" s="48">
        <v>2475</v>
      </c>
      <c r="C56" s="48">
        <v>4.0404040404040404E-4</v>
      </c>
      <c r="D56" s="49">
        <v>0.35</v>
      </c>
      <c r="E56" s="49">
        <f t="shared" si="22"/>
        <v>0.35</v>
      </c>
      <c r="F56" s="49">
        <f t="shared" si="23"/>
        <v>0.35</v>
      </c>
      <c r="G56" s="49">
        <f t="shared" si="24"/>
        <v>0.23333333333333331</v>
      </c>
      <c r="H56" s="49">
        <f t="shared" si="25"/>
        <v>0.17499999999999999</v>
      </c>
    </row>
    <row r="57" spans="2:8" x14ac:dyDescent="0.25">
      <c r="B57" s="3">
        <v>4975</v>
      </c>
      <c r="C57" s="3">
        <v>2.0100502512562814E-4</v>
      </c>
      <c r="D57" s="5">
        <v>0.44</v>
      </c>
      <c r="E57" s="5">
        <f t="shared" si="22"/>
        <v>0.44</v>
      </c>
      <c r="F57" s="5">
        <f t="shared" si="23"/>
        <v>0.44</v>
      </c>
      <c r="G57" s="5">
        <f t="shared" si="24"/>
        <v>0.29333333333333333</v>
      </c>
      <c r="H57" s="5">
        <f t="shared" si="25"/>
        <v>0.22</v>
      </c>
    </row>
    <row r="58" spans="2:8" x14ac:dyDescent="0.25">
      <c r="B58" s="3">
        <v>9975</v>
      </c>
      <c r="C58" s="3">
        <v>1.0025062656641604E-4</v>
      </c>
      <c r="D58" s="5">
        <v>0.52500000000000002</v>
      </c>
      <c r="E58" s="5">
        <f t="shared" si="22"/>
        <v>0.52500000000000002</v>
      </c>
      <c r="F58" s="5">
        <f t="shared" si="23"/>
        <v>0.52500000000000002</v>
      </c>
      <c r="G58" s="5">
        <f t="shared" si="24"/>
        <v>0.35</v>
      </c>
      <c r="H58" s="5">
        <f t="shared" si="25"/>
        <v>0.26250000000000001</v>
      </c>
    </row>
    <row r="59" spans="2:8" x14ac:dyDescent="0.25">
      <c r="B59" s="3"/>
      <c r="C59" s="3"/>
      <c r="D59" s="5"/>
      <c r="E59" s="5"/>
      <c r="F59" s="5"/>
      <c r="G59" s="5"/>
      <c r="H59" s="5"/>
    </row>
    <row r="60" spans="2:8" x14ac:dyDescent="0.25">
      <c r="B60" s="3"/>
      <c r="C60" s="3"/>
      <c r="D60" s="5"/>
      <c r="E60" s="5"/>
      <c r="F60" s="5"/>
      <c r="G60" s="5"/>
      <c r="H60" s="5"/>
    </row>
    <row r="61" spans="2:8" ht="15.75" thickBot="1" x14ac:dyDescent="0.3"/>
    <row r="62" spans="2:8" x14ac:dyDescent="0.25">
      <c r="B62" s="66" t="s">
        <v>91</v>
      </c>
      <c r="C62" s="67" t="s">
        <v>89</v>
      </c>
      <c r="D62" s="68" t="s">
        <v>90</v>
      </c>
    </row>
    <row r="63" spans="2:8" x14ac:dyDescent="0.25">
      <c r="B63" s="69">
        <v>1E-3</v>
      </c>
      <c r="C63" s="71">
        <f>1/475</f>
        <v>2.1052631578947368E-3</v>
      </c>
      <c r="D63" s="72">
        <f>1/2475</f>
        <v>4.0404040404040404E-4</v>
      </c>
    </row>
    <row r="64" spans="2:8" ht="15.75" thickBot="1" x14ac:dyDescent="0.3">
      <c r="B64" s="70">
        <v>4</v>
      </c>
      <c r="C64" s="73">
        <f>C63</f>
        <v>2.1052631578947368E-3</v>
      </c>
      <c r="D64" s="74">
        <f>D63</f>
        <v>4.0404040404040404E-4</v>
      </c>
    </row>
    <row r="65" spans="2:11" x14ac:dyDescent="0.25">
      <c r="B65" s="79"/>
      <c r="C65" s="71"/>
      <c r="D65" s="71"/>
    </row>
    <row r="66" spans="2:11" x14ac:dyDescent="0.25">
      <c r="D66" s="3" t="s">
        <v>87</v>
      </c>
      <c r="E66" s="3">
        <v>0</v>
      </c>
      <c r="F66" s="3">
        <v>1</v>
      </c>
      <c r="G66" s="3">
        <v>1.5</v>
      </c>
      <c r="H66" s="3">
        <v>2</v>
      </c>
    </row>
    <row r="67" spans="2:11" x14ac:dyDescent="0.25">
      <c r="D67" s="3"/>
      <c r="E67" s="47" t="s">
        <v>37</v>
      </c>
      <c r="F67" s="47" t="s">
        <v>40</v>
      </c>
      <c r="G67" s="47" t="s">
        <v>92</v>
      </c>
      <c r="H67" s="47" t="s">
        <v>93</v>
      </c>
    </row>
    <row r="68" spans="2:11" x14ac:dyDescent="0.25">
      <c r="D68" s="3" t="s">
        <v>88</v>
      </c>
      <c r="E68" s="3">
        <v>1</v>
      </c>
      <c r="F68" s="3">
        <v>1</v>
      </c>
      <c r="G68" s="75">
        <f>(1/G66)</f>
        <v>0.66666666666666663</v>
      </c>
      <c r="H68" s="75">
        <f>(1/H66)</f>
        <v>0.5</v>
      </c>
    </row>
    <row r="72" spans="2:11" x14ac:dyDescent="0.25">
      <c r="B72" s="80" t="s">
        <v>99</v>
      </c>
    </row>
    <row r="73" spans="2:11" ht="21.75" thickBot="1" x14ac:dyDescent="0.4">
      <c r="B73" s="52" t="s">
        <v>1</v>
      </c>
    </row>
    <row r="74" spans="2:11" x14ac:dyDescent="0.25">
      <c r="B74" s="60" t="s">
        <v>59</v>
      </c>
      <c r="C74" s="53">
        <v>75</v>
      </c>
      <c r="D74" s="53">
        <v>175</v>
      </c>
      <c r="E74" s="53">
        <v>275</v>
      </c>
      <c r="F74" s="61">
        <v>475</v>
      </c>
      <c r="G74" s="53">
        <v>975</v>
      </c>
      <c r="H74" s="53">
        <v>1275</v>
      </c>
      <c r="I74" s="61">
        <v>2475</v>
      </c>
      <c r="J74" s="53">
        <v>4975</v>
      </c>
      <c r="K74" s="54">
        <v>9975</v>
      </c>
    </row>
    <row r="75" spans="2:11" ht="15.75" thickBot="1" x14ac:dyDescent="0.3">
      <c r="B75" s="62" t="s">
        <v>60</v>
      </c>
      <c r="C75" s="63">
        <f>1/C74</f>
        <v>1.3333333333333334E-2</v>
      </c>
      <c r="D75" s="63">
        <f t="shared" ref="D75:K75" si="26">1/D74</f>
        <v>5.7142857142857143E-3</v>
      </c>
      <c r="E75" s="63">
        <f t="shared" si="26"/>
        <v>3.6363636363636364E-3</v>
      </c>
      <c r="F75" s="64">
        <f t="shared" si="26"/>
        <v>2.1052631578947368E-3</v>
      </c>
      <c r="G75" s="63">
        <f t="shared" si="26"/>
        <v>1.0256410256410256E-3</v>
      </c>
      <c r="H75" s="63">
        <f t="shared" si="26"/>
        <v>7.8431372549019605E-4</v>
      </c>
      <c r="I75" s="64">
        <f t="shared" si="26"/>
        <v>4.0404040404040404E-4</v>
      </c>
      <c r="J75" s="63">
        <f t="shared" si="26"/>
        <v>2.0100502512562814E-4</v>
      </c>
      <c r="K75" s="65">
        <f t="shared" si="26"/>
        <v>1.0025062656641604E-4</v>
      </c>
    </row>
    <row r="76" spans="2:11" x14ac:dyDescent="0.25">
      <c r="B76" s="16" t="s">
        <v>56</v>
      </c>
      <c r="C76" s="53">
        <v>2.1899999999999999E-2</v>
      </c>
      <c r="D76" s="53">
        <v>3.4599999999999999E-2</v>
      </c>
      <c r="E76" s="53">
        <v>4.36E-2</v>
      </c>
      <c r="F76" s="53">
        <v>5.6899999999999999E-2</v>
      </c>
      <c r="G76" s="53">
        <v>7.8299999999999995E-2</v>
      </c>
      <c r="H76" s="53">
        <v>8.6900000000000005E-2</v>
      </c>
      <c r="I76" s="53">
        <v>0.11119999999999999</v>
      </c>
      <c r="J76" s="53">
        <v>0.14269999999999999</v>
      </c>
      <c r="K76" s="54">
        <v>0.1822</v>
      </c>
    </row>
    <row r="77" spans="2:11" x14ac:dyDescent="0.25">
      <c r="B77" s="20" t="s">
        <v>57</v>
      </c>
      <c r="C77" s="55">
        <v>4.0500000000000001E-2</v>
      </c>
      <c r="D77" s="55">
        <v>7.2300000000000003E-2</v>
      </c>
      <c r="E77" s="55">
        <v>9.6799999999999997E-2</v>
      </c>
      <c r="F77" s="55">
        <v>0.1353</v>
      </c>
      <c r="G77" s="55">
        <v>0.2049</v>
      </c>
      <c r="H77" s="55">
        <v>0.23699999999999999</v>
      </c>
      <c r="I77" s="55">
        <v>0.33300000000000002</v>
      </c>
      <c r="J77" s="55">
        <v>0.46029999999999999</v>
      </c>
      <c r="K77" s="56">
        <v>0.61229999999999996</v>
      </c>
    </row>
    <row r="78" spans="2:11" ht="15.75" thickBot="1" x14ac:dyDescent="0.3">
      <c r="B78" s="57" t="s">
        <v>58</v>
      </c>
      <c r="C78" s="58">
        <v>7.6499999999999999E-2</v>
      </c>
      <c r="D78" s="58">
        <v>0.13089999999999999</v>
      </c>
      <c r="E78" s="58">
        <v>0.1736</v>
      </c>
      <c r="F78" s="58">
        <v>0.2392</v>
      </c>
      <c r="G78" s="58">
        <v>0.34949999999999998</v>
      </c>
      <c r="H78" s="58">
        <v>0.39689999999999998</v>
      </c>
      <c r="I78" s="58">
        <v>0.52990000000000004</v>
      </c>
      <c r="J78" s="58">
        <v>0.69689999999999996</v>
      </c>
      <c r="K78" s="59">
        <v>0.89090000000000003</v>
      </c>
    </row>
    <row r="80" spans="2:11" x14ac:dyDescent="0.25">
      <c r="C80" s="78"/>
      <c r="D80" s="78"/>
      <c r="E80" s="78"/>
      <c r="F80" s="78"/>
      <c r="G80" s="78"/>
      <c r="H80" s="78"/>
      <c r="I80" s="78"/>
      <c r="J80" s="78"/>
      <c r="K80" s="78"/>
    </row>
    <row r="81" spans="2:11" ht="21" x14ac:dyDescent="0.35">
      <c r="B81" s="52" t="s">
        <v>95</v>
      </c>
    </row>
    <row r="82" spans="2:11" x14ac:dyDescent="0.25">
      <c r="B82" s="20" t="s">
        <v>57</v>
      </c>
      <c r="C82" s="77">
        <v>3.0534253552491002E-2</v>
      </c>
      <c r="D82" s="77">
        <v>5.2247799204166001E-2</v>
      </c>
      <c r="E82" s="77">
        <v>6.8864213966061003E-2</v>
      </c>
      <c r="F82" s="77">
        <v>9.4689758228719001E-2</v>
      </c>
      <c r="G82" s="77">
        <v>0.14097016526665701</v>
      </c>
      <c r="H82" s="77">
        <v>0.162832985239144</v>
      </c>
      <c r="I82" s="77">
        <v>0.23135077772705301</v>
      </c>
      <c r="J82" s="77">
        <v>0.332024386493319</v>
      </c>
      <c r="K82" s="77">
        <v>0.47259360336538903</v>
      </c>
    </row>
    <row r="84" spans="2:11" ht="21" x14ac:dyDescent="0.35">
      <c r="B84" s="52" t="s">
        <v>94</v>
      </c>
    </row>
    <row r="85" spans="2:11" x14ac:dyDescent="0.25">
      <c r="B85" s="20" t="s">
        <v>57</v>
      </c>
      <c r="C85" s="77">
        <v>2.6119697499103998E-2</v>
      </c>
      <c r="D85" s="77">
        <v>4.4263655745839001E-2</v>
      </c>
      <c r="E85" s="77">
        <v>5.7840751599430001E-2</v>
      </c>
      <c r="F85" s="77">
        <v>7.9059267015249998E-2</v>
      </c>
      <c r="G85" s="77">
        <v>0.116949276929855</v>
      </c>
      <c r="H85" s="77">
        <v>0.13521223795982901</v>
      </c>
      <c r="I85" s="77">
        <v>0.194528978104341</v>
      </c>
      <c r="J85" s="77">
        <v>0.28896669111729101</v>
      </c>
      <c r="K85" s="77">
        <v>0.43849156574250803</v>
      </c>
    </row>
    <row r="87" spans="2:11" ht="21" x14ac:dyDescent="0.35">
      <c r="B87" s="52" t="s">
        <v>96</v>
      </c>
    </row>
    <row r="88" spans="2:11" x14ac:dyDescent="0.25">
      <c r="B88" s="20" t="s">
        <v>57</v>
      </c>
      <c r="C88" s="77">
        <v>2.6119697499103998E-2</v>
      </c>
      <c r="D88" s="77">
        <v>4.4263655745839001E-2</v>
      </c>
      <c r="E88" s="77">
        <v>5.7840751599430001E-2</v>
      </c>
      <c r="F88" s="77">
        <v>7.9059267015249998E-2</v>
      </c>
      <c r="G88" s="77">
        <v>0.116949276929855</v>
      </c>
      <c r="H88" s="77">
        <v>0.13521223795982901</v>
      </c>
      <c r="I88" s="77">
        <v>0.194528978104341</v>
      </c>
      <c r="J88" s="77">
        <v>0.28896669111729101</v>
      </c>
      <c r="K88" s="77">
        <v>0.43849156574250803</v>
      </c>
    </row>
  </sheetData>
  <mergeCells count="1">
    <mergeCell ref="E49:H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HazCur-STGR-26-08-12</vt:lpstr>
      <vt:lpstr>UHS-STGR-26-08-12</vt:lpstr>
      <vt:lpstr>comparison-OldPSHA</vt:lpstr>
      <vt:lpstr>Guwa-HazCur-STGR-26-08-18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sks</cp:lastModifiedBy>
  <dcterms:created xsi:type="dcterms:W3CDTF">2026-08-11T13:09:11Z</dcterms:created>
  <dcterms:modified xsi:type="dcterms:W3CDTF">2026-08-27T05:10:02Z</dcterms:modified>
</cp:coreProperties>
</file>