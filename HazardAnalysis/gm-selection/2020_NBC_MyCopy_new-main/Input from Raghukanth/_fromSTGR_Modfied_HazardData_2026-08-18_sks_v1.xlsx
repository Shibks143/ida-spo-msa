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penSees_PracticeExamples\ida-spo-msa\HazardAnalysis\gm-selection\2020_NBC_MyCopy_new-main\Input from Raghukanth\"/>
    </mc:Choice>
  </mc:AlternateContent>
  <bookViews>
    <workbookView xWindow="-120" yWindow="-120" windowWidth="29040" windowHeight="15720" tabRatio="844" activeTab="4"/>
  </bookViews>
  <sheets>
    <sheet name="HazCur-STGR-2026-08-12" sheetId="1" r:id="rId1"/>
    <sheet name="UHS-STGR-2026-08-12" sheetId="2" r:id="rId2"/>
    <sheet name="comparison-with-OldPSHA" sheetId="4" r:id="rId3"/>
    <sheet name="Guwa-HazCur-STGR-2026-08-18" sheetId="6" r:id="rId4"/>
    <sheet name="Delhi-HazCur-STGR-2026-08-18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7" l="1"/>
  <c r="C58" i="7" s="1"/>
  <c r="B57" i="7"/>
  <c r="B58" i="7" s="1"/>
  <c r="G62" i="7"/>
  <c r="G46" i="7" s="1"/>
  <c r="F62" i="7"/>
  <c r="F46" i="7" s="1"/>
  <c r="J69" i="7"/>
  <c r="I69" i="7"/>
  <c r="H69" i="7"/>
  <c r="G69" i="7"/>
  <c r="F69" i="7"/>
  <c r="E69" i="7"/>
  <c r="D69" i="7"/>
  <c r="C69" i="7"/>
  <c r="B69" i="7"/>
  <c r="G52" i="7" l="1"/>
  <c r="G45" i="7"/>
  <c r="G47" i="7"/>
  <c r="F45" i="7"/>
  <c r="F52" i="7"/>
  <c r="F51" i="7"/>
  <c r="F50" i="7"/>
  <c r="F49" i="7"/>
  <c r="F48" i="7"/>
  <c r="F47" i="7"/>
  <c r="G51" i="7"/>
  <c r="G50" i="7"/>
  <c r="G49" i="7"/>
  <c r="G48" i="7"/>
  <c r="G46" i="6"/>
  <c r="G47" i="6"/>
  <c r="G48" i="6"/>
  <c r="G49" i="6"/>
  <c r="G50" i="6"/>
  <c r="G51" i="6"/>
  <c r="G52" i="6"/>
  <c r="G45" i="6"/>
  <c r="F46" i="6"/>
  <c r="F47" i="6"/>
  <c r="F48" i="6"/>
  <c r="F49" i="6"/>
  <c r="F50" i="6"/>
  <c r="F51" i="6"/>
  <c r="F52" i="6"/>
  <c r="F45" i="6"/>
  <c r="F60" i="6"/>
  <c r="G60" i="6"/>
  <c r="E60" i="6"/>
  <c r="E46" i="6" s="1"/>
  <c r="D46" i="6"/>
  <c r="D47" i="6"/>
  <c r="D48" i="6"/>
  <c r="D49" i="6"/>
  <c r="D50" i="6"/>
  <c r="D51" i="6"/>
  <c r="D52" i="6"/>
  <c r="D45" i="6"/>
  <c r="E50" i="6" l="1"/>
  <c r="E49" i="6"/>
  <c r="E48" i="6"/>
  <c r="E47" i="6"/>
  <c r="E45" i="6"/>
  <c r="E52" i="6"/>
  <c r="E51" i="6"/>
  <c r="C55" i="6" l="1"/>
  <c r="C56" i="6" s="1"/>
  <c r="B55" i="6"/>
  <c r="B56" i="6" s="1"/>
  <c r="J84" i="6"/>
  <c r="I84" i="6"/>
  <c r="H84" i="6"/>
  <c r="G84" i="6"/>
  <c r="F84" i="6"/>
  <c r="E84" i="6"/>
  <c r="D84" i="6"/>
  <c r="C84" i="6"/>
  <c r="B84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22" i="6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22" i="7"/>
  <c r="E46" i="7"/>
  <c r="E47" i="7"/>
  <c r="E48" i="7"/>
  <c r="E49" i="7"/>
  <c r="E50" i="7"/>
  <c r="E51" i="7"/>
  <c r="E52" i="7"/>
  <c r="E45" i="7"/>
  <c r="D46" i="7"/>
  <c r="D47" i="7"/>
  <c r="D48" i="7"/>
  <c r="D49" i="7"/>
  <c r="D50" i="7"/>
  <c r="D51" i="7"/>
  <c r="D52" i="7"/>
  <c r="D45" i="7"/>
  <c r="E31" i="4" l="1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K3" i="4"/>
  <c r="J3" i="4"/>
  <c r="I3" i="4"/>
  <c r="H3" i="4"/>
  <c r="G3" i="4"/>
  <c r="F3" i="4"/>
  <c r="E3" i="4"/>
  <c r="D3" i="4"/>
  <c r="C3" i="4"/>
  <c r="D53" i="1"/>
  <c r="D54" i="1"/>
  <c r="D55" i="1"/>
  <c r="D56" i="1"/>
  <c r="D57" i="1"/>
  <c r="D58" i="1"/>
  <c r="D59" i="1"/>
  <c r="D60" i="1"/>
  <c r="D52" i="1"/>
  <c r="E69" i="1"/>
  <c r="E53" i="1" s="1"/>
  <c r="B60" i="1"/>
  <c r="B59" i="1"/>
  <c r="B58" i="1"/>
  <c r="B57" i="1"/>
  <c r="B56" i="1"/>
  <c r="B55" i="1"/>
  <c r="B54" i="1"/>
  <c r="B53" i="1"/>
  <c r="B52" i="1"/>
  <c r="E58" i="1" l="1"/>
  <c r="E60" i="1"/>
  <c r="C8" i="4"/>
  <c r="G8" i="4"/>
  <c r="H8" i="4"/>
  <c r="J8" i="4"/>
  <c r="K8" i="4"/>
  <c r="I8" i="4"/>
  <c r="I11" i="4" s="1"/>
  <c r="D8" i="4"/>
  <c r="E8" i="4"/>
  <c r="F8" i="4"/>
  <c r="F11" i="4" s="1"/>
  <c r="E59" i="1"/>
  <c r="E57" i="1"/>
  <c r="E56" i="1"/>
  <c r="E52" i="1"/>
  <c r="E55" i="1"/>
  <c r="E54" i="1"/>
  <c r="F12" i="4" l="1"/>
  <c r="I12" i="4"/>
</calcChain>
</file>

<file path=xl/sharedStrings.xml><?xml version="1.0" encoding="utf-8"?>
<sst xmlns="http://schemas.openxmlformats.org/spreadsheetml/2006/main" count="260" uniqueCount="100">
  <si>
    <t>Sa_g</t>
  </si>
  <si>
    <t>PGA</t>
  </si>
  <si>
    <t>T=0.01s</t>
  </si>
  <si>
    <t>T=0.015s</t>
  </si>
  <si>
    <t>T=0.02s</t>
  </si>
  <si>
    <t>T=0.03s</t>
  </si>
  <si>
    <t>T=0.04s</t>
  </si>
  <si>
    <t>T=0.05s</t>
  </si>
  <si>
    <t>T=0.06s</t>
  </si>
  <si>
    <t>T=0.07s</t>
  </si>
  <si>
    <t>T=0.08s</t>
  </si>
  <si>
    <t>T=0.09s</t>
  </si>
  <si>
    <t>T=0.1s</t>
  </si>
  <si>
    <t>T=0.15s</t>
  </si>
  <si>
    <t>T=0.2s</t>
  </si>
  <si>
    <t>T=0.25s</t>
  </si>
  <si>
    <t>T=0.3s</t>
  </si>
  <si>
    <t>T=0.4s</t>
  </si>
  <si>
    <t>T=0.6s</t>
  </si>
  <si>
    <t>T=0.8s</t>
  </si>
  <si>
    <t>T=1.0s</t>
  </si>
  <si>
    <t>T=1.5s</t>
  </si>
  <si>
    <t>T=2.0s</t>
  </si>
  <si>
    <t>T=3.0s</t>
  </si>
  <si>
    <t>T=4.0s</t>
  </si>
  <si>
    <t>T=5.0s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</si>
  <si>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</si>
  <si>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</si>
  <si>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</si>
  <si>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</si>
  <si>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</si>
  <si>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</si>
  <si>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</si>
  <si>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</si>
  <si>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</si>
  <si>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</si>
  <si>
    <t>Zone-VI</t>
  </si>
  <si>
    <t>Sa(0)</t>
  </si>
  <si>
    <t>Sa(1)</t>
  </si>
  <si>
    <t>TR (years)</t>
  </si>
  <si>
    <t>Sa(1s)</t>
  </si>
  <si>
    <t>IM</t>
  </si>
  <si>
    <r>
      <t>T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(S)</t>
    </r>
  </si>
  <si>
    <r>
      <t>A</t>
    </r>
    <r>
      <rPr>
        <sz val="8"/>
        <color theme="1"/>
        <rFont val="Calibri"/>
        <family val="2"/>
        <scheme val="minor"/>
      </rPr>
      <t>NH,5%</t>
    </r>
    <r>
      <rPr>
        <sz val="11"/>
        <color theme="1"/>
        <rFont val="Calibri"/>
        <family val="2"/>
        <scheme val="minor"/>
      </rPr>
      <t>(TH)</t>
    </r>
  </si>
  <si>
    <t>Lambda</t>
  </si>
  <si>
    <t>IS 1893: 2025</t>
  </si>
  <si>
    <t>locName</t>
  </si>
  <si>
    <t>SaT1_75y</t>
  </si>
  <si>
    <t>SaT1_175y</t>
  </si>
  <si>
    <t>SaT1_275y</t>
  </si>
  <si>
    <t>SaT1_475y</t>
  </si>
  <si>
    <t>SaT1_975y</t>
  </si>
  <si>
    <t>SaT1_1275y</t>
  </si>
  <si>
    <t>SaT1_2475y</t>
  </si>
  <si>
    <t>SaT1_4975y</t>
  </si>
  <si>
    <t>SaT1_9975y</t>
  </si>
  <si>
    <t>'Mumbai'</t>
  </si>
  <si>
    <t>'Delhi'</t>
  </si>
  <si>
    <t>'Guwahati'</t>
  </si>
  <si>
    <t>RP (y)</t>
  </si>
  <si>
    <t>AFE</t>
  </si>
  <si>
    <t>Source</t>
  </si>
  <si>
    <t>STGR-2026-08-12</t>
  </si>
  <si>
    <t>im</t>
  </si>
  <si>
    <t>λ_im</t>
  </si>
  <si>
    <t>ln(im)</t>
  </si>
  <si>
    <t>ln(λ_im)</t>
  </si>
  <si>
    <t>Y</t>
  </si>
  <si>
    <t>X</t>
  </si>
  <si>
    <t>Proposed code</t>
  </si>
  <si>
    <t>Δ (PSHA_new - PSHA_old)</t>
  </si>
  <si>
    <t>Δ (proposedCode - PSHA_new)</t>
  </si>
  <si>
    <t>PSHA_old (STGR c. 2020)</t>
  </si>
  <si>
    <t>Fig. 11, Sreejaya et al. (2022)</t>
  </si>
  <si>
    <t>T=0.075s</t>
  </si>
  <si>
    <t>T=0.5s</t>
  </si>
  <si>
    <t>T=0.7s</t>
  </si>
  <si>
    <t>T=0.75s</t>
  </si>
  <si>
    <t>T=0.9s</t>
  </si>
  <si>
    <t>T=1s</t>
  </si>
  <si>
    <t>T=1.2s</t>
  </si>
  <si>
    <t>T=2s</t>
  </si>
  <si>
    <t>T=2.5s</t>
  </si>
  <si>
    <t>T=3s</t>
  </si>
  <si>
    <t>T=5s</t>
  </si>
  <si>
    <t>Delhi</t>
  </si>
  <si>
    <t>Guwahati</t>
  </si>
  <si>
    <t>After Amplification</t>
  </si>
  <si>
    <t>TH(S)</t>
  </si>
  <si>
    <t>ANH,5%(TH)</t>
  </si>
  <si>
    <t>DBE</t>
  </si>
  <si>
    <t>MCE</t>
  </si>
  <si>
    <t>Sa</t>
  </si>
  <si>
    <t>Sa(1.5s)</t>
  </si>
  <si>
    <t>Sa(2s)</t>
  </si>
  <si>
    <r>
      <t>Sa(T=1.5s)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</si>
  <si>
    <r>
      <t>Sa(T=1.0s)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</si>
  <si>
    <r>
      <t>Sa(T=2s)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</si>
  <si>
    <t>PSHA_new (STGR-2026-08-18)</t>
  </si>
  <si>
    <t>Zone-IV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</si>
</sst>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3F3F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FF"/>
      <name val="Calibri"/>
      <family val="2"/>
      <scheme val="minor"/>
    </font>
    <font>
      <sz val="7"/>
      <color rgb="FF0000FF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11"/>
      <color rgb="FF0000FF"/>
      <name val="Arial"/>
      <family val="2"/>
    </font>
    <font>
      <sz val="9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6"/>
      <color rgb="FF000000"/>
      <name val="Times New Roman"/>
      <family val="1"/>
    </font>
    <font>
      <i/>
      <sz val="16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8C"/>
        <bgColor rgb="FF1F4E8C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3" fillId="3" borderId="1" applyNumberFormat="0" applyAlignment="0" applyProtection="0"/>
    <xf numFmtId="0" fontId="15" fillId="9" borderId="0" applyNumberFormat="0" applyBorder="0" applyAlignment="0" applyProtection="0"/>
    <xf numFmtId="0" fontId="16" fillId="10" borderId="1" applyNumberFormat="0" applyAlignment="0" applyProtection="0"/>
  </cellStyleXfs>
  <cellXfs count="9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3" borderId="2" xfId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/>
    <xf numFmtId="0" fontId="3" fillId="5" borderId="1" xfId="1" applyFill="1"/>
    <xf numFmtId="0" fontId="7" fillId="7" borderId="1" xfId="1" applyFont="1" applyFill="1"/>
    <xf numFmtId="0" fontId="8" fillId="7" borderId="1" xfId="1" applyFont="1" applyFill="1"/>
    <xf numFmtId="11" fontId="0" fillId="0" borderId="0" xfId="0" applyNumberFormat="1"/>
    <xf numFmtId="11" fontId="8" fillId="7" borderId="0" xfId="0" applyNumberFormat="1" applyFont="1" applyFill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8" fillId="7" borderId="10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8" fillId="7" borderId="1" xfId="1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5" borderId="14" xfId="1" applyFill="1" applyBorder="1"/>
    <xf numFmtId="0" fontId="3" fillId="5" borderId="15" xfId="1" applyFill="1" applyBorder="1" applyAlignment="1">
      <alignment horizontal="center" vertical="center"/>
    </xf>
    <xf numFmtId="0" fontId="8" fillId="7" borderId="15" xfId="1" applyFont="1" applyFill="1" applyBorder="1" applyAlignment="1">
      <alignment horizontal="center" vertical="center"/>
    </xf>
    <xf numFmtId="0" fontId="3" fillId="5" borderId="16" xfId="1" applyFill="1" applyBorder="1" applyAlignment="1">
      <alignment horizontal="center" vertical="center"/>
    </xf>
    <xf numFmtId="0" fontId="5" fillId="0" borderId="7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quotePrefix="1" applyNumberForma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5" fontId="8" fillId="7" borderId="0" xfId="1" applyNumberFormat="1" applyFont="1" applyFill="1" applyBorder="1" applyAlignment="1">
      <alignment horizontal="center" vertical="center"/>
    </xf>
    <xf numFmtId="0" fontId="13" fillId="0" borderId="0" xfId="0" applyFont="1"/>
    <xf numFmtId="0" fontId="14" fillId="8" borderId="0" xfId="0" applyFont="1" applyFill="1"/>
    <xf numFmtId="0" fontId="6" fillId="8" borderId="1" xfId="1" applyFont="1" applyFill="1"/>
    <xf numFmtId="165" fontId="6" fillId="8" borderId="0" xfId="0" quotePrefix="1" applyNumberFormat="1" applyFont="1" applyFill="1" applyAlignment="1">
      <alignment horizontal="center"/>
    </xf>
    <xf numFmtId="165" fontId="6" fillId="8" borderId="0" xfId="1" applyNumberFormat="1" applyFont="1" applyFill="1" applyBorder="1" applyAlignment="1">
      <alignment horizontal="center" vertical="center"/>
    </xf>
    <xf numFmtId="0" fontId="3" fillId="3" borderId="1" xfId="1"/>
    <xf numFmtId="0" fontId="16" fillId="10" borderId="1" xfId="3"/>
    <xf numFmtId="0" fontId="3" fillId="3" borderId="1" xfId="1" applyAlignment="1">
      <alignment horizontal="center" vertical="center"/>
    </xf>
    <xf numFmtId="0" fontId="15" fillId="9" borderId="0" xfId="2" applyAlignment="1">
      <alignment horizontal="center" vertical="center"/>
    </xf>
    <xf numFmtId="164" fontId="15" fillId="9" borderId="0" xfId="2" applyNumberFormat="1" applyAlignment="1">
      <alignment horizontal="center" vertical="center"/>
    </xf>
    <xf numFmtId="0" fontId="5" fillId="0" borderId="1" xfId="1" applyFont="1" applyFill="1"/>
    <xf numFmtId="0" fontId="17" fillId="0" borderId="0" xfId="0" applyFont="1" applyAlignment="1">
      <alignment horizontal="center"/>
    </xf>
    <xf numFmtId="0" fontId="18" fillId="0" borderId="0" xfId="0" applyFont="1"/>
    <xf numFmtId="0" fontId="0" fillId="0" borderId="9" xfId="0" applyBorder="1"/>
    <xf numFmtId="0" fontId="0" fillId="0" borderId="11" xfId="0" applyBorder="1"/>
    <xf numFmtId="0" fontId="0" fillId="0" borderId="0" xfId="0" applyBorder="1"/>
    <xf numFmtId="0" fontId="0" fillId="0" borderId="13" xfId="0" applyBorder="1"/>
    <xf numFmtId="0" fontId="0" fillId="0" borderId="20" xfId="0" applyBorder="1"/>
    <xf numFmtId="0" fontId="0" fillId="0" borderId="22" xfId="0" applyBorder="1"/>
    <xf numFmtId="0" fontId="0" fillId="0" borderId="21" xfId="0" applyBorder="1"/>
    <xf numFmtId="0" fontId="5" fillId="0" borderId="8" xfId="0" applyFont="1" applyBorder="1"/>
    <xf numFmtId="0" fontId="8" fillId="7" borderId="10" xfId="1" applyFont="1" applyFill="1" applyBorder="1"/>
    <xf numFmtId="0" fontId="5" fillId="0" borderId="20" xfId="0" applyFont="1" applyBorder="1"/>
    <xf numFmtId="11" fontId="0" fillId="0" borderId="22" xfId="0" applyNumberFormat="1" applyBorder="1"/>
    <xf numFmtId="11" fontId="8" fillId="7" borderId="22" xfId="0" applyNumberFormat="1" applyFont="1" applyFill="1" applyBorder="1"/>
    <xf numFmtId="11" fontId="0" fillId="0" borderId="21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1" fontId="0" fillId="0" borderId="22" xfId="0" applyNumberFormat="1" applyBorder="1" applyAlignment="1">
      <alignment horizontal="center"/>
    </xf>
    <xf numFmtId="11" fontId="0" fillId="0" borderId="21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9" fillId="3" borderId="1" xfId="1" applyFont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0" fontId="0" fillId="0" borderId="0" xfId="0" applyBorder="1" applyAlignment="1">
      <alignment horizontal="center"/>
    </xf>
    <xf numFmtId="0" fontId="3" fillId="3" borderId="2" xfId="1" applyBorder="1" applyAlignment="1">
      <alignment horizontal="center" vertical="center"/>
    </xf>
    <xf numFmtId="0" fontId="3" fillId="3" borderId="5" xfId="1" applyBorder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5" xfId="1" applyBorder="1" applyAlignment="1">
      <alignment horizontal="center" vertical="center" wrapText="1"/>
    </xf>
    <xf numFmtId="0" fontId="3" fillId="3" borderId="6" xfId="1" applyBorder="1" applyAlignment="1">
      <alignment horizontal="center" vertical="center" wrapText="1"/>
    </xf>
    <xf numFmtId="0" fontId="3" fillId="3" borderId="3" xfId="1" applyBorder="1" applyAlignment="1">
      <alignment horizontal="center"/>
    </xf>
    <xf numFmtId="0" fontId="3" fillId="3" borderId="4" xfId="1" applyBorder="1" applyAlignment="1">
      <alignment horizontal="center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9" fillId="3" borderId="23" xfId="1" applyFont="1" applyBorder="1" applyAlignment="1">
      <alignment horizontal="center" vertical="center"/>
    </xf>
    <xf numFmtId="0" fontId="19" fillId="3" borderId="24" xfId="1" applyFont="1" applyBorder="1" applyAlignment="1">
      <alignment horizontal="center" vertical="center"/>
    </xf>
    <xf numFmtId="0" fontId="19" fillId="3" borderId="25" xfId="1" applyFont="1" applyBorder="1" applyAlignment="1">
      <alignment horizontal="center" vertical="center"/>
    </xf>
    <xf numFmtId="0" fontId="19" fillId="3" borderId="0" xfId="1" applyFont="1" applyBorder="1" applyAlignment="1">
      <alignment horizontal="center" vertical="center"/>
    </xf>
  </cellXfs>
  <cellStyles count="4">
    <cellStyle name="Calculation" xfId="3" builtinId="22"/>
    <cellStyle name="Good" xfId="2" builtinId="26"/>
    <cellStyle name="Input" xfId="1" builtinId="20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85336151543619"/>
          <c:y val="3.8231988923950459E-2"/>
          <c:w val="0.72801121254838197"/>
          <c:h val="0.82804653840130349"/>
        </c:manualLayout>
      </c:layout>
      <c:scatterChart>
        <c:scatterStyle val="lineMarker"/>
        <c:varyColors val="0"/>
        <c:ser>
          <c:idx val="25"/>
          <c:order val="25"/>
          <c:tx>
            <c:v>2025 update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'HazCur-STGR-2026-08-12'!$E$52:$E$60</c:f>
              <c:numCache>
                <c:formatCode>0.000</c:formatCode>
                <c:ptCount val="9"/>
                <c:pt idx="0">
                  <c:v>0.3</c:v>
                </c:pt>
                <c:pt idx="1">
                  <c:v>0.375</c:v>
                </c:pt>
                <c:pt idx="2">
                  <c:v>0.45</c:v>
                </c:pt>
                <c:pt idx="3">
                  <c:v>0.5</c:v>
                </c:pt>
                <c:pt idx="4">
                  <c:v>0.6</c:v>
                </c:pt>
                <c:pt idx="5">
                  <c:v>0.625</c:v>
                </c:pt>
                <c:pt idx="6">
                  <c:v>0.75</c:v>
                </c:pt>
                <c:pt idx="7">
                  <c:v>0.94</c:v>
                </c:pt>
                <c:pt idx="8">
                  <c:v>1.125</c:v>
                </c:pt>
              </c:numCache>
            </c:numRef>
          </c:xVal>
          <c:yVal>
            <c:numRef>
              <c:f>'HazCur-STGR-2026-08-12'!$B$52:$B$60</c:f>
              <c:numCache>
                <c:formatCode>General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6-498C-BEF2-3D6534E4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</c:scatterChart>
      <c:scatterChart>
        <c:scatterStyle val="smoothMarker"/>
        <c:varyColors val="0"/>
        <c:ser>
          <c:idx val="0"/>
          <c:order val="0"/>
          <c:tx>
            <c:strRef>
              <c:f>'HazCur-STGR-2026-08-12'!$B$1</c:f>
              <c:strCache>
                <c:ptCount val="1"/>
                <c:pt idx="0">
                  <c:v>PGA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'HazCur-STGR-2026-08-12'!$B$2:$B$46</c:f>
              <c:numCache>
                <c:formatCode>General</c:formatCode>
                <c:ptCount val="45"/>
                <c:pt idx="0">
                  <c:v>5.908095883205533</c:v>
                </c:pt>
                <c:pt idx="1">
                  <c:v>5.6157982642762363</c:v>
                </c:pt>
                <c:pt idx="2">
                  <c:v>5.288259997498244</c:v>
                </c:pt>
                <c:pt idx="3">
                  <c:v>4.932238485198468</c:v>
                </c:pt>
                <c:pt idx="4">
                  <c:v>4.5559072559699416</c:v>
                </c:pt>
                <c:pt idx="5">
                  <c:v>4.1680081523954868</c:v>
                </c:pt>
                <c:pt idx="6">
                  <c:v>3.7769307119306181</c:v>
                </c:pt>
                <c:pt idx="7">
                  <c:v>3.390166056575254</c:v>
                </c:pt>
                <c:pt idx="8">
                  <c:v>3.0140202215407039</c:v>
                </c:pt>
                <c:pt idx="9">
                  <c:v>2.6535293023334821</c:v>
                </c:pt>
                <c:pt idx="10">
                  <c:v>2.3125683418475091</c:v>
                </c:pt>
                <c:pt idx="11">
                  <c:v>1.993954722885974</c:v>
                </c:pt>
                <c:pt idx="12">
                  <c:v>1.6997255242895331</c:v>
                </c:pt>
                <c:pt idx="13">
                  <c:v>1.431243818427901</c:v>
                </c:pt>
                <c:pt idx="14">
                  <c:v>1.189409613900352</c:v>
                </c:pt>
                <c:pt idx="15">
                  <c:v>0.97464939196652278</c:v>
                </c:pt>
                <c:pt idx="16">
                  <c:v>0.78697227066732012</c:v>
                </c:pt>
                <c:pt idx="17">
                  <c:v>0.62586014264525147</c:v>
                </c:pt>
                <c:pt idx="18">
                  <c:v>0.49018576629532618</c:v>
                </c:pt>
                <c:pt idx="19">
                  <c:v>0.37823593342545792</c:v>
                </c:pt>
                <c:pt idx="20">
                  <c:v>0.28772647768619208</c:v>
                </c:pt>
                <c:pt idx="21">
                  <c:v>0.21600190183744411</c:v>
                </c:pt>
                <c:pt idx="22">
                  <c:v>0.1602190604962743</c:v>
                </c:pt>
                <c:pt idx="23">
                  <c:v>0.1175477097727792</c:v>
                </c:pt>
                <c:pt idx="24">
                  <c:v>8.5402565253673401E-2</c:v>
                </c:pt>
                <c:pt idx="25">
                  <c:v>6.1491962566833501E-2</c:v>
                </c:pt>
                <c:pt idx="26">
                  <c:v>4.3901457669789999E-2</c:v>
                </c:pt>
                <c:pt idx="27">
                  <c:v>3.1084822974548801E-2</c:v>
                </c:pt>
                <c:pt idx="28">
                  <c:v>2.18023868669678E-2</c:v>
                </c:pt>
                <c:pt idx="29">
                  <c:v>1.51336448834697E-2</c:v>
                </c:pt>
                <c:pt idx="30">
                  <c:v>1.03845140074554E-2</c:v>
                </c:pt>
                <c:pt idx="31">
                  <c:v>7.0239158449112004E-3</c:v>
                </c:pt>
                <c:pt idx="32">
                  <c:v>4.6731057329906997E-3</c:v>
                </c:pt>
                <c:pt idx="33">
                  <c:v>3.0554395638375002E-3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2-4AA1-99EC-1B70B83F8AD9}"/>
            </c:ext>
          </c:extLst>
        </c:ser>
        <c:ser>
          <c:idx val="11"/>
          <c:order val="11"/>
          <c:tx>
            <c:strRef>
              <c:f>'HazCur-STGR-2026-08-12'!$M$1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'HazCur-STGR-2026-08-12'!$M$2:$M$46</c:f>
              <c:numCache>
                <c:formatCode>General</c:formatCode>
                <c:ptCount val="45"/>
                <c:pt idx="0">
                  <c:v>6.4260667972266674</c:v>
                </c:pt>
                <c:pt idx="1">
                  <c:v>6.2491362881846726</c:v>
                </c:pt>
                <c:pt idx="2">
                  <c:v>6.0373327913694084</c:v>
                </c:pt>
                <c:pt idx="3">
                  <c:v>5.7897505713626742</c:v>
                </c:pt>
                <c:pt idx="4">
                  <c:v>5.5076663843356073</c:v>
                </c:pt>
                <c:pt idx="5">
                  <c:v>5.1945849792100489</c:v>
                </c:pt>
                <c:pt idx="6">
                  <c:v>4.8560367021709681</c:v>
                </c:pt>
                <c:pt idx="7">
                  <c:v>4.4988741052802652</c:v>
                </c:pt>
                <c:pt idx="8">
                  <c:v>4.1306324659381062</c:v>
                </c:pt>
                <c:pt idx="9">
                  <c:v>3.758716818527319</c:v>
                </c:pt>
                <c:pt idx="10">
                  <c:v>3.3898728836793448</c:v>
                </c:pt>
                <c:pt idx="11">
                  <c:v>3.029936530510895</c:v>
                </c:pt>
                <c:pt idx="12">
                  <c:v>2.6836644407594581</c:v>
                </c:pt>
                <c:pt idx="13">
                  <c:v>2.354712304542772</c:v>
                </c:pt>
                <c:pt idx="14">
                  <c:v>2.0458045591658451</c:v>
                </c:pt>
                <c:pt idx="15">
                  <c:v>1.7588238715252369</c:v>
                </c:pt>
                <c:pt idx="16">
                  <c:v>1.4950494354707189</c:v>
                </c:pt>
                <c:pt idx="17">
                  <c:v>1.2553130784217501</c:v>
                </c:pt>
                <c:pt idx="18">
                  <c:v>1.040100251506374</c:v>
                </c:pt>
                <c:pt idx="19">
                  <c:v>0.84958523808381869</c:v>
                </c:pt>
                <c:pt idx="20">
                  <c:v>0.68365462150359235</c:v>
                </c:pt>
                <c:pt idx="21">
                  <c:v>0.54172281135288358</c:v>
                </c:pt>
                <c:pt idx="22">
                  <c:v>0.42270103787177499</c:v>
                </c:pt>
                <c:pt idx="23">
                  <c:v>0.32492130963237281</c:v>
                </c:pt>
                <c:pt idx="24">
                  <c:v>0.24623171727607479</c:v>
                </c:pt>
                <c:pt idx="25">
                  <c:v>0.18417378261176509</c:v>
                </c:pt>
                <c:pt idx="26">
                  <c:v>0.13613177508250371</c:v>
                </c:pt>
                <c:pt idx="27">
                  <c:v>9.9555428073699603E-2</c:v>
                </c:pt>
                <c:pt idx="28">
                  <c:v>7.2104301543021096E-2</c:v>
                </c:pt>
                <c:pt idx="29">
                  <c:v>5.1754325686829299E-2</c:v>
                </c:pt>
                <c:pt idx="30">
                  <c:v>3.6832410783974298E-2</c:v>
                </c:pt>
                <c:pt idx="31">
                  <c:v>2.5974456715630301E-2</c:v>
                </c:pt>
                <c:pt idx="32">
                  <c:v>1.813333552127E-2</c:v>
                </c:pt>
                <c:pt idx="33">
                  <c:v>1.2505476221122001E-2</c:v>
                </c:pt>
                <c:pt idx="34">
                  <c:v>8.5004024049338996E-3</c:v>
                </c:pt>
                <c:pt idx="35">
                  <c:v>5.6806670843343003E-3</c:v>
                </c:pt>
                <c:pt idx="36">
                  <c:v>3.7179783263923002E-3</c:v>
                </c:pt>
                <c:pt idx="37">
                  <c:v>2.3702553235125001E-3</c:v>
                </c:pt>
                <c:pt idx="38">
                  <c:v>1.4447076257511E-3</c:v>
                </c:pt>
                <c:pt idx="39">
                  <c:v>8.4289081189580005E-4</c:v>
                </c:pt>
                <c:pt idx="40">
                  <c:v>4.648587473639E-4</c:v>
                </c:pt>
                <c:pt idx="41">
                  <c:v>2.222652515229E-4</c:v>
                </c:pt>
                <c:pt idx="42">
                  <c:v>9.9579545349115506E-5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952-4AA1-99EC-1B70B83F8AD9}"/>
            </c:ext>
          </c:extLst>
        </c:ser>
        <c:ser>
          <c:idx val="19"/>
          <c:order val="19"/>
          <c:tx>
            <c:strRef>
              <c:f>'HazCur-STGR-2026-08-12'!$U$1</c:f>
              <c:strCache>
                <c:ptCount val="1"/>
                <c:pt idx="0">
                  <c:v>T=1.0s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'HazCur-STGR-2026-08-12'!$U$2:$U$46</c:f>
              <c:numCache>
                <c:formatCode>General</c:formatCode>
                <c:ptCount val="45"/>
                <c:pt idx="0">
                  <c:v>4.5092838304117322</c:v>
                </c:pt>
                <c:pt idx="1">
                  <c:v>4.0947738969698548</c:v>
                </c:pt>
                <c:pt idx="2">
                  <c:v>3.68082809727639</c:v>
                </c:pt>
                <c:pt idx="3">
                  <c:v>3.2758593156468119</c:v>
                </c:pt>
                <c:pt idx="4">
                  <c:v>2.8865567012690012</c:v>
                </c:pt>
                <c:pt idx="5">
                  <c:v>2.5180985159240659</c:v>
                </c:pt>
                <c:pt idx="6">
                  <c:v>2.1742547051981091</c:v>
                </c:pt>
                <c:pt idx="7">
                  <c:v>1.85780697222799</c:v>
                </c:pt>
                <c:pt idx="8">
                  <c:v>1.5706303120823579</c:v>
                </c:pt>
                <c:pt idx="9">
                  <c:v>1.3138645904837181</c:v>
                </c:pt>
                <c:pt idx="10">
                  <c:v>1.0878303044009949</c:v>
                </c:pt>
                <c:pt idx="11">
                  <c:v>0.8919842162868008</c:v>
                </c:pt>
                <c:pt idx="12">
                  <c:v>0.72491771541535854</c:v>
                </c:pt>
                <c:pt idx="13">
                  <c:v>0.58447192655876279</c:v>
                </c:pt>
                <c:pt idx="14">
                  <c:v>0.46788329002447421</c:v>
                </c:pt>
                <c:pt idx="15">
                  <c:v>0.3721209612267557</c:v>
                </c:pt>
                <c:pt idx="16">
                  <c:v>0.2940990076167509</c:v>
                </c:pt>
                <c:pt idx="17">
                  <c:v>0.23096497483493289</c:v>
                </c:pt>
                <c:pt idx="18">
                  <c:v>0.18014729220885781</c:v>
                </c:pt>
                <c:pt idx="19">
                  <c:v>0.13945902595878579</c:v>
                </c:pt>
                <c:pt idx="20">
                  <c:v>0.10707252000429431</c:v>
                </c:pt>
                <c:pt idx="21">
                  <c:v>8.1463542479468701E-2</c:v>
                </c:pt>
                <c:pt idx="22">
                  <c:v>6.13656983041437E-2</c:v>
                </c:pt>
                <c:pt idx="23">
                  <c:v>4.5739187571598401E-2</c:v>
                </c:pt>
                <c:pt idx="24">
                  <c:v>3.3685477994367802E-2</c:v>
                </c:pt>
                <c:pt idx="25">
                  <c:v>2.4489585677201799E-2</c:v>
                </c:pt>
                <c:pt idx="26">
                  <c:v>1.7513850769319099E-2</c:v>
                </c:pt>
                <c:pt idx="27">
                  <c:v>1.22963666190116E-2</c:v>
                </c:pt>
                <c:pt idx="28">
                  <c:v>8.4771061224273008E-3</c:v>
                </c:pt>
                <c:pt idx="29">
                  <c:v>5.7087540333212996E-3</c:v>
                </c:pt>
                <c:pt idx="30">
                  <c:v>3.7385748757969E-3</c:v>
                </c:pt>
                <c:pt idx="31">
                  <c:v>2.3757708445941001E-3</c:v>
                </c:pt>
                <c:pt idx="32">
                  <c:v>1.4328495963198001E-3</c:v>
                </c:pt>
                <c:pt idx="33">
                  <c:v>8.2908087642859999E-4</c:v>
                </c:pt>
                <c:pt idx="34">
                  <c:v>4.4997129862160001E-4</c:v>
                </c:pt>
                <c:pt idx="35">
                  <c:v>2.278904741217E-4</c:v>
                </c:pt>
                <c:pt idx="36">
                  <c:v>1.0519847637619999E-4</c:v>
                </c:pt>
                <c:pt idx="37">
                  <c:v>4.3245066990493797E-5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952-4AA1-99EC-1B70B83F8AD9}"/>
            </c:ext>
          </c:extLst>
        </c:ser>
        <c:ser>
          <c:idx val="20"/>
          <c:order val="20"/>
          <c:tx>
            <c:strRef>
              <c:f>'HazCur-STGR-2026-08-12'!$V$1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'HazCur-STGR-2026-08-12'!$V$2:$V$46</c:f>
              <c:numCache>
                <c:formatCode>General</c:formatCode>
                <c:ptCount val="45"/>
                <c:pt idx="0">
                  <c:v>3.1730593864340331</c:v>
                </c:pt>
                <c:pt idx="1">
                  <c:v>2.7866410573478788</c:v>
                </c:pt>
                <c:pt idx="2">
                  <c:v>2.423186692642048</c:v>
                </c:pt>
                <c:pt idx="3">
                  <c:v>2.0863971288781609</c:v>
                </c:pt>
                <c:pt idx="4">
                  <c:v>1.77894222503528</c:v>
                </c:pt>
                <c:pt idx="5">
                  <c:v>1.50244577229023</c:v>
                </c:pt>
                <c:pt idx="6">
                  <c:v>1.2575866502011199</c:v>
                </c:pt>
                <c:pt idx="7">
                  <c:v>1.043996205902658</c:v>
                </c:pt>
                <c:pt idx="8">
                  <c:v>0.86039111879654229</c:v>
                </c:pt>
                <c:pt idx="9">
                  <c:v>0.70462233212310821</c:v>
                </c:pt>
                <c:pt idx="10">
                  <c:v>0.57393506518565118</c:v>
                </c:pt>
                <c:pt idx="11">
                  <c:v>0.46526778949191788</c:v>
                </c:pt>
                <c:pt idx="12">
                  <c:v>0.37547315502888517</c:v>
                </c:pt>
                <c:pt idx="13">
                  <c:v>0.30163168805302121</c:v>
                </c:pt>
                <c:pt idx="14">
                  <c:v>0.2410802779195364</c:v>
                </c:pt>
                <c:pt idx="15">
                  <c:v>0.1915740347176324</c:v>
                </c:pt>
                <c:pt idx="16">
                  <c:v>0.15120084406225939</c:v>
                </c:pt>
                <c:pt idx="17">
                  <c:v>0.1183902122429572</c:v>
                </c:pt>
                <c:pt idx="18">
                  <c:v>9.1883711917034802E-2</c:v>
                </c:pt>
                <c:pt idx="19">
                  <c:v>7.0611394727166002E-2</c:v>
                </c:pt>
                <c:pt idx="20">
                  <c:v>5.3666726620576803E-2</c:v>
                </c:pt>
                <c:pt idx="21">
                  <c:v>4.0313399915248703E-2</c:v>
                </c:pt>
                <c:pt idx="22">
                  <c:v>2.9883045500355299E-2</c:v>
                </c:pt>
                <c:pt idx="23">
                  <c:v>2.1822607506692199E-2</c:v>
                </c:pt>
                <c:pt idx="24">
                  <c:v>1.5666062809941601E-2</c:v>
                </c:pt>
                <c:pt idx="25">
                  <c:v>1.1013921593985201E-2</c:v>
                </c:pt>
                <c:pt idx="26">
                  <c:v>7.5508890326999997E-3</c:v>
                </c:pt>
                <c:pt idx="27">
                  <c:v>5.0533954918136996E-3</c:v>
                </c:pt>
                <c:pt idx="28">
                  <c:v>3.2835908968991E-3</c:v>
                </c:pt>
                <c:pt idx="29">
                  <c:v>2.0575005398200002E-3</c:v>
                </c:pt>
                <c:pt idx="30">
                  <c:v>1.2151902852791999E-3</c:v>
                </c:pt>
                <c:pt idx="31">
                  <c:v>6.8608015135390005E-4</c:v>
                </c:pt>
                <c:pt idx="32">
                  <c:v>3.5495195021429998E-4</c:v>
                </c:pt>
                <c:pt idx="33">
                  <c:v>1.776235593524E-4</c:v>
                </c:pt>
                <c:pt idx="34">
                  <c:v>7.6374337368179113E-5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952-4AA1-99EC-1B70B83F8AD9}"/>
            </c:ext>
          </c:extLst>
        </c:ser>
        <c:ser>
          <c:idx val="21"/>
          <c:order val="21"/>
          <c:tx>
            <c:strRef>
              <c:f>'HazCur-STGR-2026-08-12'!$W$1</c:f>
              <c:strCache>
                <c:ptCount val="1"/>
                <c:pt idx="0">
                  <c:v>T=2.0s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'HazCur-STGR-2026-08-12'!$W$2:$W$46</c:f>
              <c:numCache>
                <c:formatCode>General</c:formatCode>
                <c:ptCount val="45"/>
                <c:pt idx="0">
                  <c:v>2.2424876689910889</c:v>
                </c:pt>
                <c:pt idx="1">
                  <c:v>1.9230280015617609</c:v>
                </c:pt>
                <c:pt idx="2">
                  <c:v>1.634754548314959</c:v>
                </c:pt>
                <c:pt idx="3">
                  <c:v>1.3784897122532129</c:v>
                </c:pt>
                <c:pt idx="4">
                  <c:v>1.1540082914289089</c:v>
                </c:pt>
                <c:pt idx="5">
                  <c:v>0.96003581152763218</c:v>
                </c:pt>
                <c:pt idx="6">
                  <c:v>0.79442220693454146</c:v>
                </c:pt>
                <c:pt idx="7">
                  <c:v>0.65444575605215505</c:v>
                </c:pt>
                <c:pt idx="8">
                  <c:v>0.53704573109280318</c:v>
                </c:pt>
                <c:pt idx="9">
                  <c:v>0.43915155873401091</c:v>
                </c:pt>
                <c:pt idx="10">
                  <c:v>0.35781700126244681</c:v>
                </c:pt>
                <c:pt idx="11">
                  <c:v>0.29040165612241248</c:v>
                </c:pt>
                <c:pt idx="12">
                  <c:v>0.23461748048430309</c:v>
                </c:pt>
                <c:pt idx="13">
                  <c:v>0.18852014714502729</c:v>
                </c:pt>
                <c:pt idx="14">
                  <c:v>0.15051328587287571</c:v>
                </c:pt>
                <c:pt idx="15">
                  <c:v>0.11926227353978899</c:v>
                </c:pt>
                <c:pt idx="16">
                  <c:v>9.3697365293337498E-2</c:v>
                </c:pt>
                <c:pt idx="17">
                  <c:v>7.2896492041763794E-2</c:v>
                </c:pt>
                <c:pt idx="18">
                  <c:v>5.6112576439772903E-2</c:v>
                </c:pt>
                <c:pt idx="19">
                  <c:v>4.2679076170315897E-2</c:v>
                </c:pt>
                <c:pt idx="20">
                  <c:v>3.2038637962614303E-2</c:v>
                </c:pt>
                <c:pt idx="21">
                  <c:v>2.3683135398641701E-2</c:v>
                </c:pt>
                <c:pt idx="22">
                  <c:v>1.72019516439831E-2</c:v>
                </c:pt>
                <c:pt idx="23">
                  <c:v>1.2240645848237299E-2</c:v>
                </c:pt>
                <c:pt idx="24">
                  <c:v>8.5056779705609993E-3</c:v>
                </c:pt>
                <c:pt idx="25">
                  <c:v>5.7247290737976004E-3</c:v>
                </c:pt>
                <c:pt idx="26">
                  <c:v>3.7423641947497998E-3</c:v>
                </c:pt>
                <c:pt idx="27">
                  <c:v>2.3643670870967001E-3</c:v>
                </c:pt>
                <c:pt idx="28">
                  <c:v>1.4132032585507E-3</c:v>
                </c:pt>
                <c:pt idx="29">
                  <c:v>7.909223352413E-4</c:v>
                </c:pt>
                <c:pt idx="30">
                  <c:v>4.1253170729759999E-4</c:v>
                </c:pt>
                <c:pt idx="31">
                  <c:v>2.0114417498E-4</c:v>
                </c:pt>
                <c:pt idx="32">
                  <c:v>8.4273240648968795E-5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952-4AA1-99EC-1B70B83F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'HazCur-STGR-2026-08-12'!$C$1</c15:sqref>
                        </c15:formulaRef>
                      </c:ext>
                    </c:extLst>
                    <c:strCache>
                      <c:ptCount val="1"/>
                      <c:pt idx="0">
                        <c:v>T=0.01s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'HazCur-STGR-2026-08-12'!$C$2:$C$46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5.912479140330106</c:v>
                      </c:pt>
                      <c:pt idx="1">
                        <c:v>5.6202093251049519</c:v>
                      </c:pt>
                      <c:pt idx="2">
                        <c:v>5.292600064072758</c:v>
                      </c:pt>
                      <c:pt idx="3">
                        <c:v>4.9364300612360239</c:v>
                      </c:pt>
                      <c:pt idx="4">
                        <c:v>4.5598904248327017</c:v>
                      </c:pt>
                      <c:pt idx="5">
                        <c:v>4.1717288873624057</c:v>
                      </c:pt>
                      <c:pt idx="6">
                        <c:v>3.7803500413428992</c:v>
                      </c:pt>
                      <c:pt idx="7">
                        <c:v>3.3932618892285968</c:v>
                      </c:pt>
                      <c:pt idx="8">
                        <c:v>3.016784084495157</c:v>
                      </c:pt>
                      <c:pt idx="9">
                        <c:v>2.6559559658635412</c:v>
                      </c:pt>
                      <c:pt idx="10">
                        <c:v>2.314659006777219</c:v>
                      </c:pt>
                      <c:pt idx="11">
                        <c:v>1.9957308215671219</c:v>
                      </c:pt>
                      <c:pt idx="12">
                        <c:v>1.7011994521017191</c:v>
                      </c:pt>
                      <c:pt idx="13">
                        <c:v>1.432452911540167</c:v>
                      </c:pt>
                      <c:pt idx="14">
                        <c:v>1.1903802659362559</c:v>
                      </c:pt>
                      <c:pt idx="15">
                        <c:v>0.97541749716037884</c:v>
                      </c:pt>
                      <c:pt idx="16">
                        <c:v>0.78757091302395565</c:v>
                      </c:pt>
                      <c:pt idx="17">
                        <c:v>0.62632037291041343</c:v>
                      </c:pt>
                      <c:pt idx="18">
                        <c:v>0.49053357820957899</c:v>
                      </c:pt>
                      <c:pt idx="19">
                        <c:v>0.37849693105818</c:v>
                      </c:pt>
                      <c:pt idx="20">
                        <c:v>0.28792089222406497</c:v>
                      </c:pt>
                      <c:pt idx="21">
                        <c:v>0.2161453334342695</c:v>
                      </c:pt>
                      <c:pt idx="22">
                        <c:v>0.1603212251873174</c:v>
                      </c:pt>
                      <c:pt idx="23">
                        <c:v>0.1176210018326173</c:v>
                      </c:pt>
                      <c:pt idx="24">
                        <c:v>8.5452945846896E-2</c:v>
                      </c:pt>
                      <c:pt idx="25">
                        <c:v>6.1524892154011399E-2</c:v>
                      </c:pt>
                      <c:pt idx="26">
                        <c:v>4.3922701952624203E-2</c:v>
                      </c:pt>
                      <c:pt idx="27">
                        <c:v>3.1097178627419401E-2</c:v>
                      </c:pt>
                      <c:pt idx="28">
                        <c:v>2.1809649087574101E-2</c:v>
                      </c:pt>
                      <c:pt idx="29">
                        <c:v>1.51376100038831E-2</c:v>
                      </c:pt>
                      <c:pt idx="30">
                        <c:v>1.03866154058778E-2</c:v>
                      </c:pt>
                      <c:pt idx="31">
                        <c:v>7.0249589807643998E-3</c:v>
                      </c:pt>
                      <c:pt idx="32">
                        <c:v>4.6734633654068004E-3</c:v>
                      </c:pt>
                      <c:pt idx="33">
                        <c:v>3.0555438720511999E-3</c:v>
                      </c:pt>
                      <c:pt idx="34">
                        <c:v>1.9340661838214001E-3</c:v>
                      </c:pt>
                      <c:pt idx="35">
                        <c:v>1.1808560293502001E-3</c:v>
                      </c:pt>
                      <c:pt idx="36">
                        <c:v>6.9445905194239995E-4</c:v>
                      </c:pt>
                      <c:pt idx="37">
                        <c:v>3.8603226678899998E-4</c:v>
                      </c:pt>
                      <c:pt idx="38">
                        <c:v>1.952882885234E-4</c:v>
                      </c:pt>
                      <c:pt idx="39">
                        <c:v>9.6211213531205444E-5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952-4AA1-99EC-1B70B83F8AD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'HazCur-STGR-2026-08-12'!$D$1</c15:sqref>
                        </c15:formulaRef>
                      </c:ext>
                    </c:extLst>
                    <c:strCache>
                      <c:ptCount val="1"/>
                      <c:pt idx="0">
                        <c:v>T=0.015s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'HazCur-STGR-2026-08-12'!$D$2:$D$46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5.9466387634165594</c:v>
                      </c:pt>
                      <c:pt idx="1">
                        <c:v>5.6622005053795874</c:v>
                      </c:pt>
                      <c:pt idx="2">
                        <c:v>5.341847209725529</c:v>
                      </c:pt>
                      <c:pt idx="3">
                        <c:v>4.9917891663499177</c:v>
                      </c:pt>
                      <c:pt idx="4">
                        <c:v>4.6198768061585724</c:v>
                      </c:pt>
                      <c:pt idx="5">
                        <c:v>4.2347124128136784</c:v>
                      </c:pt>
                      <c:pt idx="6">
                        <c:v>3.844711348880081</c:v>
                      </c:pt>
                      <c:pt idx="7">
                        <c:v>3.4575673243962228</c:v>
                      </c:pt>
                      <c:pt idx="8">
                        <c:v>3.0797776057152082</c:v>
                      </c:pt>
                      <c:pt idx="9">
                        <c:v>2.7166776193771511</c:v>
                      </c:pt>
                      <c:pt idx="10">
                        <c:v>2.372336875996552</c:v>
                      </c:pt>
                      <c:pt idx="11">
                        <c:v>2.0498089023167272</c:v>
                      </c:pt>
                      <c:pt idx="12">
                        <c:v>1.7512642117217181</c:v>
                      </c:pt>
                      <c:pt idx="13">
                        <c:v>1.4781981817504859</c:v>
                      </c:pt>
                      <c:pt idx="14">
                        <c:v>1.2315971787029409</c:v>
                      </c:pt>
                      <c:pt idx="15">
                        <c:v>1.0119633123103999</c:v>
                      </c:pt>
                      <c:pt idx="16">
                        <c:v>0.81939878009143285</c:v>
                      </c:pt>
                      <c:pt idx="17">
                        <c:v>0.65349049525684677</c:v>
                      </c:pt>
                      <c:pt idx="18">
                        <c:v>0.51325307553997845</c:v>
                      </c:pt>
                      <c:pt idx="19">
                        <c:v>0.39708042836355162</c:v>
                      </c:pt>
                      <c:pt idx="20">
                        <c:v>0.3027970442999503</c:v>
                      </c:pt>
                      <c:pt idx="21">
                        <c:v>0.22782835171847179</c:v>
                      </c:pt>
                      <c:pt idx="22">
                        <c:v>0.16932608251136111</c:v>
                      </c:pt>
                      <c:pt idx="23">
                        <c:v>0.1244622452862245</c:v>
                      </c:pt>
                      <c:pt idx="24">
                        <c:v>9.0584175242128098E-2</c:v>
                      </c:pt>
                      <c:pt idx="25">
                        <c:v>6.5341135994003693E-2</c:v>
                      </c:pt>
                      <c:pt idx="26">
                        <c:v>4.6735836877132897E-2</c:v>
                      </c:pt>
                      <c:pt idx="27">
                        <c:v>3.31482120269583E-2</c:v>
                      </c:pt>
                      <c:pt idx="28">
                        <c:v>2.3304309784636601E-2</c:v>
                      </c:pt>
                      <c:pt idx="29">
                        <c:v>1.6215152150841999E-2</c:v>
                      </c:pt>
                      <c:pt idx="30">
                        <c:v>1.11584240403317E-2</c:v>
                      </c:pt>
                      <c:pt idx="31">
                        <c:v>7.5709748234658002E-3</c:v>
                      </c:pt>
                      <c:pt idx="32">
                        <c:v>5.0572516215651999E-3</c:v>
                      </c:pt>
                      <c:pt idx="33">
                        <c:v>3.3191890874206E-3</c:v>
                      </c:pt>
                      <c:pt idx="34">
                        <c:v>2.1191699343034E-3</c:v>
                      </c:pt>
                      <c:pt idx="35">
                        <c:v>1.3012700474064E-3</c:v>
                      </c:pt>
                      <c:pt idx="36">
                        <c:v>7.7097958421740002E-4</c:v>
                      </c:pt>
                      <c:pt idx="37">
                        <c:v>4.3440211268830001E-4</c:v>
                      </c:pt>
                      <c:pt idx="38">
                        <c:v>2.2070517354670001E-4</c:v>
                      </c:pt>
                      <c:pt idx="39">
                        <c:v>1.10101987957E-4</c:v>
                      </c:pt>
                      <c:pt idx="40">
                        <c:v>4.7894647650537081E-5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52-4AA1-99EC-1B70B83F8AD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'HazCur-STGR-2026-08-12'!$E$1</c15:sqref>
                        </c15:formulaRef>
                      </c:ext>
                    </c:extLst>
                    <c:strCache>
                      <c:ptCount val="1"/>
                      <c:pt idx="0">
                        <c:v>T=0.02s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'HazCur-STGR-2026-08-12'!$E$2:$E$46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5.9696576111018658</c:v>
                      </c:pt>
                      <c:pt idx="1">
                        <c:v>5.6908049443736672</c:v>
                      </c:pt>
                      <c:pt idx="2">
                        <c:v>5.3757149069569996</c:v>
                      </c:pt>
                      <c:pt idx="3">
                        <c:v>5.0301860342733562</c:v>
                      </c:pt>
                      <c:pt idx="4">
                        <c:v>4.6618251062463969</c:v>
                      </c:pt>
                      <c:pt idx="5">
                        <c:v>4.2790446560829878</c:v>
                      </c:pt>
                      <c:pt idx="6">
                        <c:v>3.8902882204856719</c:v>
                      </c:pt>
                      <c:pt idx="7">
                        <c:v>3.503303510369733</c:v>
                      </c:pt>
                      <c:pt idx="8">
                        <c:v>3.1247821570141241</c:v>
                      </c:pt>
                      <c:pt idx="9">
                        <c:v>2.7601908883079891</c:v>
                      </c:pt>
                      <c:pt idx="10">
                        <c:v>2.4137915496248752</c:v>
                      </c:pt>
                      <c:pt idx="11">
                        <c:v>2.0887752744602039</c:v>
                      </c:pt>
                      <c:pt idx="12">
                        <c:v>1.7874360498390161</c:v>
                      </c:pt>
                      <c:pt idx="13">
                        <c:v>1.5113461716973691</c:v>
                      </c:pt>
                      <c:pt idx="14">
                        <c:v>1.2615345051162881</c:v>
                      </c:pt>
                      <c:pt idx="15">
                        <c:v>1.0385909021133559</c:v>
                      </c:pt>
                      <c:pt idx="16">
                        <c:v>0.8426686218008399</c:v>
                      </c:pt>
                      <c:pt idx="17">
                        <c:v>0.67343624675413594</c:v>
                      </c:pt>
                      <c:pt idx="18">
                        <c:v>0.52999075354455272</c:v>
                      </c:pt>
                      <c:pt idx="19">
                        <c:v>0.4108256900744891</c:v>
                      </c:pt>
                      <c:pt idx="20">
                        <c:v>0.3138534085846913</c:v>
                      </c:pt>
                      <c:pt idx="21">
                        <c:v>0.23653217618903</c:v>
                      </c:pt>
                      <c:pt idx="22">
                        <c:v>0.17605752974850469</c:v>
                      </c:pt>
                      <c:pt idx="23">
                        <c:v>0.12959122938198669</c:v>
                      </c:pt>
                      <c:pt idx="24">
                        <c:v>9.4439820896809495E-2</c:v>
                      </c:pt>
                      <c:pt idx="25">
                        <c:v>6.8209004511118096E-2</c:v>
                      </c:pt>
                      <c:pt idx="26">
                        <c:v>4.88476610476027E-2</c:v>
                      </c:pt>
                      <c:pt idx="27">
                        <c:v>3.4693405079110499E-2</c:v>
                      </c:pt>
                      <c:pt idx="28">
                        <c:v>2.4430294580556101E-2</c:v>
                      </c:pt>
                      <c:pt idx="29">
                        <c:v>1.7030826733396499E-2</c:v>
                      </c:pt>
                      <c:pt idx="30">
                        <c:v>1.1745184408937299E-2</c:v>
                      </c:pt>
                      <c:pt idx="31">
                        <c:v>7.9853780671328006E-3</c:v>
                      </c:pt>
                      <c:pt idx="32">
                        <c:v>5.3472963061267E-3</c:v>
                      </c:pt>
                      <c:pt idx="33">
                        <c:v>3.5186421740576001E-3</c:v>
                      </c:pt>
                      <c:pt idx="34">
                        <c:v>2.2590840471821E-3</c:v>
                      </c:pt>
                      <c:pt idx="35">
                        <c:v>1.3923032265665001E-3</c:v>
                      </c:pt>
                      <c:pt idx="36">
                        <c:v>8.2975378984420005E-4</c:v>
                      </c:pt>
                      <c:pt idx="37">
                        <c:v>4.7221693971260002E-4</c:v>
                      </c:pt>
                      <c:pt idx="38">
                        <c:v>2.4227637879899999E-4</c:v>
                      </c:pt>
                      <c:pt idx="39">
                        <c:v>1.204755972139E-4</c:v>
                      </c:pt>
                      <c:pt idx="40">
                        <c:v>5.3587478760164231E-5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52-4AA1-99EC-1B70B83F8AD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'HazCur-STGR-2026-08-12'!$F$1</c15:sqref>
                        </c15:formulaRef>
                      </c:ext>
                    </c:extLst>
                    <c:strCache>
                      <c:ptCount val="1"/>
                      <c:pt idx="0">
                        <c:v>T=0.03s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'HazCur-STGR-2026-08-12'!$F$2:$F$46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6.030074289534241</c:v>
                      </c:pt>
                      <c:pt idx="1">
                        <c:v>5.7676950613968074</c:v>
                      </c:pt>
                      <c:pt idx="2">
                        <c:v>5.4686329504474998</c:v>
                      </c:pt>
                      <c:pt idx="3">
                        <c:v>5.1375302150845528</c:v>
                      </c:pt>
                      <c:pt idx="4">
                        <c:v>4.7809985741041601</c:v>
                      </c:pt>
                      <c:pt idx="5">
                        <c:v>4.4068946242332458</c:v>
                      </c:pt>
                      <c:pt idx="6">
                        <c:v>4.0234240805730224</c:v>
                      </c:pt>
                      <c:pt idx="7">
                        <c:v>3.6384753531310712</c:v>
                      </c:pt>
                      <c:pt idx="8">
                        <c:v>3.2590761476894841</c:v>
                      </c:pt>
                      <c:pt idx="9">
                        <c:v>2.8911763235228141</c:v>
                      </c:pt>
                      <c:pt idx="10">
                        <c:v>2.5395203171065082</c:v>
                      </c:pt>
                      <c:pt idx="11">
                        <c:v>2.2077351484913379</c:v>
                      </c:pt>
                      <c:pt idx="12">
                        <c:v>1.8984813971328549</c:v>
                      </c:pt>
                      <c:pt idx="13">
                        <c:v>1.613643933407729</c:v>
                      </c:pt>
                      <c:pt idx="14">
                        <c:v>1.3544613518170081</c:v>
                      </c:pt>
                      <c:pt idx="15">
                        <c:v>1.1217181741521931</c:v>
                      </c:pt>
                      <c:pt idx="16">
                        <c:v>0.91576709621585917</c:v>
                      </c:pt>
                      <c:pt idx="17">
                        <c:v>0.73649574481532909</c:v>
                      </c:pt>
                      <c:pt idx="18">
                        <c:v>0.58328321170120034</c:v>
                      </c:pt>
                      <c:pt idx="19">
                        <c:v>0.45490793288445269</c:v>
                      </c:pt>
                      <c:pt idx="20">
                        <c:v>0.34954620809639891</c:v>
                      </c:pt>
                      <c:pt idx="21">
                        <c:v>0.26484043999516871</c:v>
                      </c:pt>
                      <c:pt idx="22">
                        <c:v>0.19808998266296379</c:v>
                      </c:pt>
                      <c:pt idx="23">
                        <c:v>0.14643672001296429</c:v>
                      </c:pt>
                      <c:pt idx="24">
                        <c:v>0.10713312409467329</c:v>
                      </c:pt>
                      <c:pt idx="25">
                        <c:v>7.7660764152824399E-2</c:v>
                      </c:pt>
                      <c:pt idx="26">
                        <c:v>5.5809306377568597E-2</c:v>
                      </c:pt>
                      <c:pt idx="27">
                        <c:v>3.9772592678730199E-2</c:v>
                      </c:pt>
                      <c:pt idx="28">
                        <c:v>2.8101598845417099E-2</c:v>
                      </c:pt>
                      <c:pt idx="29">
                        <c:v>1.9676470292331699E-2</c:v>
                      </c:pt>
                      <c:pt idx="30">
                        <c:v>1.3626044208649501E-2</c:v>
                      </c:pt>
                      <c:pt idx="31">
                        <c:v>9.3141953184385003E-3</c:v>
                      </c:pt>
                      <c:pt idx="32">
                        <c:v>6.2725424750168998E-3</c:v>
                      </c:pt>
                      <c:pt idx="33">
                        <c:v>4.1520092436826E-3</c:v>
                      </c:pt>
                      <c:pt idx="34">
                        <c:v>2.6922459146589001E-3</c:v>
                      </c:pt>
                      <c:pt idx="35">
                        <c:v>1.6824043659652999E-3</c:v>
                      </c:pt>
                      <c:pt idx="36">
                        <c:v>1.0096400262682001E-3</c:v>
                      </c:pt>
                      <c:pt idx="37">
                        <c:v>5.8409164945769998E-4</c:v>
                      </c:pt>
                      <c:pt idx="38">
                        <c:v>3.1067525878820002E-4</c:v>
                      </c:pt>
                      <c:pt idx="39">
                        <c:v>1.5200018242460001E-4</c:v>
                      </c:pt>
                      <c:pt idx="40">
                        <c:v>7.120286682038568E-5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52-4AA1-99EC-1B70B83F8AD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'HazCur-STGR-2026-08-12'!$G$1</c15:sqref>
                        </c15:formulaRef>
                      </c:ext>
                    </c:extLst>
                    <c:strCache>
                      <c:ptCount val="1"/>
                      <c:pt idx="0">
                        <c:v>T=0.04s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'HazCur-STGR-2026-08-12'!$G$2:$G$46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6.1039559920318416</c:v>
                      </c:pt>
                      <c:pt idx="1">
                        <c:v>5.861547218170017</c:v>
                      </c:pt>
                      <c:pt idx="2">
                        <c:v>5.5821160268969834</c:v>
                      </c:pt>
                      <c:pt idx="3">
                        <c:v>5.2689566831104457</c:v>
                      </c:pt>
                      <c:pt idx="4">
                        <c:v>4.9275840015616268</c:v>
                      </c:pt>
                      <c:pt idx="5">
                        <c:v>4.5650991196744144</c:v>
                      </c:pt>
                      <c:pt idx="6">
                        <c:v>4.1894311071373522</c:v>
                      </c:pt>
                      <c:pt idx="7">
                        <c:v>3.808525026775897</c:v>
                      </c:pt>
                      <c:pt idx="8">
                        <c:v>3.4297495990758762</c:v>
                      </c:pt>
                      <c:pt idx="9">
                        <c:v>3.0594964000629261</c:v>
                      </c:pt>
                      <c:pt idx="10">
                        <c:v>2.7030375945614651</c:v>
                      </c:pt>
                      <c:pt idx="11">
                        <c:v>2.3644629596965392</c:v>
                      </c:pt>
                      <c:pt idx="12">
                        <c:v>2.046891637553927</c:v>
                      </c:pt>
                      <c:pt idx="13">
                        <c:v>1.7524539426085539</c:v>
                      </c:pt>
                      <c:pt idx="14">
                        <c:v>1.4826645564462519</c:v>
                      </c:pt>
                      <c:pt idx="15">
                        <c:v>1.238415942309075</c:v>
                      </c:pt>
                      <c:pt idx="16">
                        <c:v>1.0202849636989411</c:v>
                      </c:pt>
                      <c:pt idx="17">
                        <c:v>0.82838733322569169</c:v>
                      </c:pt>
                      <c:pt idx="18">
                        <c:v>0.6624500043290027</c:v>
                      </c:pt>
                      <c:pt idx="19">
                        <c:v>0.52162726448659669</c:v>
                      </c:pt>
                      <c:pt idx="20">
                        <c:v>0.40452908325642051</c:v>
                      </c:pt>
                      <c:pt idx="21">
                        <c:v>0.30916887157354722</c:v>
                      </c:pt>
                      <c:pt idx="22">
                        <c:v>0.2330806532394831</c:v>
                      </c:pt>
                      <c:pt idx="23">
                        <c:v>0.17354581212066469</c:v>
                      </c:pt>
                      <c:pt idx="24">
                        <c:v>0.12779774289084139</c:v>
                      </c:pt>
                      <c:pt idx="25">
                        <c:v>9.3177189360631005E-2</c:v>
                      </c:pt>
                      <c:pt idx="26">
                        <c:v>6.7334061559904498E-2</c:v>
                      </c:pt>
                      <c:pt idx="27">
                        <c:v>4.8247510388023301E-2</c:v>
                      </c:pt>
                      <c:pt idx="28">
                        <c:v>3.4282701034051399E-2</c:v>
                      </c:pt>
                      <c:pt idx="29">
                        <c:v>2.41424870182811E-2</c:v>
                      </c:pt>
                      <c:pt idx="30">
                        <c:v>1.6832675020850701E-2</c:v>
                      </c:pt>
                      <c:pt idx="31">
                        <c:v>1.1600374094996301E-2</c:v>
                      </c:pt>
                      <c:pt idx="32">
                        <c:v>7.8787061283945997E-3</c:v>
                      </c:pt>
                      <c:pt idx="33">
                        <c:v>5.2607682125653003E-3</c:v>
                      </c:pt>
                      <c:pt idx="34">
                        <c:v>3.4465243480069998E-3</c:v>
                      </c:pt>
                      <c:pt idx="35">
                        <c:v>2.197593146775E-3</c:v>
                      </c:pt>
                      <c:pt idx="36">
                        <c:v>1.3403605516941E-3</c:v>
                      </c:pt>
                      <c:pt idx="37">
                        <c:v>7.8886942844740005E-4</c:v>
                      </c:pt>
                      <c:pt idx="38">
                        <c:v>4.3790109793910001E-4</c:v>
                      </c:pt>
                      <c:pt idx="39">
                        <c:v>2.151589845595E-4</c:v>
                      </c:pt>
                      <c:pt idx="40">
                        <c:v>1.032757827488E-4</c:v>
                      </c:pt>
                      <c:pt idx="41">
                        <c:v>4.193365020910278E-5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52-4AA1-99EC-1B70B83F8AD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'HazCur-STGR-2026-08-12'!$H$1</c15:sqref>
                        </c15:formulaRef>
                      </c:ext>
                    </c:extLst>
                    <c:strCache>
                      <c:ptCount val="1"/>
                      <c:pt idx="0">
                        <c:v>T=0.05s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'HazCur-STGR-2026-08-12'!$H$2:$H$46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6.1547507843934</c:v>
                      </c:pt>
                      <c:pt idx="1">
                        <c:v>5.9269165871664882</c:v>
                      </c:pt>
                      <c:pt idx="2">
                        <c:v>5.6622400730848312</c:v>
                      </c:pt>
                      <c:pt idx="3">
                        <c:v>5.3629930163733661</c:v>
                      </c:pt>
                      <c:pt idx="4">
                        <c:v>5.0337664152029902</c:v>
                      </c:pt>
                      <c:pt idx="5">
                        <c:v>4.6810191050171852</c:v>
                      </c:pt>
                      <c:pt idx="6">
                        <c:v>4.312345918500796</c:v>
                      </c:pt>
                      <c:pt idx="7">
                        <c:v>3.935609776177444</c:v>
                      </c:pt>
                      <c:pt idx="8">
                        <c:v>3.5583715850953008</c:v>
                      </c:pt>
                      <c:pt idx="9">
                        <c:v>3.1873049356509</c:v>
                      </c:pt>
                      <c:pt idx="10">
                        <c:v>2.828048958559521</c:v>
                      </c:pt>
                      <c:pt idx="11">
                        <c:v>2.485080559970811</c:v>
                      </c:pt>
                      <c:pt idx="12">
                        <c:v>2.1617926011967938</c:v>
                      </c:pt>
                      <c:pt idx="13">
                        <c:v>1.8606229366560001</c:v>
                      </c:pt>
                      <c:pt idx="14">
                        <c:v>1.583224157802761</c:v>
                      </c:pt>
                      <c:pt idx="15">
                        <c:v>1.330697836121544</c:v>
                      </c:pt>
                      <c:pt idx="16">
                        <c:v>1.10368367353658</c:v>
                      </c:pt>
                      <c:pt idx="17">
                        <c:v>0.90248301104293205</c:v>
                      </c:pt>
                      <c:pt idx="18">
                        <c:v>0.72700980688023265</c:v>
                      </c:pt>
                      <c:pt idx="19">
                        <c:v>0.57670663399221667</c:v>
                      </c:pt>
                      <c:pt idx="20">
                        <c:v>0.45048871483322728</c:v>
                      </c:pt>
                      <c:pt idx="21">
                        <c:v>0.34666302046343839</c:v>
                      </c:pt>
                      <c:pt idx="22">
                        <c:v>0.2630043904592867</c:v>
                      </c:pt>
                      <c:pt idx="23">
                        <c:v>0.19695248868964649</c:v>
                      </c:pt>
                      <c:pt idx="24">
                        <c:v>0.14576664051583771</c:v>
                      </c:pt>
                      <c:pt idx="25">
                        <c:v>0.1067520650781261</c:v>
                      </c:pt>
                      <c:pt idx="26">
                        <c:v>7.7449138073006907E-2</c:v>
                      </c:pt>
                      <c:pt idx="27">
                        <c:v>5.56909983001787E-2</c:v>
                      </c:pt>
                      <c:pt idx="28">
                        <c:v>3.9704212368881997E-2</c:v>
                      </c:pt>
                      <c:pt idx="29">
                        <c:v>2.8063795762221799E-2</c:v>
                      </c:pt>
                      <c:pt idx="30">
                        <c:v>1.96452610834967E-2</c:v>
                      </c:pt>
                      <c:pt idx="31">
                        <c:v>1.3598035515315099E-2</c:v>
                      </c:pt>
                      <c:pt idx="32">
                        <c:v>9.282311590141E-3</c:v>
                      </c:pt>
                      <c:pt idx="33">
                        <c:v>6.2342613255167998E-3</c:v>
                      </c:pt>
                      <c:pt idx="34">
                        <c:v>4.1079909376548996E-3</c:v>
                      </c:pt>
                      <c:pt idx="35">
                        <c:v>2.6468125561222998E-3</c:v>
                      </c:pt>
                      <c:pt idx="36">
                        <c:v>1.6350646401405999E-3</c:v>
                      </c:pt>
                      <c:pt idx="37">
                        <c:v>9.7076104788119998E-4</c:v>
                      </c:pt>
                      <c:pt idx="38">
                        <c:v>5.5073918338160001E-4</c:v>
                      </c:pt>
                      <c:pt idx="39">
                        <c:v>2.8009579455099998E-4</c:v>
                      </c:pt>
                      <c:pt idx="40">
                        <c:v>1.3154997213859999E-4</c:v>
                      </c:pt>
                      <c:pt idx="41">
                        <c:v>5.6657458117115311E-5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52-4AA1-99EC-1B70B83F8AD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'HazCur-STGR-2026-08-12'!$I$1</c15:sqref>
                        </c15:formulaRef>
                      </c:ext>
                    </c:extLst>
                    <c:strCache>
                      <c:ptCount val="1"/>
                      <c:pt idx="0">
                        <c:v>T=0.06s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'HazCur-STGR-2026-08-12'!$I$2:$I$46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6.2216071877628556</c:v>
                      </c:pt>
                      <c:pt idx="1">
                        <c:v>6.009609024040401</c:v>
                      </c:pt>
                      <c:pt idx="2">
                        <c:v>5.7612320543266833</c:v>
                      </c:pt>
                      <c:pt idx="3">
                        <c:v>5.4776062946766606</c:v>
                      </c:pt>
                      <c:pt idx="4">
                        <c:v>5.1622616485692561</c:v>
                      </c:pt>
                      <c:pt idx="5">
                        <c:v>4.820851210039109</c:v>
                      </c:pt>
                      <c:pt idx="6">
                        <c:v>4.4604293904267251</c:v>
                      </c:pt>
                      <c:pt idx="7">
                        <c:v>4.0887447217246518</c:v>
                      </c:pt>
                      <c:pt idx="8">
                        <c:v>3.7134587609907612</c:v>
                      </c:pt>
                      <c:pt idx="9">
                        <c:v>3.341568217612803</c:v>
                      </c:pt>
                      <c:pt idx="10">
                        <c:v>2.9790713519905689</c:v>
                      </c:pt>
                      <c:pt idx="11">
                        <c:v>2.6309094963944522</c:v>
                      </c:pt>
                      <c:pt idx="12">
                        <c:v>2.3008612386474852</c:v>
                      </c:pt>
                      <c:pt idx="13">
                        <c:v>1.991662311338587</c:v>
                      </c:pt>
                      <c:pt idx="14">
                        <c:v>1.705297797481762</c:v>
                      </c:pt>
                      <c:pt idx="15">
                        <c:v>1.4429994869424261</c:v>
                      </c:pt>
                      <c:pt idx="16">
                        <c:v>1.2055821332178309</c:v>
                      </c:pt>
                      <c:pt idx="17">
                        <c:v>0.99351491233028355</c:v>
                      </c:pt>
                      <c:pt idx="18">
                        <c:v>0.80688872098107822</c:v>
                      </c:pt>
                      <c:pt idx="19">
                        <c:v>0.64543005851010093</c:v>
                      </c:pt>
                      <c:pt idx="20">
                        <c:v>0.50836363337657531</c:v>
                      </c:pt>
                      <c:pt idx="21">
                        <c:v>0.39433558318728501</c:v>
                      </c:pt>
                      <c:pt idx="22">
                        <c:v>0.30144028845643328</c:v>
                      </c:pt>
                      <c:pt idx="23">
                        <c:v>0.2273027806058962</c:v>
                      </c:pt>
                      <c:pt idx="24">
                        <c:v>0.1692885391930829</c:v>
                      </c:pt>
                      <c:pt idx="25">
                        <c:v>0.124682215858229</c:v>
                      </c:pt>
                      <c:pt idx="26">
                        <c:v>9.09280938144547E-2</c:v>
                      </c:pt>
                      <c:pt idx="27">
                        <c:v>6.5708183136962306E-2</c:v>
                      </c:pt>
                      <c:pt idx="28">
                        <c:v>4.7070101838983101E-2</c:v>
                      </c:pt>
                      <c:pt idx="29">
                        <c:v>3.3434368495477401E-2</c:v>
                      </c:pt>
                      <c:pt idx="30">
                        <c:v>2.3537223722087199E-2</c:v>
                      </c:pt>
                      <c:pt idx="31">
                        <c:v>1.63959669225732E-2</c:v>
                      </c:pt>
                      <c:pt idx="32">
                        <c:v>1.12772711690922E-2</c:v>
                      </c:pt>
                      <c:pt idx="33">
                        <c:v>7.6441801629698004E-3</c:v>
                      </c:pt>
                      <c:pt idx="34">
                        <c:v>5.0869935265608996E-3</c:v>
                      </c:pt>
                      <c:pt idx="35">
                        <c:v>3.3176872712772001E-3</c:v>
                      </c:pt>
                      <c:pt idx="36">
                        <c:v>2.0957252281732001E-3</c:v>
                      </c:pt>
                      <c:pt idx="37">
                        <c:v>1.2669426328101999E-3</c:v>
                      </c:pt>
                      <c:pt idx="38">
                        <c:v>7.3536938378989997E-4</c:v>
                      </c:pt>
                      <c:pt idx="39">
                        <c:v>3.9808643032300002E-4</c:v>
                      </c:pt>
                      <c:pt idx="40">
                        <c:v>1.880728981973E-4</c:v>
                      </c:pt>
                      <c:pt idx="41">
                        <c:v>8.7298685684800148E-5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52-4AA1-99EC-1B70B83F8AD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'HazCur-STGR-2026-08-12'!$J$1</c15:sqref>
                        </c15:formulaRef>
                      </c:ext>
                    </c:extLst>
                    <c:strCache>
                      <c:ptCount val="1"/>
                      <c:pt idx="0">
                        <c:v>T=0.07s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'HazCur-STGR-2026-08-12'!$J$2:$J$46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6.2845406574197114</c:v>
                      </c:pt>
                      <c:pt idx="1">
                        <c:v>6.085193466860801</c:v>
                      </c:pt>
                      <c:pt idx="2">
                        <c:v>5.8499809480272233</c:v>
                      </c:pt>
                      <c:pt idx="3">
                        <c:v>5.5791929927654564</c:v>
                      </c:pt>
                      <c:pt idx="4">
                        <c:v>5.275497812544927</c:v>
                      </c:pt>
                      <c:pt idx="5">
                        <c:v>4.9437650279141963</c:v>
                      </c:pt>
                      <c:pt idx="6">
                        <c:v>4.5905792936682701</c:v>
                      </c:pt>
                      <c:pt idx="7">
                        <c:v>4.2234661835245788</c:v>
                      </c:pt>
                      <c:pt idx="8">
                        <c:v>3.8501071089413021</c:v>
                      </c:pt>
                      <c:pt idx="9">
                        <c:v>3.477732870029286</c:v>
                      </c:pt>
                      <c:pt idx="10">
                        <c:v>3.112665046704933</c:v>
                      </c:pt>
                      <c:pt idx="11">
                        <c:v>2.7601590229314752</c:v>
                      </c:pt>
                      <c:pt idx="12">
                        <c:v>2.4243477756390348</c:v>
                      </c:pt>
                      <c:pt idx="13">
                        <c:v>2.10828734486131</c:v>
                      </c:pt>
                      <c:pt idx="14">
                        <c:v>1.8141888464160729</c:v>
                      </c:pt>
                      <c:pt idx="15">
                        <c:v>1.543503918073839</c:v>
                      </c:pt>
                      <c:pt idx="16">
                        <c:v>1.2971874228096569</c:v>
                      </c:pt>
                      <c:pt idx="17">
                        <c:v>1.0758090866802379</c:v>
                      </c:pt>
                      <c:pt idx="18">
                        <c:v>0.87961362523492426</c:v>
                      </c:pt>
                      <c:pt idx="19">
                        <c:v>0.70851409397255338</c:v>
                      </c:pt>
                      <c:pt idx="20">
                        <c:v>0.56197405578041071</c:v>
                      </c:pt>
                      <c:pt idx="21">
                        <c:v>0.43893822531845211</c:v>
                      </c:pt>
                      <c:pt idx="22">
                        <c:v>0.33773680575973231</c:v>
                      </c:pt>
                      <c:pt idx="23">
                        <c:v>0.2562123458404954</c:v>
                      </c:pt>
                      <c:pt idx="24">
                        <c:v>0.1918699154503542</c:v>
                      </c:pt>
                      <c:pt idx="25">
                        <c:v>0.14201507175312139</c:v>
                      </c:pt>
                      <c:pt idx="26">
                        <c:v>0.104020223441239</c:v>
                      </c:pt>
                      <c:pt idx="27">
                        <c:v>7.5479040776485803E-2</c:v>
                      </c:pt>
                      <c:pt idx="28">
                        <c:v>5.4282561473172501E-2</c:v>
                      </c:pt>
                      <c:pt idx="29">
                        <c:v>3.8708335254511797E-2</c:v>
                      </c:pt>
                      <c:pt idx="30">
                        <c:v>2.7362722656107501E-2</c:v>
                      </c:pt>
                      <c:pt idx="31">
                        <c:v>1.9151558793964699E-2</c:v>
                      </c:pt>
                      <c:pt idx="32">
                        <c:v>1.3252375363663299E-2</c:v>
                      </c:pt>
                      <c:pt idx="33">
                        <c:v>9.0353438390593007E-3</c:v>
                      </c:pt>
                      <c:pt idx="34">
                        <c:v>6.0635175000242998E-3</c:v>
                      </c:pt>
                      <c:pt idx="35">
                        <c:v>3.9862334663780001E-3</c:v>
                      </c:pt>
                      <c:pt idx="36">
                        <c:v>2.5598262491257E-3</c:v>
                      </c:pt>
                      <c:pt idx="37">
                        <c:v>1.5730075238025E-3</c:v>
                      </c:pt>
                      <c:pt idx="38">
                        <c:v>9.2793315099010001E-4</c:v>
                      </c:pt>
                      <c:pt idx="39">
                        <c:v>5.200904433877E-4</c:v>
                      </c:pt>
                      <c:pt idx="40">
                        <c:v>2.5859772858889999E-4</c:v>
                      </c:pt>
                      <c:pt idx="41">
                        <c:v>1.194322612718E-4</c:v>
                      </c:pt>
                      <c:pt idx="42">
                        <c:v>4.9265698180533952E-5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52-4AA1-99EC-1B70B83F8AD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'HazCur-STGR-2026-08-12'!$K$1</c15:sqref>
                        </c15:formulaRef>
                      </c:ext>
                    </c:extLst>
                    <c:strCache>
                      <c:ptCount val="1"/>
                      <c:pt idx="0">
                        <c:v>T=0.08s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'HazCur-STGR-2026-08-12'!$K$2:$K$46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6.340722335036844</c:v>
                      </c:pt>
                      <c:pt idx="1">
                        <c:v>6.1507390337064862</c:v>
                      </c:pt>
                      <c:pt idx="2">
                        <c:v>5.9253116939216852</c:v>
                      </c:pt>
                      <c:pt idx="3">
                        <c:v>5.6641818317584693</c:v>
                      </c:pt>
                      <c:pt idx="4">
                        <c:v>5.3693649577908218</c:v>
                      </c:pt>
                      <c:pt idx="5">
                        <c:v>5.0451706708408892</c:v>
                      </c:pt>
                      <c:pt idx="6">
                        <c:v>4.6977564264088869</c:v>
                      </c:pt>
                      <c:pt idx="7">
                        <c:v>4.3344198188278824</c:v>
                      </c:pt>
                      <c:pt idx="8">
                        <c:v>3.962794596911408</c:v>
                      </c:pt>
                      <c:pt idx="9">
                        <c:v>3.590235860785469</c:v>
                      </c:pt>
                      <c:pt idx="10">
                        <c:v>3.2232695497805248</c:v>
                      </c:pt>
                      <c:pt idx="11">
                        <c:v>2.8673983399057761</c:v>
                      </c:pt>
                      <c:pt idx="12">
                        <c:v>2.5270273347268808</c:v>
                      </c:pt>
                      <c:pt idx="13">
                        <c:v>2.205492832086748</c:v>
                      </c:pt>
                      <c:pt idx="14">
                        <c:v>1.9051912780269049</c:v>
                      </c:pt>
                      <c:pt idx="15">
                        <c:v>1.6277643454814099</c:v>
                      </c:pt>
                      <c:pt idx="16">
                        <c:v>1.374271456137649</c:v>
                      </c:pt>
                      <c:pt idx="17">
                        <c:v>1.145387947581185</c:v>
                      </c:pt>
                      <c:pt idx="18">
                        <c:v>0.94147145895840356</c:v>
                      </c:pt>
                      <c:pt idx="19">
                        <c:v>0.76254415316907398</c:v>
                      </c:pt>
                      <c:pt idx="20">
                        <c:v>0.60825881309392571</c:v>
                      </c:pt>
                      <c:pt idx="21">
                        <c:v>0.47774983183899161</c:v>
                      </c:pt>
                      <c:pt idx="22">
                        <c:v>0.36957785242998398</c:v>
                      </c:pt>
                      <c:pt idx="23">
                        <c:v>0.2817844402224523</c:v>
                      </c:pt>
                      <c:pt idx="24">
                        <c:v>0.2119701896696142</c:v>
                      </c:pt>
                      <c:pt idx="25">
                        <c:v>0.1575153677013077</c:v>
                      </c:pt>
                      <c:pt idx="26">
                        <c:v>0.11577400468377159</c:v>
                      </c:pt>
                      <c:pt idx="27">
                        <c:v>8.42651910355698E-2</c:v>
                      </c:pt>
                      <c:pt idx="28">
                        <c:v>6.0776898643126701E-2</c:v>
                      </c:pt>
                      <c:pt idx="29">
                        <c:v>4.3456987914680598E-2</c:v>
                      </c:pt>
                      <c:pt idx="30">
                        <c:v>3.08089203608705E-2</c:v>
                      </c:pt>
                      <c:pt idx="31">
                        <c:v>2.1638633930706402E-2</c:v>
                      </c:pt>
                      <c:pt idx="32">
                        <c:v>1.50271692327805E-2</c:v>
                      </c:pt>
                      <c:pt idx="33">
                        <c:v>1.0297940449163399E-2</c:v>
                      </c:pt>
                      <c:pt idx="34">
                        <c:v>6.9492180055020997E-3</c:v>
                      </c:pt>
                      <c:pt idx="35">
                        <c:v>4.6003332679447001E-3</c:v>
                      </c:pt>
                      <c:pt idx="36">
                        <c:v>2.9796862818329E-3</c:v>
                      </c:pt>
                      <c:pt idx="37">
                        <c:v>1.8593675590635999E-3</c:v>
                      </c:pt>
                      <c:pt idx="38">
                        <c:v>1.1087865404988001E-3</c:v>
                      </c:pt>
                      <c:pt idx="39">
                        <c:v>6.3395160759680002E-4</c:v>
                      </c:pt>
                      <c:pt idx="40">
                        <c:v>3.3024516687869999E-4</c:v>
                      </c:pt>
                      <c:pt idx="41">
                        <c:v>1.5092692783010001E-4</c:v>
                      </c:pt>
                      <c:pt idx="42">
                        <c:v>6.6612674345378764E-5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52-4AA1-99EC-1B70B83F8AD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'HazCur-STGR-2026-08-12'!$L$1</c15:sqref>
                        </c15:formulaRef>
                      </c:ext>
                    </c:extLst>
                    <c:strCache>
                      <c:ptCount val="1"/>
                      <c:pt idx="0">
                        <c:v>T=0.09s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'HazCur-STGR-2026-08-12'!$L$2:$L$46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6.3843077272176743</c:v>
                      </c:pt>
                      <c:pt idx="1">
                        <c:v>6.2011382067576051</c:v>
                      </c:pt>
                      <c:pt idx="2">
                        <c:v>5.9828718518838286</c:v>
                      </c:pt>
                      <c:pt idx="3">
                        <c:v>5.7288925987668344</c:v>
                      </c:pt>
                      <c:pt idx="4">
                        <c:v>5.4408244951628149</c:v>
                      </c:pt>
                      <c:pt idx="5">
                        <c:v>5.1225399826653302</c:v>
                      </c:pt>
                      <c:pt idx="6">
                        <c:v>4.7798461162019521</c:v>
                      </c:pt>
                      <c:pt idx="7">
                        <c:v>4.4198192623443902</c:v>
                      </c:pt>
                      <c:pt idx="8">
                        <c:v>4.050029031932354</c:v>
                      </c:pt>
                      <c:pt idx="9">
                        <c:v>3.6778617706149821</c:v>
                      </c:pt>
                      <c:pt idx="10">
                        <c:v>3.3099763087229799</c:v>
                      </c:pt>
                      <c:pt idx="11">
                        <c:v>2.9520130164455618</c:v>
                      </c:pt>
                      <c:pt idx="12">
                        <c:v>2.6085947419633162</c:v>
                      </c:pt>
                      <c:pt idx="13">
                        <c:v>2.2832047351985238</c:v>
                      </c:pt>
                      <c:pt idx="14">
                        <c:v>1.978404380090069</c:v>
                      </c:pt>
                      <c:pt idx="15">
                        <c:v>1.695997964183334</c:v>
                      </c:pt>
                      <c:pt idx="16">
                        <c:v>1.4371197858563389</c:v>
                      </c:pt>
                      <c:pt idx="17">
                        <c:v>1.2025483913239441</c:v>
                      </c:pt>
                      <c:pt idx="18">
                        <c:v>0.99268622017552843</c:v>
                      </c:pt>
                      <c:pt idx="19">
                        <c:v>0.8076762438431615</c:v>
                      </c:pt>
                      <c:pt idx="20">
                        <c:v>0.64726817076370935</c:v>
                      </c:pt>
                      <c:pt idx="21">
                        <c:v>0.51077139198605437</c:v>
                      </c:pt>
                      <c:pt idx="22">
                        <c:v>0.39693186139720638</c:v>
                      </c:pt>
                      <c:pt idx="23">
                        <c:v>0.30392039846776697</c:v>
                      </c:pt>
                      <c:pt idx="24">
                        <c:v>0.22951410167365791</c:v>
                      </c:pt>
                      <c:pt idx="25">
                        <c:v>0.17113289260760919</c:v>
                      </c:pt>
                      <c:pt idx="26">
                        <c:v>0.12615265345448279</c:v>
                      </c:pt>
                      <c:pt idx="27">
                        <c:v>9.2045845511051994E-2</c:v>
                      </c:pt>
                      <c:pt idx="28">
                        <c:v>6.6536219622292905E-2</c:v>
                      </c:pt>
                      <c:pt idx="29">
                        <c:v>4.7674677858935803E-2</c:v>
                      </c:pt>
                      <c:pt idx="30">
                        <c:v>3.3862402342494401E-2</c:v>
                      </c:pt>
                      <c:pt idx="31">
                        <c:v>2.3837888933485301E-2</c:v>
                      </c:pt>
                      <c:pt idx="32">
                        <c:v>1.6603145704721101E-2</c:v>
                      </c:pt>
                      <c:pt idx="33">
                        <c:v>1.1413069980335399E-2</c:v>
                      </c:pt>
                      <c:pt idx="34">
                        <c:v>7.7328715351541004E-3</c:v>
                      </c:pt>
                      <c:pt idx="35">
                        <c:v>5.1463447853165997E-3</c:v>
                      </c:pt>
                      <c:pt idx="36">
                        <c:v>3.3504578846076999E-3</c:v>
                      </c:pt>
                      <c:pt idx="37">
                        <c:v>2.1165694497540001E-3</c:v>
                      </c:pt>
                      <c:pt idx="38">
                        <c:v>1.2770747230206E-3</c:v>
                      </c:pt>
                      <c:pt idx="39">
                        <c:v>7.3855768287949995E-4</c:v>
                      </c:pt>
                      <c:pt idx="40">
                        <c:v>3.9813896000850002E-4</c:v>
                      </c:pt>
                      <c:pt idx="41">
                        <c:v>1.8421096979180001E-4</c:v>
                      </c:pt>
                      <c:pt idx="42">
                        <c:v>8.2916980318259448E-5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52-4AA1-99EC-1B70B83F8AD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'HazCur-STGR-2026-08-12'!$N$1</c15:sqref>
                        </c15:formulaRef>
                      </c:ext>
                    </c:extLst>
                    <c:strCache>
                      <c:ptCount val="1"/>
                      <c:pt idx="0">
                        <c:v>T=0.15s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'HazCur-STGR-2026-08-12'!$N$2:$N$46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6.5207163449376822</c:v>
                      </c:pt>
                      <c:pt idx="1">
                        <c:v>6.3559000445529819</c:v>
                      </c:pt>
                      <c:pt idx="2">
                        <c:v>6.1552594872191548</c:v>
                      </c:pt>
                      <c:pt idx="3">
                        <c:v>5.9173804661259064</c:v>
                      </c:pt>
                      <c:pt idx="4">
                        <c:v>5.6430051145143807</c:v>
                      </c:pt>
                      <c:pt idx="5">
                        <c:v>5.3352810675278306</c:v>
                      </c:pt>
                      <c:pt idx="6">
                        <c:v>4.9995163860730827</c:v>
                      </c:pt>
                      <c:pt idx="7">
                        <c:v>4.6426507486030459</c:v>
                      </c:pt>
                      <c:pt idx="8">
                        <c:v>4.2724840969312936</c:v>
                      </c:pt>
                      <c:pt idx="9">
                        <c:v>3.896810726262629</c:v>
                      </c:pt>
                      <c:pt idx="10">
                        <c:v>3.5228296752320598</c:v>
                      </c:pt>
                      <c:pt idx="11">
                        <c:v>3.1567400841740891</c:v>
                      </c:pt>
                      <c:pt idx="12">
                        <c:v>2.8035797051852569</c:v>
                      </c:pt>
                      <c:pt idx="13">
                        <c:v>2.4672240846557538</c:v>
                      </c:pt>
                      <c:pt idx="14">
                        <c:v>2.1505392813123758</c:v>
                      </c:pt>
                      <c:pt idx="15">
                        <c:v>1.8555139616364611</c:v>
                      </c:pt>
                      <c:pt idx="16">
                        <c:v>1.583522674569394</c:v>
                      </c:pt>
                      <c:pt idx="17">
                        <c:v>1.3353892166924199</c:v>
                      </c:pt>
                      <c:pt idx="18">
                        <c:v>1.1117119972768701</c:v>
                      </c:pt>
                      <c:pt idx="19">
                        <c:v>0.91273815430758998</c:v>
                      </c:pt>
                      <c:pt idx="20">
                        <c:v>0.73845768251339905</c:v>
                      </c:pt>
                      <c:pt idx="21">
                        <c:v>0.58845051337630139</c:v>
                      </c:pt>
                      <c:pt idx="22">
                        <c:v>0.46176685379214177</c:v>
                      </c:pt>
                      <c:pt idx="23">
                        <c:v>0.35694203767525318</c:v>
                      </c:pt>
                      <c:pt idx="24">
                        <c:v>0.27194289877979821</c:v>
                      </c:pt>
                      <c:pt idx="25">
                        <c:v>0.20439126067128649</c:v>
                      </c:pt>
                      <c:pt idx="26">
                        <c:v>0.15173126035915629</c:v>
                      </c:pt>
                      <c:pt idx="27">
                        <c:v>0.1114007077549104</c:v>
                      </c:pt>
                      <c:pt idx="28">
                        <c:v>8.0959697746834494E-2</c:v>
                      </c:pt>
                      <c:pt idx="29">
                        <c:v>5.8297338141457503E-2</c:v>
                      </c:pt>
                      <c:pt idx="30">
                        <c:v>4.1611915861807298E-2</c:v>
                      </c:pt>
                      <c:pt idx="31">
                        <c:v>2.9446239874232501E-2</c:v>
                      </c:pt>
                      <c:pt idx="32">
                        <c:v>2.0640822927816702E-2</c:v>
                      </c:pt>
                      <c:pt idx="33">
                        <c:v>1.4320773982035399E-2</c:v>
                      </c:pt>
                      <c:pt idx="34">
                        <c:v>9.7900919990934008E-3</c:v>
                      </c:pt>
                      <c:pt idx="35">
                        <c:v>6.5989239742520996E-3</c:v>
                      </c:pt>
                      <c:pt idx="36">
                        <c:v>4.3667694993699997E-3</c:v>
                      </c:pt>
                      <c:pt idx="37">
                        <c:v>2.8269158174225001E-3</c:v>
                      </c:pt>
                      <c:pt idx="38">
                        <c:v>1.7701181177471E-3</c:v>
                      </c:pt>
                      <c:pt idx="39">
                        <c:v>1.0542315903876E-3</c:v>
                      </c:pt>
                      <c:pt idx="40">
                        <c:v>6.0798761145969998E-4</c:v>
                      </c:pt>
                      <c:pt idx="41">
                        <c:v>3.1838290669830002E-4</c:v>
                      </c:pt>
                      <c:pt idx="42">
                        <c:v>1.449784182341E-4</c:v>
                      </c:pt>
                      <c:pt idx="43">
                        <c:v>6.381087405316066E-5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52-4AA1-99EC-1B70B83F8AD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'HazCur-STGR-2026-08-12'!$O$1</c15:sqref>
                        </c15:formulaRef>
                      </c:ext>
                    </c:extLst>
                    <c:strCache>
                      <c:ptCount val="1"/>
                      <c:pt idx="0">
                        <c:v>T=0.2s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'HazCur-STGR-2026-08-12'!$O$2:$O$46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6.5482498966157436</c:v>
                      </c:pt>
                      <c:pt idx="1">
                        <c:v>6.3815685855224729</c:v>
                      </c:pt>
                      <c:pt idx="2">
                        <c:v>6.1763886250555524</c:v>
                      </c:pt>
                      <c:pt idx="3">
                        <c:v>5.931305926758796</c:v>
                      </c:pt>
                      <c:pt idx="4">
                        <c:v>5.6474546017125249</c:v>
                      </c:pt>
                      <c:pt idx="5">
                        <c:v>5.3286366118118167</c:v>
                      </c:pt>
                      <c:pt idx="6">
                        <c:v>4.981046924367547</c:v>
                      </c:pt>
                      <c:pt idx="7">
                        <c:v>4.6124524744227529</c:v>
                      </c:pt>
                      <c:pt idx="8">
                        <c:v>4.2313665461260834</c:v>
                      </c:pt>
                      <c:pt idx="9">
                        <c:v>3.846113323001191</c:v>
                      </c:pt>
                      <c:pt idx="10">
                        <c:v>3.4642175061162561</c:v>
                      </c:pt>
                      <c:pt idx="11">
                        <c:v>3.0920125389238819</c:v>
                      </c:pt>
                      <c:pt idx="12">
                        <c:v>2.7345583376009022</c:v>
                      </c:pt>
                      <c:pt idx="13">
                        <c:v>2.395650302059948</c:v>
                      </c:pt>
                      <c:pt idx="14">
                        <c:v>2.0779862214694731</c:v>
                      </c:pt>
                      <c:pt idx="15">
                        <c:v>1.783455683791545</c:v>
                      </c:pt>
                      <c:pt idx="16">
                        <c:v>1.513266130554257</c:v>
                      </c:pt>
                      <c:pt idx="17">
                        <c:v>1.2682068056601561</c:v>
                      </c:pt>
                      <c:pt idx="18">
                        <c:v>1.048768609034596</c:v>
                      </c:pt>
                      <c:pt idx="19">
                        <c:v>0.85510275975684635</c:v>
                      </c:pt>
                      <c:pt idx="20">
                        <c:v>0.68699360086611705</c:v>
                      </c:pt>
                      <c:pt idx="21">
                        <c:v>0.5437441371686873</c:v>
                      </c:pt>
                      <c:pt idx="22">
                        <c:v>0.424070585748268</c:v>
                      </c:pt>
                      <c:pt idx="23">
                        <c:v>0.32608295855789038</c:v>
                      </c:pt>
                      <c:pt idx="24">
                        <c:v>0.2474407317859004</c:v>
                      </c:pt>
                      <c:pt idx="25">
                        <c:v>0.18549771776974919</c:v>
                      </c:pt>
                      <c:pt idx="26">
                        <c:v>0.13751521277802681</c:v>
                      </c:pt>
                      <c:pt idx="27">
                        <c:v>0.10093869273855199</c:v>
                      </c:pt>
                      <c:pt idx="28">
                        <c:v>7.3427847963557696E-2</c:v>
                      </c:pt>
                      <c:pt idx="29">
                        <c:v>5.2961374372898697E-2</c:v>
                      </c:pt>
                      <c:pt idx="30">
                        <c:v>3.7874267090430097E-2</c:v>
                      </c:pt>
                      <c:pt idx="31">
                        <c:v>2.6855514443098999E-2</c:v>
                      </c:pt>
                      <c:pt idx="32">
                        <c:v>1.88623576832469E-2</c:v>
                      </c:pt>
                      <c:pt idx="33">
                        <c:v>1.3108104274579001E-2</c:v>
                      </c:pt>
                      <c:pt idx="34">
                        <c:v>8.9784952924674005E-3</c:v>
                      </c:pt>
                      <c:pt idx="35">
                        <c:v>6.0579894216060996E-3</c:v>
                      </c:pt>
                      <c:pt idx="36">
                        <c:v>4.0112408551635E-3</c:v>
                      </c:pt>
                      <c:pt idx="37">
                        <c:v>2.5991238726419002E-3</c:v>
                      </c:pt>
                      <c:pt idx="38">
                        <c:v>1.6286181398754E-3</c:v>
                      </c:pt>
                      <c:pt idx="39">
                        <c:v>9.7071230925390003E-4</c:v>
                      </c:pt>
                      <c:pt idx="40">
                        <c:v>5.615663696119E-4</c:v>
                      </c:pt>
                      <c:pt idx="41">
                        <c:v>2.9754260867770002E-4</c:v>
                      </c:pt>
                      <c:pt idx="42">
                        <c:v>1.3622948796410001E-4</c:v>
                      </c:pt>
                      <c:pt idx="43">
                        <c:v>6.2380184317589737E-5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52-4AA1-99EC-1B70B83F8AD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'HazCur-STGR-2026-08-12'!$P$1</c15:sqref>
                        </c15:formulaRef>
                      </c:ext>
                    </c:extLst>
                    <c:strCache>
                      <c:ptCount val="1"/>
                      <c:pt idx="0">
                        <c:v>T=0.25s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'HazCur-STGR-2026-08-12'!$P$2:$P$46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6.5458630127832294</c:v>
                      </c:pt>
                      <c:pt idx="1">
                        <c:v>6.3703118534758687</c:v>
                      </c:pt>
                      <c:pt idx="2">
                        <c:v>6.1534252790734172</c:v>
                      </c:pt>
                      <c:pt idx="3">
                        <c:v>5.8943724054843187</c:v>
                      </c:pt>
                      <c:pt idx="4">
                        <c:v>5.5952722989022732</c:v>
                      </c:pt>
                      <c:pt idx="5">
                        <c:v>5.2610165467485794</c:v>
                      </c:pt>
                      <c:pt idx="6">
                        <c:v>4.8988697836175561</c:v>
                      </c:pt>
                      <c:pt idx="7">
                        <c:v>4.5174896530807018</c:v>
                      </c:pt>
                      <c:pt idx="8">
                        <c:v>4.1259341035038233</c:v>
                      </c:pt>
                      <c:pt idx="9">
                        <c:v>3.7328261050861329</c:v>
                      </c:pt>
                      <c:pt idx="10">
                        <c:v>3.3457077739294618</c:v>
                      </c:pt>
                      <c:pt idx="11">
                        <c:v>2.9707930939039211</c:v>
                      </c:pt>
                      <c:pt idx="12">
                        <c:v>2.6129143402213231</c:v>
                      </c:pt>
                      <c:pt idx="13">
                        <c:v>2.275594456121325</c:v>
                      </c:pt>
                      <c:pt idx="14">
                        <c:v>1.961355264647864</c:v>
                      </c:pt>
                      <c:pt idx="15">
                        <c:v>1.6718148897634819</c:v>
                      </c:pt>
                      <c:pt idx="16">
                        <c:v>1.408047199249268</c:v>
                      </c:pt>
                      <c:pt idx="17">
                        <c:v>1.1706830459297639</c:v>
                      </c:pt>
                      <c:pt idx="18">
                        <c:v>0.96005355549277738</c:v>
                      </c:pt>
                      <c:pt idx="19">
                        <c:v>0.77609503315761685</c:v>
                      </c:pt>
                      <c:pt idx="20">
                        <c:v>0.61825569749635179</c:v>
                      </c:pt>
                      <c:pt idx="21">
                        <c:v>0.48541307078266982</c:v>
                      </c:pt>
                      <c:pt idx="22">
                        <c:v>0.37584733118274011</c:v>
                      </c:pt>
                      <c:pt idx="23">
                        <c:v>0.28723570335932891</c:v>
                      </c:pt>
                      <c:pt idx="24">
                        <c:v>0.21690680877509291</c:v>
                      </c:pt>
                      <c:pt idx="25">
                        <c:v>0.16204249667771359</c:v>
                      </c:pt>
                      <c:pt idx="26">
                        <c:v>0.1198524838167713</c:v>
                      </c:pt>
                      <c:pt idx="27">
                        <c:v>8.78310334518346E-2</c:v>
                      </c:pt>
                      <c:pt idx="28">
                        <c:v>6.3825125481344003E-2</c:v>
                      </c:pt>
                      <c:pt idx="29">
                        <c:v>4.5992026074827601E-2</c:v>
                      </c:pt>
                      <c:pt idx="30">
                        <c:v>3.2859413244523197E-2</c:v>
                      </c:pt>
                      <c:pt idx="31">
                        <c:v>2.32595093143785E-2</c:v>
                      </c:pt>
                      <c:pt idx="32">
                        <c:v>1.6289043378549101E-2</c:v>
                      </c:pt>
                      <c:pt idx="33">
                        <c:v>1.12628870083426E-2</c:v>
                      </c:pt>
                      <c:pt idx="34">
                        <c:v>7.6677278357237004E-3</c:v>
                      </c:pt>
                      <c:pt idx="35">
                        <c:v>5.1308100655660001E-3</c:v>
                      </c:pt>
                      <c:pt idx="36">
                        <c:v>3.3636312946398999E-3</c:v>
                      </c:pt>
                      <c:pt idx="37">
                        <c:v>2.1480539689945999E-3</c:v>
                      </c:pt>
                      <c:pt idx="38">
                        <c:v>1.3125384321028E-3</c:v>
                      </c:pt>
                      <c:pt idx="39">
                        <c:v>7.7132394403629995E-4</c:v>
                      </c:pt>
                      <c:pt idx="40">
                        <c:v>4.332762968601E-4</c:v>
                      </c:pt>
                      <c:pt idx="41">
                        <c:v>2.127098441633E-4</c:v>
                      </c:pt>
                      <c:pt idx="42">
                        <c:v>9.8595872259465978E-5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52-4AA1-99EC-1B70B83F8AD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'HazCur-STGR-2026-08-12'!$Q$1</c15:sqref>
                        </c15:formulaRef>
                      </c:ext>
                    </c:extLst>
                    <c:strCache>
                      <c:ptCount val="1"/>
                      <c:pt idx="0">
                        <c:v>T=0.3s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'HazCur-STGR-2026-08-12'!$Q$2:$Q$46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6.4982386268675327</c:v>
                      </c:pt>
                      <c:pt idx="1">
                        <c:v>6.3020090200006962</c:v>
                      </c:pt>
                      <c:pt idx="2">
                        <c:v>6.0616503711789846</c:v>
                      </c:pt>
                      <c:pt idx="3">
                        <c:v>5.7779821623116732</c:v>
                      </c:pt>
                      <c:pt idx="4">
                        <c:v>5.4549036719836286</c:v>
                      </c:pt>
                      <c:pt idx="5">
                        <c:v>5.0991562656126916</c:v>
                      </c:pt>
                      <c:pt idx="6">
                        <c:v>4.7193318335339427</c:v>
                      </c:pt>
                      <c:pt idx="7">
                        <c:v>4.3248913348652422</c:v>
                      </c:pt>
                      <c:pt idx="8">
                        <c:v>3.9251319286413491</c:v>
                      </c:pt>
                      <c:pt idx="9">
                        <c:v>3.528443685267121</c:v>
                      </c:pt>
                      <c:pt idx="10">
                        <c:v>3.141879719216377</c:v>
                      </c:pt>
                      <c:pt idx="11">
                        <c:v>2.771039704442956</c:v>
                      </c:pt>
                      <c:pt idx="12">
                        <c:v>2.4201115543255578</c:v>
                      </c:pt>
                      <c:pt idx="13">
                        <c:v>2.0920941338408738</c:v>
                      </c:pt>
                      <c:pt idx="14">
                        <c:v>1.788965299376287</c:v>
                      </c:pt>
                      <c:pt idx="15">
                        <c:v>1.5120528929401189</c:v>
                      </c:pt>
                      <c:pt idx="16">
                        <c:v>1.262153103249148</c:v>
                      </c:pt>
                      <c:pt idx="17">
                        <c:v>1.0396567230345679</c:v>
                      </c:pt>
                      <c:pt idx="18">
                        <c:v>0.84458440527669154</c:v>
                      </c:pt>
                      <c:pt idx="19">
                        <c:v>0.67646563789458014</c:v>
                      </c:pt>
                      <c:pt idx="20">
                        <c:v>0.53426289513299707</c:v>
                      </c:pt>
                      <c:pt idx="21">
                        <c:v>0.41629414461931441</c:v>
                      </c:pt>
                      <c:pt idx="22">
                        <c:v>0.32030088131432422</c:v>
                      </c:pt>
                      <c:pt idx="23">
                        <c:v>0.2435885339291417</c:v>
                      </c:pt>
                      <c:pt idx="24">
                        <c:v>0.18331112528176161</c:v>
                      </c:pt>
                      <c:pt idx="25">
                        <c:v>0.13663958301458479</c:v>
                      </c:pt>
                      <c:pt idx="26">
                        <c:v>0.1009554793026836</c:v>
                      </c:pt>
                      <c:pt idx="27">
                        <c:v>7.3936710836306901E-2</c:v>
                      </c:pt>
                      <c:pt idx="28">
                        <c:v>5.3687226909516897E-2</c:v>
                      </c:pt>
                      <c:pt idx="29">
                        <c:v>3.8653988102396397E-2</c:v>
                      </c:pt>
                      <c:pt idx="30">
                        <c:v>2.7584261639049101E-2</c:v>
                      </c:pt>
                      <c:pt idx="31">
                        <c:v>1.9478732234091401E-2</c:v>
                      </c:pt>
                      <c:pt idx="32">
                        <c:v>1.35963403303094E-2</c:v>
                      </c:pt>
                      <c:pt idx="33">
                        <c:v>9.3534535353682995E-3</c:v>
                      </c:pt>
                      <c:pt idx="34">
                        <c:v>6.3269759148170002E-3</c:v>
                      </c:pt>
                      <c:pt idx="35">
                        <c:v>4.1958855504162004E-3</c:v>
                      </c:pt>
                      <c:pt idx="36">
                        <c:v>2.7241677744314001E-3</c:v>
                      </c:pt>
                      <c:pt idx="37">
                        <c:v>1.7094763170462E-3</c:v>
                      </c:pt>
                      <c:pt idx="38">
                        <c:v>1.0232580389128E-3</c:v>
                      </c:pt>
                      <c:pt idx="39">
                        <c:v>5.8982535398390001E-4</c:v>
                      </c:pt>
                      <c:pt idx="40">
                        <c:v>3.183744156629E-4</c:v>
                      </c:pt>
                      <c:pt idx="41">
                        <c:v>1.4752835039640001E-4</c:v>
                      </c:pt>
                      <c:pt idx="42">
                        <c:v>6.9146211899351329E-5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52-4AA1-99EC-1B70B83F8AD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'HazCur-STGR-2026-08-12'!$R$1</c15:sqref>
                        </c15:formulaRef>
                      </c:ext>
                    </c:extLst>
                    <c:strCache>
                      <c:ptCount val="1"/>
                      <c:pt idx="0">
                        <c:v>T=0.4s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'HazCur-STGR-2026-08-12'!$R$2:$R$46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6.3674656851217151</c:v>
                      </c:pt>
                      <c:pt idx="1">
                        <c:v>6.1265622107312083</c:v>
                      </c:pt>
                      <c:pt idx="2">
                        <c:v>5.8387367529794574</c:v>
                      </c:pt>
                      <c:pt idx="3">
                        <c:v>5.5084935226477683</c:v>
                      </c:pt>
                      <c:pt idx="4">
                        <c:v>5.1434196690097451</c:v>
                      </c:pt>
                      <c:pt idx="5">
                        <c:v>4.753109987359494</c:v>
                      </c:pt>
                      <c:pt idx="6">
                        <c:v>4.3479553610086441</c:v>
                      </c:pt>
                      <c:pt idx="7">
                        <c:v>3.937987617682666</c:v>
                      </c:pt>
                      <c:pt idx="8">
                        <c:v>3.532095969188958</c:v>
                      </c:pt>
                      <c:pt idx="9">
                        <c:v>3.1376044386997819</c:v>
                      </c:pt>
                      <c:pt idx="10">
                        <c:v>2.7602106118574739</c:v>
                      </c:pt>
                      <c:pt idx="11">
                        <c:v>2.404084365000017</c:v>
                      </c:pt>
                      <c:pt idx="12">
                        <c:v>2.072194660431705</c:v>
                      </c:pt>
                      <c:pt idx="13">
                        <c:v>1.7665366365108639</c:v>
                      </c:pt>
                      <c:pt idx="14">
                        <c:v>1.488406998920254</c:v>
                      </c:pt>
                      <c:pt idx="15">
                        <c:v>1.238605839258526</c:v>
                      </c:pt>
                      <c:pt idx="16">
                        <c:v>1.017479841539171</c:v>
                      </c:pt>
                      <c:pt idx="17">
                        <c:v>0.82486134886858054</c:v>
                      </c:pt>
                      <c:pt idx="18">
                        <c:v>0.65997113127377816</c:v>
                      </c:pt>
                      <c:pt idx="19">
                        <c:v>0.52136199871893041</c:v>
                      </c:pt>
                      <c:pt idx="20">
                        <c:v>0.40697061472747009</c:v>
                      </c:pt>
                      <c:pt idx="21">
                        <c:v>0.31418182668858208</c:v>
                      </c:pt>
                      <c:pt idx="22">
                        <c:v>0.2401085968740517</c:v>
                      </c:pt>
                      <c:pt idx="23">
                        <c:v>0.18180599875631739</c:v>
                      </c:pt>
                      <c:pt idx="24">
                        <c:v>0.13646966177293501</c:v>
                      </c:pt>
                      <c:pt idx="25">
                        <c:v>0.1015686961627579</c:v>
                      </c:pt>
                      <c:pt idx="26">
                        <c:v>7.4977973274599194E-2</c:v>
                      </c:pt>
                      <c:pt idx="27">
                        <c:v>5.48572602867523E-2</c:v>
                      </c:pt>
                      <c:pt idx="28">
                        <c:v>3.9761284439521198E-2</c:v>
                      </c:pt>
                      <c:pt idx="29">
                        <c:v>2.8535835344882798E-2</c:v>
                      </c:pt>
                      <c:pt idx="30">
                        <c:v>2.0253419937034702E-2</c:v>
                      </c:pt>
                      <c:pt idx="31">
                        <c:v>1.4198937801665999E-2</c:v>
                      </c:pt>
                      <c:pt idx="32">
                        <c:v>9.8064853746108998E-3</c:v>
                      </c:pt>
                      <c:pt idx="33">
                        <c:v>6.6369138781965003E-3</c:v>
                      </c:pt>
                      <c:pt idx="34">
                        <c:v>4.4039740437256001E-3</c:v>
                      </c:pt>
                      <c:pt idx="35">
                        <c:v>2.8616865529897E-3</c:v>
                      </c:pt>
                      <c:pt idx="36">
                        <c:v>1.8013635963143001E-3</c:v>
                      </c:pt>
                      <c:pt idx="37">
                        <c:v>1.0816223784786E-3</c:v>
                      </c:pt>
                      <c:pt idx="38">
                        <c:v>6.2417015237770004E-4</c:v>
                      </c:pt>
                      <c:pt idx="39">
                        <c:v>3.419663690067E-4</c:v>
                      </c:pt>
                      <c:pt idx="40">
                        <c:v>1.6464043437729999E-4</c:v>
                      </c:pt>
                      <c:pt idx="41">
                        <c:v>7.835649375920184E-5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952-4AA1-99EC-1B70B83F8AD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'HazCur-STGR-2026-08-12'!$S$1</c15:sqref>
                        </c15:formulaRef>
                      </c:ext>
                    </c:extLst>
                    <c:strCache>
                      <c:ptCount val="1"/>
                      <c:pt idx="0">
                        <c:v>T=0.6s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'HazCur-STGR-2026-08-12'!$S$2:$S$46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5.8596990378573537</c:v>
                      </c:pt>
                      <c:pt idx="1">
                        <c:v>5.5262751365080476</c:v>
                      </c:pt>
                      <c:pt idx="2">
                        <c:v>5.1567840045318007</c:v>
                      </c:pt>
                      <c:pt idx="3">
                        <c:v>4.7612850368022919</c:v>
                      </c:pt>
                      <c:pt idx="4">
                        <c:v>4.3506902577355504</c:v>
                      </c:pt>
                      <c:pt idx="5">
                        <c:v>3.9355067852884531</c:v>
                      </c:pt>
                      <c:pt idx="6">
                        <c:v>3.5249756120610982</c:v>
                      </c:pt>
                      <c:pt idx="7">
                        <c:v>3.1266012629494071</c:v>
                      </c:pt>
                      <c:pt idx="8">
                        <c:v>2.7461784838233139</c:v>
                      </c:pt>
                      <c:pt idx="9">
                        <c:v>2.3878857749514282</c:v>
                      </c:pt>
                      <c:pt idx="10">
                        <c:v>2.054714237689041</c:v>
                      </c:pt>
                      <c:pt idx="11">
                        <c:v>1.7487143765902149</c:v>
                      </c:pt>
                      <c:pt idx="12">
                        <c:v>1.4712489440571519</c:v>
                      </c:pt>
                      <c:pt idx="13">
                        <c:v>1.22316220565699</c:v>
                      </c:pt>
                      <c:pt idx="14">
                        <c:v>1.0047118482762021</c:v>
                      </c:pt>
                      <c:pt idx="15">
                        <c:v>0.81548340030713007</c:v>
                      </c:pt>
                      <c:pt idx="16">
                        <c:v>0.65435367490863428</c:v>
                      </c:pt>
                      <c:pt idx="17">
                        <c:v>0.51944070565514266</c:v>
                      </c:pt>
                      <c:pt idx="18">
                        <c:v>0.40828687720932061</c:v>
                      </c:pt>
                      <c:pt idx="19">
                        <c:v>0.31800604381714948</c:v>
                      </c:pt>
                      <c:pt idx="20">
                        <c:v>0.24560119381931139</c:v>
                      </c:pt>
                      <c:pt idx="21">
                        <c:v>0.18816406585392539</c:v>
                      </c:pt>
                      <c:pt idx="22">
                        <c:v>0.1430181617470225</c:v>
                      </c:pt>
                      <c:pt idx="23">
                        <c:v>0.10783751248891341</c:v>
                      </c:pt>
                      <c:pt idx="24">
                        <c:v>8.0634540625396697E-2</c:v>
                      </c:pt>
                      <c:pt idx="25">
                        <c:v>5.9755986696472897E-2</c:v>
                      </c:pt>
                      <c:pt idx="26">
                        <c:v>4.3868212174629599E-2</c:v>
                      </c:pt>
                      <c:pt idx="27">
                        <c:v>3.1833371868287899E-2</c:v>
                      </c:pt>
                      <c:pt idx="28">
                        <c:v>2.2818673334771899E-2</c:v>
                      </c:pt>
                      <c:pt idx="29">
                        <c:v>1.61385353558216E-2</c:v>
                      </c:pt>
                      <c:pt idx="30">
                        <c:v>1.12388572229065E-2</c:v>
                      </c:pt>
                      <c:pt idx="31">
                        <c:v>7.6810673078853003E-3</c:v>
                      </c:pt>
                      <c:pt idx="32">
                        <c:v>5.1234954900110001E-3</c:v>
                      </c:pt>
                      <c:pt idx="33">
                        <c:v>3.3335076449246999E-3</c:v>
                      </c:pt>
                      <c:pt idx="34">
                        <c:v>2.1024091329309002E-3</c:v>
                      </c:pt>
                      <c:pt idx="35">
                        <c:v>1.2675269499595001E-3</c:v>
                      </c:pt>
                      <c:pt idx="36">
                        <c:v>7.3546133899069996E-4</c:v>
                      </c:pt>
                      <c:pt idx="37">
                        <c:v>4.0186209457710001E-4</c:v>
                      </c:pt>
                      <c:pt idx="38">
                        <c:v>2.0299533935030001E-4</c:v>
                      </c:pt>
                      <c:pt idx="39">
                        <c:v>9.5480932941427441E-5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952-4AA1-99EC-1B70B83F8AD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'HazCur-STGR-2026-08-12'!$T$1</c15:sqref>
                        </c15:formulaRef>
                      </c:ext>
                    </c:extLst>
                    <c:strCache>
                      <c:ptCount val="1"/>
                      <c:pt idx="0">
                        <c:v>T=0.8s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'HazCur-STGR-2026-08-12'!$T$2:$T$46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5.1616286598145962</c:v>
                      </c:pt>
                      <c:pt idx="1">
                        <c:v>4.7654134724289179</c:v>
                      </c:pt>
                      <c:pt idx="2">
                        <c:v>4.3537255064584324</c:v>
                      </c:pt>
                      <c:pt idx="3">
                        <c:v>3.937154246494174</c:v>
                      </c:pt>
                      <c:pt idx="4">
                        <c:v>3.525062078610063</c:v>
                      </c:pt>
                      <c:pt idx="5">
                        <c:v>3.125143542187288</c:v>
                      </c:pt>
                      <c:pt idx="6">
                        <c:v>2.7433193284086879</c:v>
                      </c:pt>
                      <c:pt idx="7">
                        <c:v>2.383985250955448</c:v>
                      </c:pt>
                      <c:pt idx="8">
                        <c:v>2.0502896392717962</c:v>
                      </c:pt>
                      <c:pt idx="9">
                        <c:v>1.744467283366248</c:v>
                      </c:pt>
                      <c:pt idx="10">
                        <c:v>1.4679778958670791</c:v>
                      </c:pt>
                      <c:pt idx="11">
                        <c:v>1.221657716669142</c:v>
                      </c:pt>
                      <c:pt idx="12">
                        <c:v>1.0056030865525829</c:v>
                      </c:pt>
                      <c:pt idx="13">
                        <c:v>0.81913415278540924</c:v>
                      </c:pt>
                      <c:pt idx="14">
                        <c:v>0.66075945313787088</c:v>
                      </c:pt>
                      <c:pt idx="15">
                        <c:v>0.52827849448658526</c:v>
                      </c:pt>
                      <c:pt idx="16">
                        <c:v>0.41894862952176481</c:v>
                      </c:pt>
                      <c:pt idx="17">
                        <c:v>0.32976938379579218</c:v>
                      </c:pt>
                      <c:pt idx="18">
                        <c:v>0.25771507553872652</c:v>
                      </c:pt>
                      <c:pt idx="19">
                        <c:v>0.1999703608016716</c:v>
                      </c:pt>
                      <c:pt idx="20">
                        <c:v>0.1540059880717308</c:v>
                      </c:pt>
                      <c:pt idx="21">
                        <c:v>0.11767074422095899</c:v>
                      </c:pt>
                      <c:pt idx="22">
                        <c:v>8.9142684264515895E-2</c:v>
                      </c:pt>
                      <c:pt idx="23">
                        <c:v>6.6912245882121996E-2</c:v>
                      </c:pt>
                      <c:pt idx="24">
                        <c:v>4.9719784492481198E-2</c:v>
                      </c:pt>
                      <c:pt idx="25">
                        <c:v>3.6549580485370797E-2</c:v>
                      </c:pt>
                      <c:pt idx="26">
                        <c:v>2.6528977693530399E-2</c:v>
                      </c:pt>
                      <c:pt idx="27">
                        <c:v>1.8960682351234898E-2</c:v>
                      </c:pt>
                      <c:pt idx="28">
                        <c:v>1.3336161574443299E-2</c:v>
                      </c:pt>
                      <c:pt idx="29">
                        <c:v>9.2204109646444998E-3</c:v>
                      </c:pt>
                      <c:pt idx="30">
                        <c:v>6.2285174283259999E-3</c:v>
                      </c:pt>
                      <c:pt idx="31">
                        <c:v>4.0980856437612999E-3</c:v>
                      </c:pt>
                      <c:pt idx="32">
                        <c:v>2.6205736370456998E-3</c:v>
                      </c:pt>
                      <c:pt idx="33">
                        <c:v>1.6008599995984E-3</c:v>
                      </c:pt>
                      <c:pt idx="34">
                        <c:v>9.3766767167829999E-4</c:v>
                      </c:pt>
                      <c:pt idx="35">
                        <c:v>5.2051520469830002E-4</c:v>
                      </c:pt>
                      <c:pt idx="36">
                        <c:v>2.6593593912590001E-4</c:v>
                      </c:pt>
                      <c:pt idx="37">
                        <c:v>1.2740640522670001E-4</c:v>
                      </c:pt>
                      <c:pt idx="38">
                        <c:v>5.5495034757768742E-5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952-4AA1-99EC-1B70B83F8AD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'HazCur-STGR-2026-08-12'!$X$1</c15:sqref>
                        </c15:formulaRef>
                      </c:ext>
                    </c:extLst>
                    <c:strCache>
                      <c:ptCount val="1"/>
                      <c:pt idx="0">
                        <c:v>T=3.0s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'HazCur-STGR-2026-08-12'!$X$2:$X$46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1.200572681613266</c:v>
                      </c:pt>
                      <c:pt idx="1">
                        <c:v>1.0092506854562091</c:v>
                      </c:pt>
                      <c:pt idx="2">
                        <c:v>0.84525189339183271</c:v>
                      </c:pt>
                      <c:pt idx="3">
                        <c:v>0.7057095822528936</c:v>
                      </c:pt>
                      <c:pt idx="4">
                        <c:v>0.58762641373323277</c:v>
                      </c:pt>
                      <c:pt idx="5">
                        <c:v>0.48807558370754123</c:v>
                      </c:pt>
                      <c:pt idx="6">
                        <c:v>0.40434925723820919</c:v>
                      </c:pt>
                      <c:pt idx="7">
                        <c:v>0.3340200184029527</c:v>
                      </c:pt>
                      <c:pt idx="8">
                        <c:v>0.2750088119355496</c:v>
                      </c:pt>
                      <c:pt idx="9">
                        <c:v>0.2255167953553609</c:v>
                      </c:pt>
                      <c:pt idx="10">
                        <c:v>0.18404899301822289</c:v>
                      </c:pt>
                      <c:pt idx="11">
                        <c:v>0.14934022533998359</c:v>
                      </c:pt>
                      <c:pt idx="12">
                        <c:v>0.12037220662750769</c:v>
                      </c:pt>
                      <c:pt idx="13">
                        <c:v>9.6273093440686297E-2</c:v>
                      </c:pt>
                      <c:pt idx="14">
                        <c:v>7.6331502445100299E-2</c:v>
                      </c:pt>
                      <c:pt idx="15">
                        <c:v>5.9921494284935699E-2</c:v>
                      </c:pt>
                      <c:pt idx="16">
                        <c:v>4.6509202606102903E-2</c:v>
                      </c:pt>
                      <c:pt idx="17">
                        <c:v>3.5637597231470801E-2</c:v>
                      </c:pt>
                      <c:pt idx="18">
                        <c:v>2.6901886512860001E-2</c:v>
                      </c:pt>
                      <c:pt idx="19">
                        <c:v>1.9953642013206201E-2</c:v>
                      </c:pt>
                      <c:pt idx="20">
                        <c:v>1.44913633289434E-2</c:v>
                      </c:pt>
                      <c:pt idx="21">
                        <c:v>1.0273091706039799E-2</c:v>
                      </c:pt>
                      <c:pt idx="22">
                        <c:v>7.0740777071591002E-3</c:v>
                      </c:pt>
                      <c:pt idx="23">
                        <c:v>4.7008048833275997E-3</c:v>
                      </c:pt>
                      <c:pt idx="24">
                        <c:v>2.9910714263223E-3</c:v>
                      </c:pt>
                      <c:pt idx="25">
                        <c:v>1.8261981420407999E-3</c:v>
                      </c:pt>
                      <c:pt idx="26">
                        <c:v>1.0404560584618E-3</c:v>
                      </c:pt>
                      <c:pt idx="27">
                        <c:v>5.3947870560470002E-4</c:v>
                      </c:pt>
                      <c:pt idx="28">
                        <c:v>2.5353245954559998E-4</c:v>
                      </c:pt>
                      <c:pt idx="29">
                        <c:v>1.006819873623E-4</c:v>
                      </c:pt>
                      <c:pt idx="30">
                        <c:v>3.7761010389658622E-5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952-4AA1-99EC-1B70B83F8AD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'HazCur-STGR-2026-08-12'!$Y$1</c15:sqref>
                        </c15:formulaRef>
                      </c:ext>
                    </c:extLst>
                    <c:strCache>
                      <c:ptCount val="1"/>
                      <c:pt idx="0">
                        <c:v>T=4.0s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'HazCur-STGR-2026-08-12'!$Y$2:$Y$46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0.76201622909866273</c:v>
                      </c:pt>
                      <c:pt idx="1">
                        <c:v>0.64077232760610059</c:v>
                      </c:pt>
                      <c:pt idx="2">
                        <c:v>0.53771323314867914</c:v>
                      </c:pt>
                      <c:pt idx="3">
                        <c:v>0.45029555383371189</c:v>
                      </c:pt>
                      <c:pt idx="4">
                        <c:v>0.37623471213737503</c:v>
                      </c:pt>
                      <c:pt idx="5">
                        <c:v>0.31353035554639058</c:v>
                      </c:pt>
                      <c:pt idx="6">
                        <c:v>0.26046309701632708</c:v>
                      </c:pt>
                      <c:pt idx="7">
                        <c:v>0.21556783185224049</c:v>
                      </c:pt>
                      <c:pt idx="8">
                        <c:v>0.17760719510260969</c:v>
                      </c:pt>
                      <c:pt idx="9">
                        <c:v>0.14555221580667421</c:v>
                      </c:pt>
                      <c:pt idx="10">
                        <c:v>0.11855513048067221</c:v>
                      </c:pt>
                      <c:pt idx="11">
                        <c:v>9.5872739300830206E-2</c:v>
                      </c:pt>
                      <c:pt idx="12">
                        <c:v>7.6917434533242998E-2</c:v>
                      </c:pt>
                      <c:pt idx="13">
                        <c:v>6.1141479418438303E-2</c:v>
                      </c:pt>
                      <c:pt idx="14">
                        <c:v>4.8098241055413299E-2</c:v>
                      </c:pt>
                      <c:pt idx="15">
                        <c:v>3.7367358519986703E-2</c:v>
                      </c:pt>
                      <c:pt idx="16">
                        <c:v>2.86098602682614E-2</c:v>
                      </c:pt>
                      <c:pt idx="17">
                        <c:v>2.15302621436421E-2</c:v>
                      </c:pt>
                      <c:pt idx="18">
                        <c:v>1.5865411617596602E-2</c:v>
                      </c:pt>
                      <c:pt idx="19">
                        <c:v>1.1408464783926301E-2</c:v>
                      </c:pt>
                      <c:pt idx="20">
                        <c:v>7.9618686227148992E-3</c:v>
                      </c:pt>
                      <c:pt idx="21">
                        <c:v>5.3681243941808999E-3</c:v>
                      </c:pt>
                      <c:pt idx="22">
                        <c:v>3.4651793191641999E-3</c:v>
                      </c:pt>
                      <c:pt idx="23">
                        <c:v>2.1201509979817002E-3</c:v>
                      </c:pt>
                      <c:pt idx="24">
                        <c:v>1.2282352707870001E-3</c:v>
                      </c:pt>
                      <c:pt idx="25">
                        <c:v>6.4371309419889995E-4</c:v>
                      </c:pt>
                      <c:pt idx="26">
                        <c:v>2.9872347113259998E-4</c:v>
                      </c:pt>
                      <c:pt idx="27">
                        <c:v>9.9979887639989315E-5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952-4AA1-99EC-1B70B83F8AD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'HazCur-STGR-2026-08-12'!$Z$1</c15:sqref>
                        </c15:formulaRef>
                      </c:ext>
                    </c:extLst>
                    <c:strCache>
                      <c:ptCount val="1"/>
                      <c:pt idx="0">
                        <c:v>T=5.0s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'HazCur-STGR-2026-08-12'!$Z$2:$Z$46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0.53340434830170125</c:v>
                      </c:pt>
                      <c:pt idx="1">
                        <c:v>0.44977244886104017</c:v>
                      </c:pt>
                      <c:pt idx="2">
                        <c:v>0.3784910420072265</c:v>
                      </c:pt>
                      <c:pt idx="3">
                        <c:v>0.31777646971750068</c:v>
                      </c:pt>
                      <c:pt idx="4">
                        <c:v>0.26607199371210299</c:v>
                      </c:pt>
                      <c:pt idx="5">
                        <c:v>0.2220462695404421</c:v>
                      </c:pt>
                      <c:pt idx="6">
                        <c:v>0.1845730642380658</c:v>
                      </c:pt>
                      <c:pt idx="7">
                        <c:v>0.15269839041866359</c:v>
                      </c:pt>
                      <c:pt idx="8">
                        <c:v>0.1256375718949129</c:v>
                      </c:pt>
                      <c:pt idx="9">
                        <c:v>0.102720800001407</c:v>
                      </c:pt>
                      <c:pt idx="10">
                        <c:v>8.3379505580523899E-2</c:v>
                      </c:pt>
                      <c:pt idx="11">
                        <c:v>6.7127486698154798E-2</c:v>
                      </c:pt>
                      <c:pt idx="12">
                        <c:v>5.3535726874542798E-2</c:v>
                      </c:pt>
                      <c:pt idx="13">
                        <c:v>4.2218219052301699E-2</c:v>
                      </c:pt>
                      <c:pt idx="14">
                        <c:v>3.2859704631846398E-2</c:v>
                      </c:pt>
                      <c:pt idx="15">
                        <c:v>2.5174392090775599E-2</c:v>
                      </c:pt>
                      <c:pt idx="16">
                        <c:v>1.89225143494695E-2</c:v>
                      </c:pt>
                      <c:pt idx="17">
                        <c:v>1.3903143109928301E-2</c:v>
                      </c:pt>
                      <c:pt idx="18">
                        <c:v>9.9432196643647001E-3</c:v>
                      </c:pt>
                      <c:pt idx="19">
                        <c:v>6.8760937429033003E-3</c:v>
                      </c:pt>
                      <c:pt idx="20">
                        <c:v>4.5775337657687001E-3</c:v>
                      </c:pt>
                      <c:pt idx="21">
                        <c:v>2.9084787044837E-3</c:v>
                      </c:pt>
                      <c:pt idx="22">
                        <c:v>1.7420643766286E-3</c:v>
                      </c:pt>
                      <c:pt idx="23">
                        <c:v>9.6917503185519997E-4</c:v>
                      </c:pt>
                      <c:pt idx="24">
                        <c:v>4.8987586706770005E-4</c:v>
                      </c:pt>
                      <c:pt idx="25">
                        <c:v>1.8676912713989999E-4</c:v>
                      </c:pt>
                      <c:pt idx="26">
                        <c:v>5.045690977567574E-5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952-4AA1-99EC-1B70B83F8AD9}"/>
                  </c:ext>
                </c:extLst>
              </c15:ser>
            </c15:filteredScatterSeries>
          </c:ext>
        </c:extLst>
      </c:scatterChart>
      <c:valAx>
        <c:axId val="19063017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17472400"/>
        <c:crosses val="autoZero"/>
        <c:crossBetween val="midCat"/>
      </c:valAx>
      <c:valAx>
        <c:axId val="2017472400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Annual Rate of Exceedance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6301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056418686555806"/>
          <c:y val="3.4568119666531394E-2"/>
          <c:w val="0.21943581313444194"/>
          <c:h val="0.2950789218512063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668215460222"/>
          <c:y val="4.3167966971848132E-2"/>
          <c:w val="0.84880702035309541"/>
          <c:h val="0.773127402253328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'UHS-STGR-2026-08-12'!$B$1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'UHS-STGR-2026-08-12'!$B$2:$B$26</c:f>
              <c:numCache>
                <c:formatCode>General</c:formatCode>
                <c:ptCount val="25"/>
                <c:pt idx="0">
                  <c:v>9.8514519652933466E-2</c:v>
                </c:pt>
                <c:pt idx="1">
                  <c:v>9.8529387039693828E-2</c:v>
                </c:pt>
                <c:pt idx="2">
                  <c:v>0.1029455209827639</c:v>
                </c:pt>
                <c:pt idx="3">
                  <c:v>0.10626666183539531</c:v>
                </c:pt>
                <c:pt idx="4">
                  <c:v>0.1166940888555518</c:v>
                </c:pt>
                <c:pt idx="5">
                  <c:v>0.13338382317272601</c:v>
                </c:pt>
                <c:pt idx="6">
                  <c:v>0.14740725537820429</c:v>
                </c:pt>
                <c:pt idx="7">
                  <c:v>0.1658219620704835</c:v>
                </c:pt>
                <c:pt idx="8">
                  <c:v>0.18349249865233791</c:v>
                </c:pt>
                <c:pt idx="9">
                  <c:v>0.19842540470704481</c:v>
                </c:pt>
                <c:pt idx="10">
                  <c:v>0.2113552366868435</c:v>
                </c:pt>
                <c:pt idx="11">
                  <c:v>0.22374037722255499</c:v>
                </c:pt>
                <c:pt idx="12">
                  <c:v>0.2435087476393295</c:v>
                </c:pt>
                <c:pt idx="13">
                  <c:v>0.23044658937041321</c:v>
                </c:pt>
                <c:pt idx="14">
                  <c:v>0.20925615052042809</c:v>
                </c:pt>
                <c:pt idx="15">
                  <c:v>0.18648108891688889</c:v>
                </c:pt>
                <c:pt idx="16">
                  <c:v>0.15156759208300369</c:v>
                </c:pt>
                <c:pt idx="17">
                  <c:v>0.10304609896528349</c:v>
                </c:pt>
                <c:pt idx="18">
                  <c:v>7.1978288446615024E-2</c:v>
                </c:pt>
                <c:pt idx="19">
                  <c:v>5.3919234487173041E-2</c:v>
                </c:pt>
                <c:pt idx="20">
                  <c:v>3.1309315527114731E-2</c:v>
                </c:pt>
                <c:pt idx="21">
                  <c:v>2.0955430899683901E-2</c:v>
                </c:pt>
                <c:pt idx="22">
                  <c:v>1.1628388076490959E-2</c:v>
                </c:pt>
                <c:pt idx="23">
                  <c:v>7.7720226103378219E-3</c:v>
                </c:pt>
                <c:pt idx="24">
                  <c:v>5.5902616054869028E-3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1-49C5-8992-19976BCE1573}"/>
            </c:ext>
          </c:extLst>
        </c:ser>
        <c:ser>
          <c:idx val="1"/>
          <c:order val="1"/>
          <c:tx>
            <c:strRef>
              <c:f>'UHS-STGR-2026-08-12'!$C$1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'UHS-STGR-2026-08-12'!$C$2:$C$26</c:f>
              <c:numCache>
                <c:formatCode>General</c:formatCode>
                <c:ptCount val="25"/>
                <c:pt idx="0">
                  <c:v>0.1640353618821867</c:v>
                </c:pt>
                <c:pt idx="1">
                  <c:v>0.1640459585391591</c:v>
                </c:pt>
                <c:pt idx="2">
                  <c:v>0.17156019761099051</c:v>
                </c:pt>
                <c:pt idx="3">
                  <c:v>0.17718052985006669</c:v>
                </c:pt>
                <c:pt idx="4">
                  <c:v>0.19424921112536131</c:v>
                </c:pt>
                <c:pt idx="5">
                  <c:v>0.2220521626003821</c:v>
                </c:pt>
                <c:pt idx="6">
                  <c:v>0.24471007300297001</c:v>
                </c:pt>
                <c:pt idx="7">
                  <c:v>0.27558309364449562</c:v>
                </c:pt>
                <c:pt idx="8">
                  <c:v>0.30466261428685348</c:v>
                </c:pt>
                <c:pt idx="9">
                  <c:v>0.32944919345408058</c:v>
                </c:pt>
                <c:pt idx="10">
                  <c:v>0.35090991144722911</c:v>
                </c:pt>
                <c:pt idx="11">
                  <c:v>0.37147937982640589</c:v>
                </c:pt>
                <c:pt idx="12">
                  <c:v>0.40457733817097419</c:v>
                </c:pt>
                <c:pt idx="13">
                  <c:v>0.38537633898507723</c:v>
                </c:pt>
                <c:pt idx="14">
                  <c:v>0.35000382885442538</c:v>
                </c:pt>
                <c:pt idx="15">
                  <c:v>0.31238680539108188</c:v>
                </c:pt>
                <c:pt idx="16">
                  <c:v>0.25385521752031193</c:v>
                </c:pt>
                <c:pt idx="17">
                  <c:v>0.17290381388653789</c:v>
                </c:pt>
                <c:pt idx="18">
                  <c:v>0.120844968617149</c:v>
                </c:pt>
                <c:pt idx="19">
                  <c:v>9.0977441642828033E-2</c:v>
                </c:pt>
                <c:pt idx="20">
                  <c:v>5.2950861994158292E-2</c:v>
                </c:pt>
                <c:pt idx="21">
                  <c:v>3.5600712272029093E-2</c:v>
                </c:pt>
                <c:pt idx="22">
                  <c:v>1.9869840332750549E-2</c:v>
                </c:pt>
                <c:pt idx="23">
                  <c:v>1.3386909526066011E-2</c:v>
                </c:pt>
                <c:pt idx="24">
                  <c:v>9.6647494151114993E-3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1-49C5-8992-19976BCE1573}"/>
            </c:ext>
          </c:extLst>
        </c:ser>
        <c:ser>
          <c:idx val="2"/>
          <c:order val="2"/>
          <c:tx>
            <c:strRef>
              <c:f>'UHS-STGR-2026-08-12'!$D$1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'UHS-STGR-2026-08-12'!$D$2:$D$26</c:f>
              <c:numCache>
                <c:formatCode>General</c:formatCode>
                <c:ptCount val="25"/>
                <c:pt idx="0">
                  <c:v>0.21161472311263771</c:v>
                </c:pt>
                <c:pt idx="1">
                  <c:v>0.21162074927522559</c:v>
                </c:pt>
                <c:pt idx="2">
                  <c:v>0.22142778883650641</c:v>
                </c:pt>
                <c:pt idx="3">
                  <c:v>0.2287300540634048</c:v>
                </c:pt>
                <c:pt idx="4">
                  <c:v>0.25036972275218278</c:v>
                </c:pt>
                <c:pt idx="5">
                  <c:v>0.28605580002773018</c:v>
                </c:pt>
                <c:pt idx="6">
                  <c:v>0.31455490776568867</c:v>
                </c:pt>
                <c:pt idx="7">
                  <c:v>0.35443167680895171</c:v>
                </c:pt>
                <c:pt idx="8">
                  <c:v>0.39137464642831821</c:v>
                </c:pt>
                <c:pt idx="9">
                  <c:v>0.42332656210750308</c:v>
                </c:pt>
                <c:pt idx="10">
                  <c:v>0.45081723341144608</c:v>
                </c:pt>
                <c:pt idx="11">
                  <c:v>0.47698024774683151</c:v>
                </c:pt>
                <c:pt idx="12">
                  <c:v>0.52050172328351307</c:v>
                </c:pt>
                <c:pt idx="13">
                  <c:v>0.49721260920777338</c:v>
                </c:pt>
                <c:pt idx="14">
                  <c:v>0.45146958731972581</c:v>
                </c:pt>
                <c:pt idx="15">
                  <c:v>0.40293868532079008</c:v>
                </c:pt>
                <c:pt idx="16">
                  <c:v>0.32713083246460861</c:v>
                </c:pt>
                <c:pt idx="17">
                  <c:v>0.22217857431339211</c:v>
                </c:pt>
                <c:pt idx="18">
                  <c:v>0.15507614764890951</c:v>
                </c:pt>
                <c:pt idx="19">
                  <c:v>0.1168054824847793</c:v>
                </c:pt>
                <c:pt idx="20">
                  <c:v>6.807534530541999E-2</c:v>
                </c:pt>
                <c:pt idx="21">
                  <c:v>4.5650561147786532E-2</c:v>
                </c:pt>
                <c:pt idx="22">
                  <c:v>2.5403170267558731E-2</c:v>
                </c:pt>
                <c:pt idx="23">
                  <c:v>1.7126038965737909E-2</c:v>
                </c:pt>
                <c:pt idx="24">
                  <c:v>1.2376678137284689E-2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C1-49C5-8992-19976BCE1573}"/>
            </c:ext>
          </c:extLst>
        </c:ser>
        <c:ser>
          <c:idx val="3"/>
          <c:order val="3"/>
          <c:tx>
            <c:strRef>
              <c:f>'UHS-STGR-2026-08-12'!$E$1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'UHS-STGR-2026-08-12'!$E$2:$E$26</c:f>
              <c:numCache>
                <c:formatCode>General</c:formatCode>
                <c:ptCount val="25"/>
                <c:pt idx="0">
                  <c:v>0.28213836440923851</c:v>
                </c:pt>
                <c:pt idx="1">
                  <c:v>0.28213928218021439</c:v>
                </c:pt>
                <c:pt idx="2">
                  <c:v>0.29564150574475428</c:v>
                </c:pt>
                <c:pt idx="3">
                  <c:v>0.30496863604057811</c:v>
                </c:pt>
                <c:pt idx="4">
                  <c:v>0.33324611739740878</c:v>
                </c:pt>
                <c:pt idx="5">
                  <c:v>0.38044075185315368</c:v>
                </c:pt>
                <c:pt idx="6">
                  <c:v>0.41679596641487859</c:v>
                </c:pt>
                <c:pt idx="7">
                  <c:v>0.47039282791082038</c:v>
                </c:pt>
                <c:pt idx="8">
                  <c:v>0.51812713216654649</c:v>
                </c:pt>
                <c:pt idx="9">
                  <c:v>0.56057652321232487</c:v>
                </c:pt>
                <c:pt idx="10">
                  <c:v>0.59784962778057782</c:v>
                </c:pt>
                <c:pt idx="11">
                  <c:v>0.63087810206296102</c:v>
                </c:pt>
                <c:pt idx="12">
                  <c:v>0.69144263027256037</c:v>
                </c:pt>
                <c:pt idx="13">
                  <c:v>0.66299851889586148</c:v>
                </c:pt>
                <c:pt idx="14">
                  <c:v>0.60211351027851379</c:v>
                </c:pt>
                <c:pt idx="15">
                  <c:v>0.53691583850564784</c:v>
                </c:pt>
                <c:pt idx="16">
                  <c:v>0.43561356832197851</c:v>
                </c:pt>
                <c:pt idx="17">
                  <c:v>0.29450148280344068</c:v>
                </c:pt>
                <c:pt idx="18">
                  <c:v>0.20447415730930149</c:v>
                </c:pt>
                <c:pt idx="19">
                  <c:v>0.1540490092416901</c:v>
                </c:pt>
                <c:pt idx="20">
                  <c:v>8.998583281943591E-2</c:v>
                </c:pt>
                <c:pt idx="21">
                  <c:v>5.999504988512859E-2</c:v>
                </c:pt>
                <c:pt idx="22">
                  <c:v>3.3236145495262229E-2</c:v>
                </c:pt>
                <c:pt idx="23">
                  <c:v>2.229748454661969E-2</c:v>
                </c:pt>
                <c:pt idx="24">
                  <c:v>1.6113803587597592E-2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C1-49C5-8992-19976BCE1573}"/>
            </c:ext>
          </c:extLst>
        </c:ser>
        <c:ser>
          <c:idx val="4"/>
          <c:order val="4"/>
          <c:tx>
            <c:strRef>
              <c:f>'UHS-STGR-2026-08-12'!$F$1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'UHS-STGR-2026-08-12'!$F$2:$F$26</c:f>
              <c:numCache>
                <c:formatCode>General</c:formatCode>
                <c:ptCount val="25"/>
                <c:pt idx="0">
                  <c:v>0.39674932901846038</c:v>
                </c:pt>
                <c:pt idx="1">
                  <c:v>0.39674932901846038</c:v>
                </c:pt>
                <c:pt idx="2">
                  <c:v>0.41479158086383372</c:v>
                </c:pt>
                <c:pt idx="3">
                  <c:v>0.42823789541816559</c:v>
                </c:pt>
                <c:pt idx="4">
                  <c:v>0.46808765750839648</c:v>
                </c:pt>
                <c:pt idx="5">
                  <c:v>0.53086648394095237</c:v>
                </c:pt>
                <c:pt idx="6">
                  <c:v>0.58176410266652234</c:v>
                </c:pt>
                <c:pt idx="7">
                  <c:v>0.6533463936070848</c:v>
                </c:pt>
                <c:pt idx="8">
                  <c:v>0.72143183857011828</c:v>
                </c:pt>
                <c:pt idx="9">
                  <c:v>0.77943267798114146</c:v>
                </c:pt>
                <c:pt idx="10">
                  <c:v>0.82871495789868688</c:v>
                </c:pt>
                <c:pt idx="11">
                  <c:v>0.8758493228159383</c:v>
                </c:pt>
                <c:pt idx="12">
                  <c:v>0.96535937363812663</c:v>
                </c:pt>
                <c:pt idx="13">
                  <c:v>0.93054538353772664</c:v>
                </c:pt>
                <c:pt idx="14">
                  <c:v>0.84118938393476717</c:v>
                </c:pt>
                <c:pt idx="15">
                  <c:v>0.7535091064168864</c:v>
                </c:pt>
                <c:pt idx="16">
                  <c:v>0.61006156962004643</c:v>
                </c:pt>
                <c:pt idx="17">
                  <c:v>0.40843585248792452</c:v>
                </c:pt>
                <c:pt idx="18">
                  <c:v>0.28332205816209688</c:v>
                </c:pt>
                <c:pt idx="19">
                  <c:v>0.2126501496783447</c:v>
                </c:pt>
                <c:pt idx="20">
                  <c:v>0.1234510130571799</c:v>
                </c:pt>
                <c:pt idx="21">
                  <c:v>8.194004290185844E-2</c:v>
                </c:pt>
                <c:pt idx="22">
                  <c:v>4.5215703740518642E-2</c:v>
                </c:pt>
                <c:pt idx="23">
                  <c:v>3.0022693522471548E-2</c:v>
                </c:pt>
                <c:pt idx="24">
                  <c:v>2.1731236267080251E-2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1-49C5-8992-19976BCE1573}"/>
            </c:ext>
          </c:extLst>
        </c:ser>
        <c:ser>
          <c:idx val="5"/>
          <c:order val="5"/>
          <c:tx>
            <c:strRef>
              <c:f>'UHS-STGR-2026-08-12'!$G$1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'UHS-STGR-2026-08-12'!$G$2:$G$26</c:f>
              <c:numCache>
                <c:formatCode>General</c:formatCode>
                <c:ptCount val="25"/>
                <c:pt idx="0">
                  <c:v>0.44676706837935382</c:v>
                </c:pt>
                <c:pt idx="1">
                  <c:v>0.44676706837935382</c:v>
                </c:pt>
                <c:pt idx="2">
                  <c:v>0.46787150491363738</c:v>
                </c:pt>
                <c:pt idx="3">
                  <c:v>0.48268582211815159</c:v>
                </c:pt>
                <c:pt idx="4">
                  <c:v>0.52547818949957281</c:v>
                </c:pt>
                <c:pt idx="5">
                  <c:v>0.59774263135812034</c:v>
                </c:pt>
                <c:pt idx="6">
                  <c:v>0.65148444881129097</c:v>
                </c:pt>
                <c:pt idx="7">
                  <c:v>0.73360816071277901</c:v>
                </c:pt>
                <c:pt idx="8">
                  <c:v>0.80758354566524337</c:v>
                </c:pt>
                <c:pt idx="9">
                  <c:v>0.87245634075010814</c:v>
                </c:pt>
                <c:pt idx="10">
                  <c:v>0.92980404478197742</c:v>
                </c:pt>
                <c:pt idx="11">
                  <c:v>0.98161765444574611</c:v>
                </c:pt>
                <c:pt idx="12">
                  <c:v>1.0824863316700319</c:v>
                </c:pt>
                <c:pt idx="13">
                  <c:v>1.045552080986518</c:v>
                </c:pt>
                <c:pt idx="14">
                  <c:v>0.94707900581848203</c:v>
                </c:pt>
                <c:pt idx="15">
                  <c:v>0.84490466815459941</c:v>
                </c:pt>
                <c:pt idx="16">
                  <c:v>0.68416834246201319</c:v>
                </c:pt>
                <c:pt idx="17">
                  <c:v>0.45857819838437142</c:v>
                </c:pt>
                <c:pt idx="18">
                  <c:v>0.31648208137820549</c:v>
                </c:pt>
                <c:pt idx="19">
                  <c:v>0.23802097399148089</c:v>
                </c:pt>
                <c:pt idx="20">
                  <c:v>0.13784132101061169</c:v>
                </c:pt>
                <c:pt idx="21">
                  <c:v>9.1305955402669378E-2</c:v>
                </c:pt>
                <c:pt idx="22">
                  <c:v>4.9769837147458369E-2</c:v>
                </c:pt>
                <c:pt idx="23">
                  <c:v>3.3099295930119253E-2</c:v>
                </c:pt>
                <c:pt idx="24">
                  <c:v>2.3910579812562859E-2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C1-49C5-8992-19976BCE1573}"/>
            </c:ext>
          </c:extLst>
        </c:ser>
        <c:ser>
          <c:idx val="6"/>
          <c:order val="6"/>
          <c:tx>
            <c:strRef>
              <c:f>'UHS-STGR-2026-08-12'!$H$1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'UHS-STGR-2026-08-12'!$H$2:$H$26</c:f>
              <c:numCache>
                <c:formatCode>General</c:formatCode>
                <c:ptCount val="25"/>
                <c:pt idx="0">
                  <c:v>0.58558136894400492</c:v>
                </c:pt>
                <c:pt idx="1">
                  <c:v>0.58558136894400492</c:v>
                </c:pt>
                <c:pt idx="2">
                  <c:v>0.61154549414176196</c:v>
                </c:pt>
                <c:pt idx="3">
                  <c:v>0.63001555619287708</c:v>
                </c:pt>
                <c:pt idx="4">
                  <c:v>0.6840362231573498</c:v>
                </c:pt>
                <c:pt idx="5">
                  <c:v>0.77465312553828125</c:v>
                </c:pt>
                <c:pt idx="6">
                  <c:v>0.84003552065114162</c:v>
                </c:pt>
                <c:pt idx="7">
                  <c:v>0.94868806964415375</c:v>
                </c:pt>
                <c:pt idx="8">
                  <c:v>1.0386390491101469</c:v>
                </c:pt>
                <c:pt idx="9">
                  <c:v>1.122213960889187</c:v>
                </c:pt>
                <c:pt idx="10">
                  <c:v>1.200059880848013</c:v>
                </c:pt>
                <c:pt idx="11">
                  <c:v>1.2618971498874541</c:v>
                </c:pt>
                <c:pt idx="12">
                  <c:v>1.399879956284261</c:v>
                </c:pt>
                <c:pt idx="13">
                  <c:v>1.363079871366532</c:v>
                </c:pt>
                <c:pt idx="14">
                  <c:v>1.23495946478691</c:v>
                </c:pt>
                <c:pt idx="15">
                  <c:v>1.1020433442179249</c:v>
                </c:pt>
                <c:pt idx="16">
                  <c:v>0.89393248775689726</c:v>
                </c:pt>
                <c:pt idx="17">
                  <c:v>0.59511032645008721</c:v>
                </c:pt>
                <c:pt idx="18">
                  <c:v>0.40730235156786432</c:v>
                </c:pt>
                <c:pt idx="19">
                  <c:v>0.30587010313740171</c:v>
                </c:pt>
                <c:pt idx="20">
                  <c:v>0.17589334752485031</c:v>
                </c:pt>
                <c:pt idx="21">
                  <c:v>0.11592549010890579</c:v>
                </c:pt>
                <c:pt idx="22">
                  <c:v>6.2254043219161281E-2</c:v>
                </c:pt>
                <c:pt idx="23">
                  <c:v>4.101308127323719E-2</c:v>
                </c:pt>
                <c:pt idx="24">
                  <c:v>2.9468949264598299E-2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C1-49C5-8992-19976BCE1573}"/>
            </c:ext>
          </c:extLst>
        </c:ser>
        <c:ser>
          <c:idx val="7"/>
          <c:order val="7"/>
          <c:tx>
            <c:strRef>
              <c:f>'UHS-STGR-2026-08-12'!$I$1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'UHS-STGR-2026-08-12'!$I$2:$I$26</c:f>
              <c:numCache>
                <c:formatCode>General</c:formatCode>
                <c:ptCount val="25"/>
                <c:pt idx="0">
                  <c:v>0.74684504422921372</c:v>
                </c:pt>
                <c:pt idx="1">
                  <c:v>0.74684504422921372</c:v>
                </c:pt>
                <c:pt idx="2">
                  <c:v>0.77852074951909778</c:v>
                </c:pt>
                <c:pt idx="3">
                  <c:v>0.80320656378423883</c:v>
                </c:pt>
                <c:pt idx="4">
                  <c:v>0.87036837733788508</c:v>
                </c:pt>
                <c:pt idx="5">
                  <c:v>0.97510669723632892</c:v>
                </c:pt>
                <c:pt idx="6">
                  <c:v>1.057771438531889</c:v>
                </c:pt>
                <c:pt idx="7">
                  <c:v>1.1819066609529909</c:v>
                </c:pt>
                <c:pt idx="8">
                  <c:v>1.3029008569917</c:v>
                </c:pt>
                <c:pt idx="9">
                  <c:v>1.4006647134546579</c:v>
                </c:pt>
                <c:pt idx="10">
                  <c:v>1.4863534717229541</c:v>
                </c:pt>
                <c:pt idx="11">
                  <c:v>1.5719948292907731</c:v>
                </c:pt>
                <c:pt idx="12">
                  <c:v>1.751182682282846</c:v>
                </c:pt>
                <c:pt idx="13">
                  <c:v>1.717534286439377</c:v>
                </c:pt>
                <c:pt idx="14">
                  <c:v>1.5530475735169831</c:v>
                </c:pt>
                <c:pt idx="15">
                  <c:v>1.3888055400102921</c:v>
                </c:pt>
                <c:pt idx="16">
                  <c:v>1.131809214516128</c:v>
                </c:pt>
                <c:pt idx="17">
                  <c:v>0.75663079164464186</c:v>
                </c:pt>
                <c:pt idx="18">
                  <c:v>0.51556756321130626</c:v>
                </c:pt>
                <c:pt idx="19">
                  <c:v>0.38725735580476472</c:v>
                </c:pt>
                <c:pt idx="20">
                  <c:v>0.2234190238637975</c:v>
                </c:pt>
                <c:pt idx="21">
                  <c:v>0.14566202221726399</c:v>
                </c:pt>
                <c:pt idx="22">
                  <c:v>7.6347458211487751E-2</c:v>
                </c:pt>
                <c:pt idx="23">
                  <c:v>4.8977480003589549E-2</c:v>
                </c:pt>
                <c:pt idx="24">
                  <c:v>3.4933904518059847E-2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1-49C5-8992-19976BCE1573}"/>
            </c:ext>
          </c:extLst>
        </c:ser>
        <c:ser>
          <c:idx val="8"/>
          <c:order val="8"/>
          <c:tx>
            <c:strRef>
              <c:f>'UHS-STGR-2026-08-12'!$J$1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'UHS-STGR-2026-08-12'!$J$2:$J$26</c:f>
              <c:numCache>
                <c:formatCode>General</c:formatCode>
                <c:ptCount val="25"/>
                <c:pt idx="0">
                  <c:v>0.94116065555108741</c:v>
                </c:pt>
                <c:pt idx="1">
                  <c:v>0.94116065555108741</c:v>
                </c:pt>
                <c:pt idx="2">
                  <c:v>0.97967559688222172</c:v>
                </c:pt>
                <c:pt idx="3">
                  <c:v>1.006327330754661</c:v>
                </c:pt>
                <c:pt idx="4">
                  <c:v>1.0854142061347649</c:v>
                </c:pt>
                <c:pt idx="5">
                  <c:v>1.216181984320305</c:v>
                </c:pt>
                <c:pt idx="6">
                  <c:v>1.301808576443886</c:v>
                </c:pt>
                <c:pt idx="7">
                  <c:v>1.463123657095017</c:v>
                </c:pt>
                <c:pt idx="8">
                  <c:v>1.598998056177396</c:v>
                </c:pt>
                <c:pt idx="9">
                  <c:v>1.716782877809276</c:v>
                </c:pt>
                <c:pt idx="10">
                  <c:v>1.825776246242387</c:v>
                </c:pt>
                <c:pt idx="11">
                  <c:v>1.92690700088143</c:v>
                </c:pt>
                <c:pt idx="12">
                  <c:v>2.145777485081295</c:v>
                </c:pt>
                <c:pt idx="13">
                  <c:v>2.117273172556867</c:v>
                </c:pt>
                <c:pt idx="14">
                  <c:v>1.9209034115459629</c:v>
                </c:pt>
                <c:pt idx="15">
                  <c:v>1.7206672312641811</c:v>
                </c:pt>
                <c:pt idx="16">
                  <c:v>1.411920504644961</c:v>
                </c:pt>
                <c:pt idx="17">
                  <c:v>0.93971695697151381</c:v>
                </c:pt>
                <c:pt idx="18">
                  <c:v>0.63817759946441333</c:v>
                </c:pt>
                <c:pt idx="19">
                  <c:v>0.47752842500135328</c:v>
                </c:pt>
                <c:pt idx="20">
                  <c:v>0.27321224519825982</c:v>
                </c:pt>
                <c:pt idx="21">
                  <c:v>0.17576921406431109</c:v>
                </c:pt>
                <c:pt idx="22">
                  <c:v>9.1123508274857448E-2</c:v>
                </c:pt>
                <c:pt idx="23">
                  <c:v>5.6865639712753317E-2</c:v>
                </c:pt>
                <c:pt idx="24">
                  <c:v>3.9767844276927242E-2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C1-49C5-8992-19976BC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47008"/>
        <c:axId val="2079888624"/>
      </c:scatterChart>
      <c:valAx>
        <c:axId val="190944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Natural Period</a:t>
                </a:r>
                <a:r>
                  <a:rPr lang="en-IN" b="1" baseline="0"/>
                  <a:t> (s)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79888624"/>
        <c:crosses val="autoZero"/>
        <c:crossBetween val="midCat"/>
      </c:valAx>
      <c:valAx>
        <c:axId val="20798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94470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313934965446919"/>
          <c:y val="6.1825717987876436E-2"/>
          <c:w val="0.16324392639069132"/>
          <c:h val="0.647598920166319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Seismic Hazard Curves - Guwahati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8070434857615"/>
          <c:y val="9.3704343408686816E-2"/>
          <c:w val="0.83878648971695435"/>
          <c:h val="0.7788690204047075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1.1520379251650001</c:v>
              </c:pt>
              <c:pt idx="1">
                <c:v>0.87567500934999998</c:v>
              </c:pt>
              <c:pt idx="2">
                <c:v>0.61117034339749998</c:v>
              </c:pt>
              <c:pt idx="3">
                <c:v>0.39142046422749999</c:v>
              </c:pt>
              <c:pt idx="4">
                <c:v>0.23066657242635</c:v>
              </c:pt>
              <c:pt idx="5">
                <c:v>0.125529693401325</c:v>
              </c:pt>
              <c:pt idx="6">
                <c:v>6.3450513035280043E-2</c:v>
              </c:pt>
              <c:pt idx="7">
                <c:v>2.9543004566616515E-2</c:v>
              </c:pt>
              <c:pt idx="8">
                <c:v>1.2331128795881175E-2</c:v>
              </c:pt>
              <c:pt idx="9">
                <c:v>4.4224047132865197E-3</c:v>
              </c:pt>
              <c:pt idx="10">
                <c:v>1.2711103367337292E-3</c:v>
              </c:pt>
              <c:pt idx="11">
                <c:v>2.7058283031018579E-4</c:v>
              </c:pt>
              <c:pt idx="12">
                <c:v>4.209035456101376E-5</c:v>
              </c:pt>
              <c:pt idx="13">
                <c:v>4.4673160399801254E-6</c:v>
              </c:pt>
              <c:pt idx="14">
                <c:v>3.0350866757161069E-7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08-48A0-8067-486006444E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1.15944758665</c:v>
              </c:pt>
              <c:pt idx="1">
                <c:v>0.88527766728500001</c:v>
              </c:pt>
              <c:pt idx="2">
                <c:v>0.62108222304749994</c:v>
              </c:pt>
              <c:pt idx="3">
                <c:v>0.40005766240700003</c:v>
              </c:pt>
              <c:pt idx="4">
                <c:v>0.23727186833824998</c:v>
              </c:pt>
              <c:pt idx="5">
                <c:v>0.12998557359106799</c:v>
              </c:pt>
              <c:pt idx="6">
                <c:v>6.6162381284889091E-2</c:v>
              </c:pt>
              <c:pt idx="7">
                <c:v>3.1064538173917744E-2</c:v>
              </c:pt>
              <c:pt idx="8">
                <c:v>1.31021773022874E-2</c:v>
              </c:pt>
              <c:pt idx="9">
                <c:v>4.7576173510792009E-3</c:v>
              </c:pt>
              <c:pt idx="10">
                <c:v>1.3875544622937623E-3</c:v>
              </c:pt>
              <c:pt idx="11">
                <c:v>2.9907934244590773E-4</c:v>
              </c:pt>
              <c:pt idx="12">
                <c:v>4.6882080915915572E-5</c:v>
              </c:pt>
              <c:pt idx="13">
                <c:v>5.0161299588670201E-6</c:v>
              </c:pt>
              <c:pt idx="14">
                <c:v>3.4476627618729436E-7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T=0.015s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508-48A0-8067-486006444EB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1.1664071841700001</c:v>
              </c:pt>
              <c:pt idx="1">
                <c:v>0.89445749423500009</c:v>
              </c:pt>
              <c:pt idx="2">
                <c:v>0.63066356565750004</c:v>
              </c:pt>
              <c:pt idx="3">
                <c:v>0.40847437240000001</c:v>
              </c:pt>
              <c:pt idx="4">
                <c:v>0.24375618571005001</c:v>
              </c:pt>
              <c:pt idx="5">
                <c:v>0.13439796378452901</c:v>
              </c:pt>
              <c:pt idx="6">
                <c:v>6.8862670525355274E-2</c:v>
              </c:pt>
              <c:pt idx="7">
                <c:v>3.2588324094340919E-2</c:v>
              </c:pt>
              <c:pt idx="8">
                <c:v>1.3881563933272476E-2</c:v>
              </c:pt>
              <c:pt idx="9">
                <c:v>5.1015410107805477E-3</c:v>
              </c:pt>
              <c:pt idx="10">
                <c:v>1.5096567413156689E-3</c:v>
              </c:pt>
              <c:pt idx="11">
                <c:v>3.2987233635685983E-4</c:v>
              </c:pt>
              <c:pt idx="12">
                <c:v>5.2224292247538324E-5</c:v>
              </c:pt>
              <c:pt idx="13">
                <c:v>5.6512801746441752E-6</c:v>
              </c:pt>
              <c:pt idx="14">
                <c:v>3.944805833578699E-7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508-48A0-8067-486006444EB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1.18698131277</c:v>
              </c:pt>
              <c:pt idx="1">
                <c:v>0.91864478061999999</c:v>
              </c:pt>
              <c:pt idx="2">
                <c:v>0.65459673935000007</c:v>
              </c:pt>
              <c:pt idx="3">
                <c:v>0.42874661726999996</c:v>
              </c:pt>
              <c:pt idx="4">
                <c:v>0.25890052021995003</c:v>
              </c:pt>
              <c:pt idx="5">
                <c:v>0.14444708915562299</c:v>
              </c:pt>
              <c:pt idx="6">
                <c:v>7.4859672499355795E-2</c:v>
              </c:pt>
              <c:pt idx="7">
                <c:v>3.5913073867259962E-2</c:v>
              </c:pt>
              <c:pt idx="8">
                <c:v>1.5577452016957663E-2</c:v>
              </c:pt>
              <c:pt idx="9">
                <c:v>5.8617122891692405E-3</c:v>
              </c:pt>
              <c:pt idx="10">
                <c:v>1.7905327205370413E-3</c:v>
              </c:pt>
              <c:pt idx="11">
                <c:v>4.0637601391678365E-4</c:v>
              </c:pt>
              <c:pt idx="12">
                <c:v>6.6934035687062158E-5</c:v>
              </c:pt>
              <c:pt idx="13">
                <c:v>7.6077650947474702E-6</c:v>
              </c:pt>
              <c:pt idx="14">
                <c:v>5.6254381318612799E-7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508-48A0-8067-486006444EB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1.2071843649449998</c:v>
              </c:pt>
              <c:pt idx="1">
                <c:v>0.94213932462750005</c:v>
              </c:pt>
              <c:pt idx="2">
                <c:v>0.67779009860250006</c:v>
              </c:pt>
              <c:pt idx="3">
                <c:v>0.44851636151399998</c:v>
              </c:pt>
              <c:pt idx="4">
                <c:v>0.27382095158545</c:v>
              </c:pt>
              <c:pt idx="5">
                <c:v>0.154487812990799</c:v>
              </c:pt>
              <c:pt idx="6">
                <c:v>8.0909005028593634E-2</c:v>
              </c:pt>
              <c:pt idx="7">
                <c:v>3.9286775455443845E-2</c:v>
              </c:pt>
              <c:pt idx="8">
                <c:v>1.7315698421592973E-2</c:v>
              </c:pt>
              <c:pt idx="9">
                <c:v>6.6560421067872258E-3</c:v>
              </c:pt>
              <c:pt idx="10">
                <c:v>2.0930103920366169E-3</c:v>
              </c:pt>
              <c:pt idx="11">
                <c:v>4.9245373490152506E-4</c:v>
              </c:pt>
              <c:pt idx="12">
                <c:v>8.4245787377757846E-5</c:v>
              </c:pt>
              <c:pt idx="13">
                <c:v>1.0037196124851301E-5</c:v>
              </c:pt>
              <c:pt idx="14">
                <c:v>7.8431049750238457E-7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T=0.04s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F508-48A0-8067-486006444EB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1.23325822324</c:v>
              </c:pt>
              <c:pt idx="1">
                <c:v>0.9670801199975001</c:v>
              </c:pt>
              <c:pt idx="2">
                <c:v>0.70079364781750009</c:v>
              </c:pt>
              <c:pt idx="3">
                <c:v>0.46781692400399999</c:v>
              </c:pt>
              <c:pt idx="4">
                <c:v>0.28840335836219999</c:v>
              </c:pt>
              <c:pt idx="5">
                <c:v>0.16439448592735401</c:v>
              </c:pt>
              <c:pt idx="6">
                <c:v>8.6925559858716084E-2</c:v>
              </c:pt>
              <c:pt idx="7">
                <c:v>4.2655795329246113E-2</c:v>
              </c:pt>
              <c:pt idx="8">
                <c:v>1.9064807286114926E-2</c:v>
              </c:pt>
              <c:pt idx="9">
                <c:v>7.4700067045055246E-3</c:v>
              </c:pt>
              <c:pt idx="10">
                <c:v>2.4127452908496629E-3</c:v>
              </c:pt>
              <c:pt idx="11">
                <c:v>5.8756754147611047E-4</c:v>
              </c:pt>
              <c:pt idx="12">
                <c:v>1.0424860117703065E-4</c:v>
              </c:pt>
              <c:pt idx="13">
                <c:v>1.2992968713446587E-5</c:v>
              </c:pt>
              <c:pt idx="14">
                <c:v>1.0703683469123901E-6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508-48A0-8067-486006444EB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1.2672344774200002</c:v>
              </c:pt>
              <c:pt idx="1">
                <c:v>1.0038740289000001</c:v>
              </c:pt>
              <c:pt idx="2">
                <c:v>0.73848193633000003</c:v>
              </c:pt>
              <c:pt idx="3">
                <c:v>0.50176628585700001</c:v>
              </c:pt>
              <c:pt idx="4">
                <c:v>0.31489950923370003</c:v>
              </c:pt>
              <c:pt idx="5">
                <c:v>0.182471515296211</c:v>
              </c:pt>
              <c:pt idx="6">
                <c:v>9.7643619369218615E-2</c:v>
              </c:pt>
              <c:pt idx="7">
                <c:v>4.8384221589950538E-2</c:v>
              </c:pt>
              <c:pt idx="8">
                <c:v>2.1925254604014031E-2</c:v>
              </c:pt>
              <c:pt idx="9">
                <c:v>8.7929664940105644E-3</c:v>
              </c:pt>
              <c:pt idx="10">
                <c:v>2.9607803321940766E-3</c:v>
              </c:pt>
              <c:pt idx="11">
                <c:v>7.6707066721047026E-4</c:v>
              </c:pt>
              <c:pt idx="12">
                <c:v>1.4406860866138016E-4</c:v>
              </c:pt>
              <c:pt idx="13">
                <c:v>1.9544112529261169E-5</c:v>
              </c:pt>
              <c:pt idx="14">
                <c:v>1.7745057317394651E-6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T=0.06s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508-48A0-8067-486006444EB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1.31469271109</c:v>
              </c:pt>
              <c:pt idx="1">
                <c:v>1.049624725395</c:v>
              </c:pt>
              <c:pt idx="2">
                <c:v>0.78209382086500012</c:v>
              </c:pt>
              <c:pt idx="3">
                <c:v>0.54030139065825</c:v>
              </c:pt>
              <c:pt idx="4">
                <c:v>0.3455333429802</c:v>
              </c:pt>
              <c:pt idx="5">
                <c:v>0.20406582826025699</c:v>
              </c:pt>
              <c:pt idx="6">
                <c:v>0.11105235016494935</c:v>
              </c:pt>
              <c:pt idx="7">
                <c:v>5.5811029839166415E-2</c:v>
              </c:pt>
              <c:pt idx="8">
                <c:v>2.571677724912716E-2</c:v>
              </c:pt>
              <c:pt idx="9">
                <c:v>1.0570722195437039E-2</c:v>
              </c:pt>
              <c:pt idx="10">
                <c:v>3.7008195528572324E-3</c:v>
              </c:pt>
              <c:pt idx="11">
                <c:v>1.0253641140716072E-3</c:v>
              </c:pt>
              <c:pt idx="12">
                <c:v>2.1432189147092462E-4</c:v>
              </c:pt>
              <c:pt idx="13">
                <c:v>3.3187788341532339E-5</c:v>
              </c:pt>
              <c:pt idx="14">
                <c:v>3.4851220107591998E-6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T=0.075s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F508-48A0-8067-486006444EB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1.3520612277549999</c:v>
              </c:pt>
              <c:pt idx="1">
                <c:v>1.0886768567100003</c:v>
              </c:pt>
              <c:pt idx="2">
                <c:v>0.81856162246499997</c:v>
              </c:pt>
              <c:pt idx="3">
                <c:v>0.57146067908599996</c:v>
              </c:pt>
              <c:pt idx="4">
                <c:v>0.36951739639710002</c:v>
              </c:pt>
              <c:pt idx="5">
                <c:v>0.22043519958513003</c:v>
              </c:pt>
              <c:pt idx="6">
                <c:v>0.12083606617016093</c:v>
              </c:pt>
              <c:pt idx="7">
                <c:v>6.0898471691806205E-2</c:v>
              </c:pt>
              <c:pt idx="8">
                <c:v>2.8113476460624447E-2</c:v>
              </c:pt>
              <c:pt idx="9">
                <c:v>1.1636026922551492E-2</c:v>
              </c:pt>
              <c:pt idx="10">
                <c:v>4.1539499827213987E-3</c:v>
              </c:pt>
              <c:pt idx="11">
                <c:v>1.2003924064879642E-3</c:v>
              </c:pt>
              <c:pt idx="12">
                <c:v>2.6837506269306597E-4</c:v>
              </c:pt>
              <c:pt idx="13">
                <c:v>4.5587150594900051E-5</c:v>
              </c:pt>
              <c:pt idx="14">
                <c:v>5.3619978150059511E-6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T=0.09s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F508-48A0-8067-486006444EB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1.3737715533900001</c:v>
              </c:pt>
              <c:pt idx="1">
                <c:v>1.1131237058350001</c:v>
              </c:pt>
              <c:pt idx="2">
                <c:v>0.84183698428249998</c:v>
              </c:pt>
              <c:pt idx="3">
                <c:v>0.59134046696749998</c:v>
              </c:pt>
              <c:pt idx="4">
                <c:v>0.38482285147384998</c:v>
              </c:pt>
              <c:pt idx="5">
                <c:v>0.23099287953706799</c:v>
              </c:pt>
              <c:pt idx="6">
                <c:v>0.127272745380311</c:v>
              </c:pt>
              <c:pt idx="7">
                <c:v>6.4345060369658064E-2</c:v>
              </c:pt>
              <c:pt idx="8">
                <c:v>2.978476211928326E-2</c:v>
              </c:pt>
              <c:pt idx="9">
                <c:v>1.2396389238208275E-2</c:v>
              </c:pt>
              <c:pt idx="10">
                <c:v>4.4841209906131135E-3</c:v>
              </c:pt>
              <c:pt idx="11">
                <c:v>1.330982058842644E-3</c:v>
              </c:pt>
              <c:pt idx="12">
                <c:v>3.107442107335407E-4</c:v>
              </c:pt>
              <c:pt idx="13">
                <c:v>5.619942960403277E-5</c:v>
              </c:pt>
              <c:pt idx="14">
                <c:v>7.1703749286430493E-6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F508-48A0-8067-486006444EB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1.4204102681949999</c:v>
              </c:pt>
              <c:pt idx="1">
                <c:v>1.15125963801</c:v>
              </c:pt>
              <c:pt idx="2">
                <c:v>0.87005445030500006</c:v>
              </c:pt>
              <c:pt idx="3">
                <c:v>0.60892232169250005</c:v>
              </c:pt>
              <c:pt idx="4">
                <c:v>0.39366864712160005</c:v>
              </c:pt>
              <c:pt idx="5">
                <c:v>0.23431021771586003</c:v>
              </c:pt>
              <c:pt idx="6">
                <c:v>0.12800186900686714</c:v>
              </c:pt>
              <c:pt idx="7">
                <c:v>6.436588366539156E-2</c:v>
              </c:pt>
              <c:pt idx="8">
                <c:v>2.9757396967003351E-2</c:v>
              </c:pt>
              <c:pt idx="9">
                <c:v>1.2449242402866687E-2</c:v>
              </c:pt>
              <c:pt idx="10">
                <c:v>4.5793320627839258E-3</c:v>
              </c:pt>
              <c:pt idx="11">
                <c:v>1.4108032956846096E-3</c:v>
              </c:pt>
              <c:pt idx="12">
                <c:v>3.5037022721657587E-4</c:v>
              </c:pt>
              <c:pt idx="13">
                <c:v>6.8905415876023795E-5</c:v>
              </c:pt>
              <c:pt idx="14">
                <c:v>9.704202436362199E-6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T=0.15s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F508-48A0-8067-486006444EB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1.4298506795950001</c:v>
              </c:pt>
              <c:pt idx="1">
                <c:v>1.1528745280699999</c:v>
              </c:pt>
              <c:pt idx="2">
                <c:v>0.86509941549000013</c:v>
              </c:pt>
              <c:pt idx="3">
                <c:v>0.59810526501600003</c:v>
              </c:pt>
              <c:pt idx="4">
                <c:v>0.3804471470934</c:v>
              </c:pt>
              <c:pt idx="5">
                <c:v>0.22262472117496002</c:v>
              </c:pt>
              <c:pt idx="6">
                <c:v>0.1199421214242781</c:v>
              </c:pt>
              <c:pt idx="7">
                <c:v>5.9847860893614116E-2</c:v>
              </c:pt>
              <c:pt idx="8">
                <c:v>2.7577647706099842E-2</c:v>
              </c:pt>
              <c:pt idx="9">
                <c:v>1.1530258087303347E-2</c:v>
              </c:pt>
              <c:pt idx="10">
                <c:v>4.2416169634926712E-3</c:v>
              </c:pt>
              <c:pt idx="11">
                <c:v>1.299451793729724E-3</c:v>
              </c:pt>
              <c:pt idx="12">
                <c:v>3.1427724306846739E-4</c:v>
              </c:pt>
              <c:pt idx="13">
                <c:v>5.9062643550473936E-5</c:v>
              </c:pt>
              <c:pt idx="14">
                <c:v>7.8781381315572329E-6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F508-48A0-8067-486006444EB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1.4112350416000004</c:v>
              </c:pt>
              <c:pt idx="1">
                <c:v>1.1239855946800001</c:v>
              </c:pt>
              <c:pt idx="2">
                <c:v>0.82438269222000016</c:v>
              </c:pt>
              <c:pt idx="3">
                <c:v>0.55135347843000004</c:v>
              </c:pt>
              <c:pt idx="4">
                <c:v>0.33738192498700004</c:v>
              </c:pt>
              <c:pt idx="5">
                <c:v>0.18971698128699999</c:v>
              </c:pt>
              <c:pt idx="6">
                <c:v>9.8731642312309992E-2</c:v>
              </c:pt>
              <c:pt idx="7">
                <c:v>4.7824923052238094E-2</c:v>
              </c:pt>
              <c:pt idx="8">
                <c:v>2.1453922257177134E-2</c:v>
              </c:pt>
              <c:pt idx="9">
                <c:v>8.756473572983467E-3</c:v>
              </c:pt>
              <c:pt idx="10">
                <c:v>3.1507556799234377E-3</c:v>
              </c:pt>
              <c:pt idx="11">
                <c:v>9.4215928076251711E-4</c:v>
              </c:pt>
              <c:pt idx="12">
                <c:v>2.2149747105636551E-4</c:v>
              </c:pt>
              <c:pt idx="13">
                <c:v>4.0488907450115995E-5</c:v>
              </c:pt>
              <c:pt idx="14">
                <c:v>5.2080373196755142E-6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F508-48A0-8067-486006444EB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1.3587292273</c:v>
              </c:pt>
              <c:pt idx="1">
                <c:v>1.0642224013599999</c:v>
              </c:pt>
              <c:pt idx="2">
                <c:v>0.76096134624</c:v>
              </c:pt>
              <c:pt idx="3">
                <c:v>0.49561002592500003</c:v>
              </c:pt>
              <c:pt idx="4">
                <c:v>0.29586508814349999</c:v>
              </c:pt>
              <c:pt idx="5">
                <c:v>0.16305696304649997</c:v>
              </c:pt>
              <c:pt idx="6">
                <c:v>8.3599671170260015E-2</c:v>
              </c:pt>
              <c:pt idx="7">
                <c:v>3.99908644227343E-2</c:v>
              </c:pt>
              <c:pt idx="8">
                <c:v>1.7734861892490357E-2</c:v>
              </c:pt>
              <c:pt idx="9">
                <c:v>7.1680472623681579E-3</c:v>
              </c:pt>
              <c:pt idx="10">
                <c:v>2.5579383294583148E-3</c:v>
              </c:pt>
              <c:pt idx="11">
                <c:v>7.6282600716135742E-4</c:v>
              </c:pt>
              <c:pt idx="12">
                <c:v>1.8436553894435933E-4</c:v>
              </c:pt>
              <c:pt idx="13">
                <c:v>3.5332705638205751E-5</c:v>
              </c:pt>
              <c:pt idx="14">
                <c:v>4.7797939792886195E-6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T=0.4s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F508-48A0-8067-486006444EB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1.284293438</c:v>
              </c:pt>
              <c:pt idx="1">
                <c:v>0.98255864518000013</c:v>
              </c:pt>
              <c:pt idx="2">
                <c:v>0.68491193078000001</c:v>
              </c:pt>
              <c:pt idx="3">
                <c:v>0.43663455135000001</c:v>
              </c:pt>
              <c:pt idx="4">
                <c:v>0.2562911804795</c:v>
              </c:pt>
              <c:pt idx="5">
                <c:v>0.13950773767880001</c:v>
              </c:pt>
              <c:pt idx="6">
                <c:v>7.0803687262160006E-2</c:v>
              </c:pt>
              <c:pt idx="7">
                <c:v>3.3525821341406997E-2</c:v>
              </c:pt>
              <c:pt idx="8">
                <c:v>1.4694941710214078E-2</c:v>
              </c:pt>
              <c:pt idx="9">
                <c:v>5.861034904219414E-3</c:v>
              </c:pt>
              <c:pt idx="10">
                <c:v>2.0602384988864251E-3</c:v>
              </c:pt>
              <c:pt idx="11">
                <c:v>6.0165270204820564E-4</c:v>
              </c:pt>
              <c:pt idx="12">
                <c:v>1.4036410980745648E-4</c:v>
              </c:pt>
              <c:pt idx="13">
                <c:v>2.5525348299959001E-5</c:v>
              </c:pt>
              <c:pt idx="14">
                <c:v>3.2203384644681954E-6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F508-48A0-8067-486006444EB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1.1930242301500003</c:v>
              </c:pt>
              <c:pt idx="1">
                <c:v>0.89207794379999994</c:v>
              </c:pt>
              <c:pt idx="2">
                <c:v>0.60983457629999993</c:v>
              </c:pt>
              <c:pt idx="3">
                <c:v>0.38258329328500007</c:v>
              </c:pt>
              <c:pt idx="4">
                <c:v>0.22158817864050001</c:v>
              </c:pt>
              <c:pt idx="5">
                <c:v>0.11915801276089999</c:v>
              </c:pt>
              <c:pt idx="6">
                <c:v>5.9740151997150007E-2</c:v>
              </c:pt>
              <c:pt idx="7">
                <c:v>2.7908664549455002E-2</c:v>
              </c:pt>
              <c:pt idx="8">
                <c:v>1.2048510097551639E-2</c:v>
              </c:pt>
              <c:pt idx="9">
                <c:v>4.72189734462966E-3</c:v>
              </c:pt>
              <c:pt idx="10">
                <c:v>1.6228005685172248E-3</c:v>
              </c:pt>
              <c:pt idx="11">
                <c:v>4.5953963100488877E-4</c:v>
              </c:pt>
              <c:pt idx="12">
                <c:v>1.0399894302133892E-4</c:v>
              </c:pt>
              <c:pt idx="13">
                <c:v>1.8196938366426249E-5</c:v>
              </c:pt>
              <c:pt idx="14">
                <c:v>2.1583307601271773E-6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T=0.6s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F508-48A0-8067-486006444EB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1.1083527585500001</c:v>
              </c:pt>
              <c:pt idx="1">
                <c:v>0.81285701510000008</c:v>
              </c:pt>
              <c:pt idx="2">
                <c:v>0.54512680081500009</c:v>
              </c:pt>
              <c:pt idx="3">
                <c:v>0.33643959025000003</c:v>
              </c:pt>
              <c:pt idx="4">
                <c:v>0.192007418726</c:v>
              </c:pt>
              <c:pt idx="5">
                <c:v>0.10176090017320001</c:v>
              </c:pt>
              <c:pt idx="6">
                <c:v>5.0276198266939999E-2</c:v>
              </c:pt>
              <c:pt idx="7">
                <c:v>2.3149070165924702E-2</c:v>
              </c:pt>
              <c:pt idx="8">
                <c:v>9.8620670303235965E-3</c:v>
              </c:pt>
              <c:pt idx="9">
                <c:v>3.822280714957966E-3</c:v>
              </c:pt>
              <c:pt idx="10">
                <c:v>1.3027610969147251E-3</c:v>
              </c:pt>
              <c:pt idx="11">
                <c:v>3.6713112689190554E-4</c:v>
              </c:pt>
              <c:pt idx="12">
                <c:v>8.2997927073619659E-5</c:v>
              </c:pt>
              <c:pt idx="13">
                <c:v>1.416072887865071E-5</c:v>
              </c:pt>
              <c:pt idx="14">
                <c:v>1.5893729025977157E-6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T=0.7s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0-F508-48A0-8067-486006444EB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1.0648009442499999</c:v>
              </c:pt>
              <c:pt idx="1">
                <c:v>0.77389645425000009</c:v>
              </c:pt>
              <c:pt idx="2">
                <c:v>0.51453142348000003</c:v>
              </c:pt>
              <c:pt idx="3">
                <c:v>0.31501939899499998</c:v>
              </c:pt>
              <c:pt idx="4">
                <c:v>0.17838151724500001</c:v>
              </c:pt>
              <c:pt idx="5">
                <c:v>9.3793409478699991E-2</c:v>
              </c:pt>
              <c:pt idx="6">
                <c:v>4.5991248077640004E-2</c:v>
              </c:pt>
              <c:pt idx="7">
                <c:v>2.1036881865443002E-2</c:v>
              </c:pt>
              <c:pt idx="8">
                <c:v>8.9189276350509841E-3</c:v>
              </c:pt>
              <c:pt idx="9">
                <c:v>3.448436616964895E-3</c:v>
              </c:pt>
              <c:pt idx="10">
                <c:v>1.1763615484329251E-3</c:v>
              </c:pt>
              <c:pt idx="11">
                <c:v>3.314525320597271E-4</c:v>
              </c:pt>
              <c:pt idx="12">
                <c:v>7.4204355513916574E-5</c:v>
              </c:pt>
              <c:pt idx="13">
                <c:v>1.2398424606525713E-5</c:v>
              </c:pt>
              <c:pt idx="14">
                <c:v>1.3476542770577082E-6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T=0.75s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1-F508-48A0-8067-486006444EB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1.0285329437000001</c:v>
              </c:pt>
              <c:pt idx="1">
                <c:v>0.74051830080000003</c:v>
              </c:pt>
              <c:pt idx="2">
                <c:v>0.48878427732000002</c:v>
              </c:pt>
              <c:pt idx="3">
                <c:v>0.29752696790499999</c:v>
              </c:pt>
              <c:pt idx="4">
                <c:v>0.1676274350045</c:v>
              </c:pt>
              <c:pt idx="5">
                <c:v>8.7699532885800013E-2</c:v>
              </c:pt>
              <c:pt idx="6">
                <c:v>4.2793349657809995E-2</c:v>
              </c:pt>
              <c:pt idx="7">
                <c:v>1.94831512490427E-2</c:v>
              </c:pt>
              <c:pt idx="8">
                <c:v>8.2255269314638162E-3</c:v>
              </c:pt>
              <c:pt idx="9">
                <c:v>3.1695584711958881E-3</c:v>
              </c:pt>
              <c:pt idx="10">
                <c:v>1.0791445211352751E-3</c:v>
              </c:pt>
              <c:pt idx="11">
                <c:v>3.0243489910438922E-4</c:v>
              </c:pt>
              <c:pt idx="12">
                <c:v>6.6575667967378491E-5</c:v>
              </c:pt>
              <c:pt idx="13">
                <c:v>1.0842645624553564E-5</c:v>
              </c:pt>
              <c:pt idx="14">
                <c:v>1.1399057655984406E-6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T=0.8s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2-F508-48A0-8067-486006444EB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0.95487614215000005</c:v>
              </c:pt>
              <c:pt idx="1">
                <c:v>0.67435056032999996</c:v>
              </c:pt>
              <c:pt idx="2">
                <c:v>0.43882039377500004</c:v>
              </c:pt>
              <c:pt idx="3">
                <c:v>0.26390803828999998</c:v>
              </c:pt>
              <c:pt idx="4">
                <c:v>0.14695537271050002</c:v>
              </c:pt>
              <c:pt idx="5">
                <c:v>7.5975354460399991E-2</c:v>
              </c:pt>
              <c:pt idx="6">
                <c:v>3.6648738845909995E-2</c:v>
              </c:pt>
              <c:pt idx="7">
                <c:v>1.6506548368479798E-2</c:v>
              </c:pt>
              <c:pt idx="8">
                <c:v>6.8977564292984211E-3</c:v>
              </c:pt>
              <c:pt idx="9">
                <c:v>2.6341227371230514E-3</c:v>
              </c:pt>
              <c:pt idx="10">
                <c:v>8.8904761693142501E-4</c:v>
              </c:pt>
              <c:pt idx="11">
                <c:v>2.4430109378237416E-4</c:v>
              </c:pt>
              <c:pt idx="12">
                <c:v>5.1420910285100395E-5</c:v>
              </c:pt>
              <c:pt idx="13">
                <c:v>7.9083182194127357E-6</c:v>
              </c:pt>
              <c:pt idx="14">
                <c:v>7.7645246029628177E-7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T=0.9s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3-F508-48A0-8067-486006444EB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0.87025353439999997</c:v>
              </c:pt>
              <c:pt idx="1">
                <c:v>0.60301136022000001</c:v>
              </c:pt>
              <c:pt idx="2">
                <c:v>0.38674800255500003</c:v>
              </c:pt>
              <c:pt idx="3">
                <c:v>0.22947257592600001</c:v>
              </c:pt>
              <c:pt idx="4">
                <c:v>0.126036906979</c:v>
              </c:pt>
              <c:pt idx="5">
                <c:v>6.4270472890100003E-2</c:v>
              </c:pt>
              <c:pt idx="6">
                <c:v>3.0595847544669999E-2</c:v>
              </c:pt>
              <c:pt idx="7">
                <c:v>1.3614179005111599E-2</c:v>
              </c:pt>
              <c:pt idx="8">
                <c:v>5.6291007640047429E-3</c:v>
              </c:pt>
              <c:pt idx="9">
                <c:v>2.1297985791289909E-3</c:v>
              </c:pt>
              <c:pt idx="10">
                <c:v>7.0945000403592495E-4</c:v>
              </c:pt>
              <c:pt idx="11">
                <c:v>1.8945936299079137E-4</c:v>
              </c:pt>
              <c:pt idx="12">
                <c:v>3.8269452044744067E-5</c:v>
              </c:pt>
              <c:pt idx="13">
                <c:v>5.5444301128992218E-6</c:v>
              </c:pt>
              <c:pt idx="14">
                <c:v>5.0300416662388229E-7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508-48A0-8067-486006444EB1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0.76625743290000004</c:v>
              </c:pt>
              <c:pt idx="1">
                <c:v>0.51998186550499992</c:v>
              </c:pt>
              <c:pt idx="2">
                <c:v>0.32769262271499999</c:v>
              </c:pt>
              <c:pt idx="3">
                <c:v>0.19149565476800001</c:v>
              </c:pt>
              <c:pt idx="4">
                <c:v>0.10369435394050001</c:v>
              </c:pt>
              <c:pt idx="5">
                <c:v>5.2183095906399996E-2</c:v>
              </c:pt>
              <c:pt idx="6">
                <c:v>2.4529166030312001E-2</c:v>
              </c:pt>
              <c:pt idx="7">
                <c:v>1.0764906212067899E-2</c:v>
              </c:pt>
              <c:pt idx="8">
                <c:v>4.3818937812587421E-3</c:v>
              </c:pt>
              <c:pt idx="9">
                <c:v>1.6303489769963317E-3</c:v>
              </c:pt>
              <c:pt idx="10">
                <c:v>5.2939873639228996E-4</c:v>
              </c:pt>
              <c:pt idx="11">
                <c:v>1.3283011277091263E-4</c:v>
              </c:pt>
              <c:pt idx="12">
                <c:v>2.3903353736113485E-5</c:v>
              </c:pt>
              <c:pt idx="13">
                <c:v>2.9899021418472002E-6</c:v>
              </c:pt>
              <c:pt idx="14">
                <c:v>2.2990863929521537E-7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T=1.2s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5-F508-48A0-8067-486006444EB1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0.60994013669999991</c:v>
              </c:pt>
              <c:pt idx="1">
                <c:v>0.40050833785499995</c:v>
              </c:pt>
              <c:pt idx="2">
                <c:v>0.24505631934</c:v>
              </c:pt>
              <c:pt idx="3">
                <c:v>0.13958189628500001</c:v>
              </c:pt>
              <c:pt idx="4">
                <c:v>7.3859870949500001E-2</c:v>
              </c:pt>
              <c:pt idx="5">
                <c:v>3.6353322648099998E-2</c:v>
              </c:pt>
              <c:pt idx="6">
                <c:v>1.6730961601355E-2</c:v>
              </c:pt>
              <c:pt idx="7">
                <c:v>7.1809400593832104E-3</c:v>
              </c:pt>
              <c:pt idx="8">
                <c:v>2.8447509801611381E-3</c:v>
              </c:pt>
              <c:pt idx="9">
                <c:v>1.0173788879770784E-3</c:v>
              </c:pt>
              <c:pt idx="10">
                <c:v>3.0156935456440476E-4</c:v>
              </c:pt>
              <c:pt idx="11">
                <c:v>6.2441156388274259E-5</c:v>
              </c:pt>
              <c:pt idx="12">
                <c:v>8.8078084372817085E-6</c:v>
              </c:pt>
              <c:pt idx="13">
                <c:v>8.3301943503001566E-7</c:v>
              </c:pt>
              <c:pt idx="14">
                <c:v>4.7233502018912927E-8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6-F508-48A0-8067-486006444EB1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0.44609092575500003</c:v>
              </c:pt>
              <c:pt idx="1">
                <c:v>0.28236270280499998</c:v>
              </c:pt>
              <c:pt idx="2">
                <c:v>0.16701232711500003</c:v>
              </c:pt>
              <c:pt idx="3">
                <c:v>9.1944546928499987E-2</c:v>
              </c:pt>
              <c:pt idx="4">
                <c:v>4.707410806960001E-2</c:v>
              </c:pt>
              <c:pt idx="5">
                <c:v>2.247805350742E-2</c:v>
              </c:pt>
              <c:pt idx="6">
                <c:v>1.0021003458073E-2</c:v>
              </c:pt>
              <c:pt idx="7">
                <c:v>4.1365397158539402E-3</c:v>
              </c:pt>
              <c:pt idx="8">
                <c:v>1.5557478814335612E-3</c:v>
              </c:pt>
              <c:pt idx="9">
                <c:v>5.0443197864007551E-4</c:v>
              </c:pt>
              <c:pt idx="10">
                <c:v>1.2083559869265844E-4</c:v>
              </c:pt>
              <c:pt idx="11">
                <c:v>1.95959547130938E-5</c:v>
              </c:pt>
              <c:pt idx="12">
                <c:v>2.2010624036560982E-6</c:v>
              </c:pt>
              <c:pt idx="13">
                <c:v>1.52858603227203E-7</c:v>
              </c:pt>
              <c:pt idx="14">
                <c:v>6.2911131645983949E-9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7-F508-48A0-8067-486006444EB1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0.35634912497999999</c:v>
              </c:pt>
              <c:pt idx="1">
                <c:v>0.22028138289999999</c:v>
              </c:pt>
              <c:pt idx="2">
                <c:v>0.12731906916999999</c:v>
              </c:pt>
              <c:pt idx="3">
                <c:v>6.8591455156999992E-2</c:v>
              </c:pt>
              <c:pt idx="4">
                <c:v>3.43357962275E-2</c:v>
              </c:pt>
              <c:pt idx="5">
                <c:v>1.6018534038380002E-2</c:v>
              </c:pt>
              <c:pt idx="6">
                <c:v>6.9761254691320003E-3</c:v>
              </c:pt>
              <c:pt idx="7">
                <c:v>2.7958904974326199E-3</c:v>
              </c:pt>
              <c:pt idx="8">
                <c:v>1.0068383972470368E-3</c:v>
              </c:pt>
              <c:pt idx="9">
                <c:v>2.9885918205939632E-4</c:v>
              </c:pt>
              <c:pt idx="10">
                <c:v>5.8949399596572507E-5</c:v>
              </c:pt>
              <c:pt idx="11">
                <c:v>7.3971833719988009E-6</c:v>
              </c:pt>
              <c:pt idx="12">
                <c:v>6.5561337208388541E-7</c:v>
              </c:pt>
              <c:pt idx="13">
                <c:v>3.6602156100923455E-8</c:v>
              </c:pt>
              <c:pt idx="14">
                <c:v>1.3297567105226485E-9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T=2.5s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8-F508-48A0-8067-486006444EB1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0.27150184569500002</c:v>
              </c:pt>
              <c:pt idx="1">
                <c:v>0.16291261730000001</c:v>
              </c:pt>
              <c:pt idx="2">
                <c:v>9.1453810520000012E-2</c:v>
              </c:pt>
              <c:pt idx="3">
                <c:v>4.7943623120000001E-2</c:v>
              </c:pt>
              <c:pt idx="4">
                <c:v>2.3413943549100001E-2</c:v>
              </c:pt>
              <c:pt idx="5">
                <c:v>1.0693527922790002E-2</c:v>
              </c:pt>
              <c:pt idx="6">
                <c:v>4.5771411964179998E-3</c:v>
              </c:pt>
              <c:pt idx="7">
                <c:v>1.7999890250643062E-3</c:v>
              </c:pt>
              <c:pt idx="8">
                <c:v>6.2558555976524924E-4</c:v>
              </c:pt>
              <c:pt idx="9">
                <c:v>1.6923637797550942E-4</c:v>
              </c:pt>
              <c:pt idx="10">
                <c:v>2.7040077406744099E-5</c:v>
              </c:pt>
              <c:pt idx="11">
                <c:v>2.6896305251897846E-6</c:v>
              </c:pt>
              <c:pt idx="12">
                <c:v>1.9362627668754777E-7</c:v>
              </c:pt>
              <c:pt idx="13">
                <c:v>9.187228588889841E-9</c:v>
              </c:pt>
              <c:pt idx="14">
                <c:v>3.2871649071285201E-10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9-F508-48A0-8067-486006444EB1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0.17647603778999998</c:v>
              </c:pt>
              <c:pt idx="1">
                <c:v>0.10344112766000001</c:v>
              </c:pt>
              <c:pt idx="2">
                <c:v>5.6711899719499997E-2</c:v>
              </c:pt>
              <c:pt idx="3">
                <c:v>2.9009431868999999E-2</c:v>
              </c:pt>
              <c:pt idx="4">
                <c:v>1.3782190493599997E-2</c:v>
              </c:pt>
              <c:pt idx="5">
                <c:v>6.0424551452300003E-3</c:v>
              </c:pt>
              <c:pt idx="6">
                <c:v>2.3732804931153998E-3</c:v>
              </c:pt>
              <c:pt idx="7">
                <c:v>7.9439640579564497E-4</c:v>
              </c:pt>
              <c:pt idx="8">
                <c:v>2.093252736459206E-4</c:v>
              </c:pt>
              <c:pt idx="9">
                <c:v>3.4343764020138144E-5</c:v>
              </c:pt>
              <c:pt idx="10">
                <c:v>3.8067023672633939E-6</c:v>
              </c:pt>
              <c:pt idx="11">
                <c:v>4.1026160673802671E-7</c:v>
              </c:pt>
              <c:pt idx="12">
                <c:v>3.8843849828841249E-8</c:v>
              </c:pt>
              <c:pt idx="13">
                <c:v>3.067931939794016E-9</c:v>
              </c:pt>
              <c:pt idx="14">
                <c:v>1.9286170908100002E-10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A-F508-48A0-8067-48600644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14000"/>
        <c:axId val="493386320"/>
      </c:scatterChart>
      <c:valAx>
        <c:axId val="501214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86320"/>
        <c:crossesAt val="0.01"/>
        <c:crossBetween val="midCat"/>
      </c:valAx>
      <c:valAx>
        <c:axId val="493386320"/>
        <c:scaling>
          <c:logBase val="10"/>
          <c:orientation val="minMax"/>
          <c:max val="5"/>
          <c:min val="1E-4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Annual Rate of Exceedance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501214000"/>
        <c:crossesAt val="1E-8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584181281177003"/>
          <c:y val="1.3534444466548898E-2"/>
          <c:w val="0.17300985096860338"/>
          <c:h val="0.618717986739892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'Guwa-HazCur-STGR-2026-08-18'!$D$45:$D$52</c:f>
              <c:numCache>
                <c:formatCode>0.000</c:formatCode>
                <c:ptCount val="8"/>
                <c:pt idx="0">
                  <c:v>0.375</c:v>
                </c:pt>
                <c:pt idx="1">
                  <c:v>0.45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0.75</c:v>
                </c:pt>
                <c:pt idx="6">
                  <c:v>0.94</c:v>
                </c:pt>
                <c:pt idx="7">
                  <c:v>1.125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39B-415C-91C8-5AA7472E8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PGA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'Guwa-HazCur-STGR-2026-08-18'!$B$22:$B$36</c:f>
              <c:numCache>
                <c:formatCode>General</c:formatCode>
                <c:ptCount val="15"/>
                <c:pt idx="0">
                  <c:v>2.1312701615552503</c:v>
                </c:pt>
                <c:pt idx="1">
                  <c:v>1.6199987672975</c:v>
                </c:pt>
                <c:pt idx="2">
                  <c:v>1.1306651352853749</c:v>
                </c:pt>
                <c:pt idx="3">
                  <c:v>0.72412785882087505</c:v>
                </c:pt>
                <c:pt idx="4">
                  <c:v>0.42673315898874753</c:v>
                </c:pt>
                <c:pt idx="5">
                  <c:v>0.23222993279245127</c:v>
                </c:pt>
                <c:pt idx="6">
                  <c:v>0.11738344911526809</c:v>
                </c:pt>
                <c:pt idx="7">
                  <c:v>5.4654558448240555E-2</c:v>
                </c:pt>
                <c:pt idx="8">
                  <c:v>2.2812588272380176E-2</c:v>
                </c:pt>
                <c:pt idx="9">
                  <c:v>8.1814487195800614E-3</c:v>
                </c:pt>
                <c:pt idx="10">
                  <c:v>2.3515541229573991E-3</c:v>
                </c:pt>
                <c:pt idx="11">
                  <c:v>5.0057823607384375E-4</c:v>
                </c:pt>
                <c:pt idx="12">
                  <c:v>7.7867155937875465E-5</c:v>
                </c:pt>
                <c:pt idx="13">
                  <c:v>8.2645346739632316E-6</c:v>
                </c:pt>
                <c:pt idx="14">
                  <c:v>5.6149103500747975E-7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B-415C-91C8-5AA7472E88A9}"/>
            </c:ext>
          </c:extLst>
        </c:ser>
        <c:ser>
          <c:idx val="26"/>
          <c:order val="1"/>
          <c:tx>
            <c:v>Old PSHA PGA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'Guwa-HazCur-STGR-2026-08-18'!$B$87:$J$87</c:f>
              <c:numCache>
                <c:formatCode>General</c:formatCode>
                <c:ptCount val="9"/>
                <c:pt idx="0">
                  <c:v>7.6499999999999999E-2</c:v>
                </c:pt>
                <c:pt idx="1">
                  <c:v>0.13089999999999999</c:v>
                </c:pt>
                <c:pt idx="2">
                  <c:v>0.1736</c:v>
                </c:pt>
                <c:pt idx="3">
                  <c:v>0.2392</c:v>
                </c:pt>
                <c:pt idx="4">
                  <c:v>0.34949999999999998</c:v>
                </c:pt>
                <c:pt idx="5">
                  <c:v>0.39689999999999998</c:v>
                </c:pt>
                <c:pt idx="6">
                  <c:v>0.52990000000000004</c:v>
                </c:pt>
                <c:pt idx="7">
                  <c:v>0.69689999999999996</c:v>
                </c:pt>
                <c:pt idx="8">
                  <c:v>0.89090000000000003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39B-415C-91C8-5AA7472E88A9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C6-4B39-8C16-94001A72D0C9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C6-4B39-8C16-94001A72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5"/>
                <c:tx>
                  <c:v>T=1S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'Guwa-HazCur-STGR-2026-08-18'!$V$22:$V$36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1.6099690386400001</c:v>
                      </c:pt>
                      <c:pt idx="1">
                        <c:v>1.1155710164070001</c:v>
                      </c:pt>
                      <c:pt idx="2">
                        <c:v>0.71548380472675011</c:v>
                      </c:pt>
                      <c:pt idx="3">
                        <c:v>0.42452426546310001</c:v>
                      </c:pt>
                      <c:pt idx="4">
                        <c:v>0.23316827791115</c:v>
                      </c:pt>
                      <c:pt idx="5">
                        <c:v>0.11890037484668502</c:v>
                      </c:pt>
                      <c:pt idx="6">
                        <c:v>5.6602317957639502E-2</c:v>
                      </c:pt>
                      <c:pt idx="7">
                        <c:v>2.5186231159456458E-2</c:v>
                      </c:pt>
                      <c:pt idx="8">
                        <c:v>1.0413836413408775E-2</c:v>
                      </c:pt>
                      <c:pt idx="9">
                        <c:v>3.9401273713886333E-3</c:v>
                      </c:pt>
                      <c:pt idx="10">
                        <c:v>1.3124825074664612E-3</c:v>
                      </c:pt>
                      <c:pt idx="11">
                        <c:v>3.5049982153296405E-4</c:v>
                      </c:pt>
                      <c:pt idx="12">
                        <c:v>7.0798486282776533E-5</c:v>
                      </c:pt>
                      <c:pt idx="13">
                        <c:v>1.0257195708863561E-5</c:v>
                      </c:pt>
                      <c:pt idx="14">
                        <c:v>9.3055770825418224E-7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564-48F1-A1F7-6A2C5792036E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T=5S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'Guwa-HazCur-STGR-2026-08-18'!$AB$22:$AB$36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0.32648066991149999</c:v>
                      </c:pt>
                      <c:pt idx="1">
                        <c:v>0.19136608617100001</c:v>
                      </c:pt>
                      <c:pt idx="2">
                        <c:v>0.104917014481075</c:v>
                      </c:pt>
                      <c:pt idx="3">
                        <c:v>5.3667448957650001E-2</c:v>
                      </c:pt>
                      <c:pt idx="4">
                        <c:v>2.5497052413159995E-2</c:v>
                      </c:pt>
                      <c:pt idx="5">
                        <c:v>1.1178542018675502E-2</c:v>
                      </c:pt>
                      <c:pt idx="6">
                        <c:v>4.3905689122634897E-3</c:v>
                      </c:pt>
                      <c:pt idx="7">
                        <c:v>1.4696333507219434E-3</c:v>
                      </c:pt>
                      <c:pt idx="8">
                        <c:v>3.8725175624495313E-4</c:v>
                      </c:pt>
                      <c:pt idx="9">
                        <c:v>6.3535963437255573E-5</c:v>
                      </c:pt>
                      <c:pt idx="10">
                        <c:v>7.0423993794372792E-6</c:v>
                      </c:pt>
                      <c:pt idx="11">
                        <c:v>7.5898397246534947E-7</c:v>
                      </c:pt>
                      <c:pt idx="12">
                        <c:v>7.1861122183356312E-8</c:v>
                      </c:pt>
                      <c:pt idx="13">
                        <c:v>5.6756740886189297E-9</c:v>
                      </c:pt>
                      <c:pt idx="14">
                        <c:v>3.5679416179985008E-10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64-48F1-A1F7-6A2C5792036E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v>T=0.05s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'Guwa-HazCur-STGR-2026-08-18'!$G$22:$G$36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2.2815277129939999</c:v>
                      </c:pt>
                      <c:pt idx="1">
                        <c:v>1.7890982219953753</c:v>
                      </c:pt>
                      <c:pt idx="2">
                        <c:v>1.2964682484623753</c:v>
                      </c:pt>
                      <c:pt idx="3">
                        <c:v>0.86546130940740007</c:v>
                      </c:pt>
                      <c:pt idx="4">
                        <c:v>0.53354621297006999</c:v>
                      </c:pt>
                      <c:pt idx="5">
                        <c:v>0.30412979896560494</c:v>
                      </c:pt>
                      <c:pt idx="6">
                        <c:v>0.16081228573862477</c:v>
                      </c:pt>
                      <c:pt idx="7">
                        <c:v>7.8913221359105307E-2</c:v>
                      </c:pt>
                      <c:pt idx="8">
                        <c:v>3.5269893479312614E-2</c:v>
                      </c:pt>
                      <c:pt idx="9">
                        <c:v>1.3819512403335222E-2</c:v>
                      </c:pt>
                      <c:pt idx="10">
                        <c:v>4.463578788071877E-3</c:v>
                      </c:pt>
                      <c:pt idx="11">
                        <c:v>1.0869999517308044E-3</c:v>
                      </c:pt>
                      <c:pt idx="12">
                        <c:v>1.9285991217750671E-4</c:v>
                      </c:pt>
                      <c:pt idx="13">
                        <c:v>2.4036992119876187E-5</c:v>
                      </c:pt>
                      <c:pt idx="14">
                        <c:v>1.9801814417879219E-6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64-48F1-A1F7-6A2C5792036E}"/>
                  </c:ext>
                </c:extLst>
              </c15:ser>
            </c15:filteredScatterSeries>
            <c15:filteredScatterSeries>
              <c15:ser>
                <c:idx val="6"/>
                <c:order val="8"/>
                <c:tx>
                  <c:v>T=0.5s</c:v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'Guwa-HazCur-STGR-2026-08-18'!$P$22:$P$36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2.3759428602999999</c:v>
                      </c:pt>
                      <c:pt idx="1">
                        <c:v>1.8177334935830003</c:v>
                      </c:pt>
                      <c:pt idx="2">
                        <c:v>1.2670870719430001</c:v>
                      </c:pt>
                      <c:pt idx="3">
                        <c:v>0.80777391999750003</c:v>
                      </c:pt>
                      <c:pt idx="4">
                        <c:v>0.47413868388707503</c:v>
                      </c:pt>
                      <c:pt idx="5">
                        <c:v>0.25808931470578</c:v>
                      </c:pt>
                      <c:pt idx="6">
                        <c:v>0.13098682143499601</c:v>
                      </c:pt>
                      <c:pt idx="7">
                        <c:v>6.202276948160295E-2</c:v>
                      </c:pt>
                      <c:pt idx="8">
                        <c:v>2.7185642163896045E-2</c:v>
                      </c:pt>
                      <c:pt idx="9">
                        <c:v>1.0842914572805916E-2</c:v>
                      </c:pt>
                      <c:pt idx="10">
                        <c:v>3.8114412229398867E-3</c:v>
                      </c:pt>
                      <c:pt idx="11">
                        <c:v>1.1130574987891805E-3</c:v>
                      </c:pt>
                      <c:pt idx="12">
                        <c:v>2.5967360314379449E-4</c:v>
                      </c:pt>
                      <c:pt idx="13">
                        <c:v>4.7221894354924152E-5</c:v>
                      </c:pt>
                      <c:pt idx="14">
                        <c:v>5.9576261592661615E-6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64-48F1-A1F7-6A2C5792036E}"/>
                  </c:ext>
                </c:extLst>
              </c15:ser>
            </c15:filteredScatterSeries>
          </c:ext>
        </c:extLst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PGA, </a:t>
                </a:r>
                <a:r>
                  <a:rPr lang="en-IN" i="1"/>
                  <a:t>a</a:t>
                </a:r>
                <a:r>
                  <a:rPr lang="en-IN" i="1" baseline="-25000"/>
                  <a:t>g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3100528800544533"/>
          <c:y val="4.4762590056346203E-2"/>
          <c:w val="0.37763752407836454"/>
          <c:h val="0.20888598688914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'Guwa-HazCur-STGR-2026-08-18'!$E$45:$E$52</c:f>
              <c:numCache>
                <c:formatCode>0.000</c:formatCode>
                <c:ptCount val="8"/>
                <c:pt idx="0">
                  <c:v>0.375</c:v>
                </c:pt>
                <c:pt idx="1">
                  <c:v>0.45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0.75</c:v>
                </c:pt>
                <c:pt idx="6">
                  <c:v>0.94</c:v>
                </c:pt>
                <c:pt idx="7">
                  <c:v>1.125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9DB-9388-F7921CE1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'Guwa-HazCur-STGR-2026-08-18'!$V$22:$V$36</c:f>
              <c:numCache>
                <c:formatCode>General</c:formatCode>
                <c:ptCount val="15"/>
                <c:pt idx="0">
                  <c:v>1.6099690386400001</c:v>
                </c:pt>
                <c:pt idx="1">
                  <c:v>1.1155710164070001</c:v>
                </c:pt>
                <c:pt idx="2">
                  <c:v>0.71548380472675011</c:v>
                </c:pt>
                <c:pt idx="3">
                  <c:v>0.42452426546310001</c:v>
                </c:pt>
                <c:pt idx="4">
                  <c:v>0.23316827791115</c:v>
                </c:pt>
                <c:pt idx="5">
                  <c:v>0.11890037484668502</c:v>
                </c:pt>
                <c:pt idx="6">
                  <c:v>5.6602317957639502E-2</c:v>
                </c:pt>
                <c:pt idx="7">
                  <c:v>2.5186231159456458E-2</c:v>
                </c:pt>
                <c:pt idx="8">
                  <c:v>1.0413836413408775E-2</c:v>
                </c:pt>
                <c:pt idx="9">
                  <c:v>3.9401273713886333E-3</c:v>
                </c:pt>
                <c:pt idx="10">
                  <c:v>1.3124825074664612E-3</c:v>
                </c:pt>
                <c:pt idx="11">
                  <c:v>3.5049982153296405E-4</c:v>
                </c:pt>
                <c:pt idx="12">
                  <c:v>7.0798486282776533E-5</c:v>
                </c:pt>
                <c:pt idx="13">
                  <c:v>1.0257195708863561E-5</c:v>
                </c:pt>
                <c:pt idx="14">
                  <c:v>9.3055770825418224E-7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9DB-9388-F7921CE1EDA6}"/>
            </c:ext>
          </c:extLst>
        </c:ser>
        <c:ser>
          <c:idx val="26"/>
          <c:order val="1"/>
          <c:tx>
            <c:v>Old PSHA Sa(T=1s)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'Guwa-HazCur-STGR-2026-08-18'!$B$91:$J$91</c:f>
              <c:numCache>
                <c:formatCode>General</c:formatCode>
                <c:ptCount val="9"/>
                <c:pt idx="0">
                  <c:v>5.2293892505633002E-2</c:v>
                </c:pt>
                <c:pt idx="1">
                  <c:v>9.1064584612919997E-2</c:v>
                </c:pt>
                <c:pt idx="2">
                  <c:v>0.12191817478853099</c:v>
                </c:pt>
                <c:pt idx="3">
                  <c:v>0.172158491209953</c:v>
                </c:pt>
                <c:pt idx="4">
                  <c:v>0.26363969697801198</c:v>
                </c:pt>
                <c:pt idx="5">
                  <c:v>0.305479555921292</c:v>
                </c:pt>
                <c:pt idx="6">
                  <c:v>0.426834471978288</c:v>
                </c:pt>
                <c:pt idx="7">
                  <c:v>0.57765356581347205</c:v>
                </c:pt>
                <c:pt idx="8">
                  <c:v>0.74716675566533297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9DB-9388-F7921CE1EDA6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D2-49DB-9388-F7921CE1EDA6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D2-49DB-9388-F7921CE1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i="0"/>
                  <a:t>Sa(T=1s)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1872814888180707"/>
          <c:y val="4.4762590056346203E-2"/>
          <c:w val="0.42979515516293065"/>
          <c:h val="0.18197801711745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'Guwa-HazCur-STGR-2026-08-18'!$F$45:$F$52</c:f>
              <c:numCache>
                <c:formatCode>0.000</c:formatCode>
                <c:ptCount val="8"/>
                <c:pt idx="0">
                  <c:v>0.25</c:v>
                </c:pt>
                <c:pt idx="1">
                  <c:v>0.3</c:v>
                </c:pt>
                <c:pt idx="2">
                  <c:v>0.33333333333333331</c:v>
                </c:pt>
                <c:pt idx="3">
                  <c:v>0.39999999999999997</c:v>
                </c:pt>
                <c:pt idx="4">
                  <c:v>0.41666666666666663</c:v>
                </c:pt>
                <c:pt idx="5">
                  <c:v>0.5</c:v>
                </c:pt>
                <c:pt idx="6">
                  <c:v>0.62666666666666659</c:v>
                </c:pt>
                <c:pt idx="7">
                  <c:v>0.75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6-4FFE-8407-7F7690D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Sa(T=1.5s)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'Guwa-HazCur-STGR-2026-08-18'!$X$22:$X$36</c:f>
              <c:numCache>
                <c:formatCode>General</c:formatCode>
                <c:ptCount val="15"/>
                <c:pt idx="0">
                  <c:v>1.1283892528949999</c:v>
                </c:pt>
                <c:pt idx="1">
                  <c:v>0.74094042503174995</c:v>
                </c:pt>
                <c:pt idx="2">
                  <c:v>0.45335419077900002</c:v>
                </c:pt>
                <c:pt idx="3">
                  <c:v>0.25822650812725001</c:v>
                </c:pt>
                <c:pt idx="4">
                  <c:v>0.13664076125657501</c:v>
                </c:pt>
                <c:pt idx="5">
                  <c:v>6.7253646898984998E-2</c:v>
                </c:pt>
                <c:pt idx="6">
                  <c:v>3.0952278962506751E-2</c:v>
                </c:pt>
                <c:pt idx="7">
                  <c:v>1.328473910985894E-2</c:v>
                </c:pt>
                <c:pt idx="8">
                  <c:v>5.2627893132981057E-3</c:v>
                </c:pt>
                <c:pt idx="9">
                  <c:v>1.882150942757595E-3</c:v>
                </c:pt>
                <c:pt idx="10">
                  <c:v>5.5790330594414881E-4</c:v>
                </c:pt>
                <c:pt idx="11">
                  <c:v>1.1551613931830739E-4</c:v>
                </c:pt>
                <c:pt idx="12">
                  <c:v>1.629444560897116E-5</c:v>
                </c:pt>
                <c:pt idx="13">
                  <c:v>1.541085954805529E-6</c:v>
                </c:pt>
                <c:pt idx="14">
                  <c:v>8.7381978734988919E-8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F6-4FFE-8407-7F7690D6926A}"/>
            </c:ext>
          </c:extLst>
        </c:ser>
        <c:ser>
          <c:idx val="26"/>
          <c:order val="1"/>
          <c:tx>
            <c:v>Old PSHA Sa(T=1.5s)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'Guwa-HazCur-STGR-2026-08-18'!$B$94:$J$94</c:f>
              <c:numCache>
                <c:formatCode>General</c:formatCode>
                <c:ptCount val="9"/>
                <c:pt idx="0">
                  <c:v>3.3486886000579003E-2</c:v>
                </c:pt>
                <c:pt idx="1">
                  <c:v>5.9594458260840998E-2</c:v>
                </c:pt>
                <c:pt idx="2">
                  <c:v>8.0547131615930995E-2</c:v>
                </c:pt>
                <c:pt idx="3">
                  <c:v>0.11528852544931099</c:v>
                </c:pt>
                <c:pt idx="4">
                  <c:v>0.181452564394496</c:v>
                </c:pt>
                <c:pt idx="5">
                  <c:v>0.213195345470754</c:v>
                </c:pt>
                <c:pt idx="6">
                  <c:v>0.30794023513923302</c:v>
                </c:pt>
                <c:pt idx="7">
                  <c:v>0.43256041752329799</c:v>
                </c:pt>
                <c:pt idx="8">
                  <c:v>0.57806747652811596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F6-4FFE-8407-7F7690D6926A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F6-4FFE-8407-7F7690D6926A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F6-4FFE-8407-7F7690D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600" b="0" i="0" u="none" strike="noStrike" baseline="0">
                    <a:effectLst/>
                  </a:rPr>
                  <a:t>Sa(T=1.5s)</a:t>
                </a:r>
                <a:r>
                  <a:rPr lang="en-IN" sz="1600" b="0" i="1" u="none" strike="noStrike" baseline="0">
                    <a:effectLst/>
                  </a:rPr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2928233513165357"/>
          <c:y val="4.4762590056346203E-2"/>
          <c:w val="0.41924098078577987"/>
          <c:h val="0.16682023420954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'Guwa-HazCur-STGR-2026-08-18'!$G$45:$G$52</c:f>
              <c:numCache>
                <c:formatCode>0.000</c:formatCode>
                <c:ptCount val="8"/>
                <c:pt idx="0">
                  <c:v>0.1875</c:v>
                </c:pt>
                <c:pt idx="1">
                  <c:v>0.22500000000000001</c:v>
                </c:pt>
                <c:pt idx="2">
                  <c:v>0.25</c:v>
                </c:pt>
                <c:pt idx="3">
                  <c:v>0.3</c:v>
                </c:pt>
                <c:pt idx="4">
                  <c:v>0.3125</c:v>
                </c:pt>
                <c:pt idx="5">
                  <c:v>0.375</c:v>
                </c:pt>
                <c:pt idx="6">
                  <c:v>0.47</c:v>
                </c:pt>
                <c:pt idx="7">
                  <c:v>0.5625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8-476D-B742-969E7355B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Sa(T=2s)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'Guwa-HazCur-STGR-2026-08-18'!$Y$22:$Y$36</c:f>
              <c:numCache>
                <c:formatCode>General</c:formatCode>
                <c:ptCount val="15"/>
                <c:pt idx="0">
                  <c:v>0.8252682126467501</c:v>
                </c:pt>
                <c:pt idx="1">
                  <c:v>0.52237100018924998</c:v>
                </c:pt>
                <c:pt idx="2">
                  <c:v>0.30897280516275005</c:v>
                </c:pt>
                <c:pt idx="3">
                  <c:v>0.17009741181772497</c:v>
                </c:pt>
                <c:pt idx="4">
                  <c:v>8.7087099928760028E-2</c:v>
                </c:pt>
                <c:pt idx="5">
                  <c:v>4.1584398988727005E-2</c:v>
                </c:pt>
                <c:pt idx="6">
                  <c:v>1.8538856397435053E-2</c:v>
                </c:pt>
                <c:pt idx="7">
                  <c:v>7.6525984743297899E-3</c:v>
                </c:pt>
                <c:pt idx="8">
                  <c:v>2.8781335806520886E-3</c:v>
                </c:pt>
                <c:pt idx="9">
                  <c:v>9.3319916048413977E-4</c:v>
                </c:pt>
                <c:pt idx="10">
                  <c:v>2.2354585758141814E-4</c:v>
                </c:pt>
                <c:pt idx="11">
                  <c:v>3.6252516219223534E-5</c:v>
                </c:pt>
                <c:pt idx="12">
                  <c:v>4.0719654467637818E-6</c:v>
                </c:pt>
                <c:pt idx="13">
                  <c:v>2.8278841597032556E-7</c:v>
                </c:pt>
                <c:pt idx="14">
                  <c:v>1.1638559354507031E-8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8-476D-B742-969E7355BD10}"/>
            </c:ext>
          </c:extLst>
        </c:ser>
        <c:ser>
          <c:idx val="26"/>
          <c:order val="1"/>
          <c:tx>
            <c:v>Old PSHA Sa(T=2s)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'Guwa-HazCur-STGR-2026-08-18'!$B$97:$J$97</c:f>
              <c:numCache>
                <c:formatCode>General</c:formatCode>
                <c:ptCount val="9"/>
                <c:pt idx="0">
                  <c:v>2.4702999504088E-2</c:v>
                </c:pt>
                <c:pt idx="1">
                  <c:v>4.4748869882656001E-2</c:v>
                </c:pt>
                <c:pt idx="2">
                  <c:v>6.1009352382924001E-2</c:v>
                </c:pt>
                <c:pt idx="3">
                  <c:v>8.7903875669160997E-2</c:v>
                </c:pt>
                <c:pt idx="4">
                  <c:v>0.137771126536268</c:v>
                </c:pt>
                <c:pt idx="5">
                  <c:v>0.161164194566945</c:v>
                </c:pt>
                <c:pt idx="6">
                  <c:v>0.230078042282644</c:v>
                </c:pt>
                <c:pt idx="7">
                  <c:v>0.31776596549538499</c:v>
                </c:pt>
                <c:pt idx="8">
                  <c:v>0.41572709488854198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8-476D-B742-969E7355BD10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D8-476D-B742-969E7355BD10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D8-476D-B742-969E7355B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600" b="0" i="0" u="none" strike="noStrike" baseline="0">
                    <a:effectLst/>
                  </a:rPr>
                  <a:t>Sa(T=2s)</a:t>
                </a:r>
                <a:r>
                  <a:rPr lang="en-IN" sz="1600" b="0" i="1" u="none" strike="noStrike" baseline="0">
                    <a:effectLst/>
                  </a:rPr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6637005133879927"/>
          <c:y val="4.4762590056346203E-2"/>
          <c:w val="0.4821532527059384"/>
          <c:h val="0.15290597589832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'Delhi-HazCur-STGR-2026-08-18'!$D$45:$D$52</c:f>
              <c:numCache>
                <c:formatCode>0.000</c:formatCode>
                <c:ptCount val="8"/>
                <c:pt idx="0">
                  <c:v>0.17499999999999999</c:v>
                </c:pt>
                <c:pt idx="1">
                  <c:v>0.21</c:v>
                </c:pt>
                <c:pt idx="2">
                  <c:v>0.23300000000000001</c:v>
                </c:pt>
                <c:pt idx="3">
                  <c:v>0.28000000000000003</c:v>
                </c:pt>
                <c:pt idx="4">
                  <c:v>0.29170000000000001</c:v>
                </c:pt>
                <c:pt idx="5">
                  <c:v>0.35</c:v>
                </c:pt>
                <c:pt idx="6">
                  <c:v>0.44</c:v>
                </c:pt>
                <c:pt idx="7">
                  <c:v>0.52500000000000002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8-4B5C-9C21-2F880A48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PGA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'Delhi-HazCur-STGR-2026-08-18'!$B$22:$B$36</c:f>
              <c:numCache>
                <c:formatCode>General</c:formatCode>
                <c:ptCount val="15"/>
                <c:pt idx="0">
                  <c:v>1.16356896782625</c:v>
                </c:pt>
                <c:pt idx="1">
                  <c:v>0.72430252060000011</c:v>
                </c:pt>
                <c:pt idx="2">
                  <c:v>0.42608756448625007</c:v>
                </c:pt>
                <c:pt idx="3">
                  <c:v>0.24089774554843749</c:v>
                </c:pt>
                <c:pt idx="4">
                  <c:v>0.12974508709118751</c:v>
                </c:pt>
                <c:pt idx="5">
                  <c:v>6.5948004701095006E-2</c:v>
                </c:pt>
                <c:pt idx="6">
                  <c:v>3.1181496382830305E-2</c:v>
                </c:pt>
                <c:pt idx="7">
                  <c:v>1.3500927036748435E-2</c:v>
                </c:pt>
                <c:pt idx="8">
                  <c:v>5.2710874611305164E-3</c:v>
                </c:pt>
                <c:pt idx="9">
                  <c:v>1.8087746711000709E-3</c:v>
                </c:pt>
                <c:pt idx="10">
                  <c:v>5.25473435073283E-4</c:v>
                </c:pt>
                <c:pt idx="11">
                  <c:v>1.2789260422609909E-4</c:v>
                </c:pt>
                <c:pt idx="12">
                  <c:v>2.7385264232728809E-5</c:v>
                </c:pt>
                <c:pt idx="13">
                  <c:v>5.023810005429764E-6</c:v>
                </c:pt>
                <c:pt idx="14">
                  <c:v>6.4568454965701326E-7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8-4B5C-9C21-2F880A48A918}"/>
            </c:ext>
          </c:extLst>
        </c:ser>
        <c:ser>
          <c:idx val="26"/>
          <c:order val="1"/>
          <c:tx>
            <c:v>Old PSHA PGA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'Delhi-HazCur-STGR-2026-08-18'!$B$71:$J$71</c:f>
              <c:numCache>
                <c:formatCode>General</c:formatCode>
                <c:ptCount val="9"/>
                <c:pt idx="0">
                  <c:v>4.0500000000000001E-2</c:v>
                </c:pt>
                <c:pt idx="1">
                  <c:v>7.2300000000000003E-2</c:v>
                </c:pt>
                <c:pt idx="2">
                  <c:v>9.6799999999999997E-2</c:v>
                </c:pt>
                <c:pt idx="3">
                  <c:v>0.1353</c:v>
                </c:pt>
                <c:pt idx="4">
                  <c:v>0.2049</c:v>
                </c:pt>
                <c:pt idx="5">
                  <c:v>0.23699999999999999</c:v>
                </c:pt>
                <c:pt idx="6">
                  <c:v>0.33300000000000002</c:v>
                </c:pt>
                <c:pt idx="7">
                  <c:v>0.46029999999999999</c:v>
                </c:pt>
                <c:pt idx="8">
                  <c:v>0.61229999999999996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8-4B5C-9C21-2F880A48A918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C8-4B5C-9C21-2F880A48A918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C8-4B5C-9C21-2F880A48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PGA, </a:t>
                </a:r>
                <a:r>
                  <a:rPr lang="en-IN" i="1"/>
                  <a:t>a</a:t>
                </a:r>
                <a:r>
                  <a:rPr lang="en-IN" i="1" baseline="-25000"/>
                  <a:t>g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8737307438052777"/>
          <c:y val="4.4762590056346203E-2"/>
          <c:w val="0.36115032897912941"/>
          <c:h val="0.17765254649187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'Delhi-HazCur-STGR-2026-08-18'!$E$45:$E$52</c:f>
              <c:numCache>
                <c:formatCode>0.000</c:formatCode>
                <c:ptCount val="8"/>
                <c:pt idx="0">
                  <c:v>0.17499999999999999</c:v>
                </c:pt>
                <c:pt idx="1">
                  <c:v>0.21</c:v>
                </c:pt>
                <c:pt idx="2">
                  <c:v>0.23300000000000001</c:v>
                </c:pt>
                <c:pt idx="3">
                  <c:v>0.28000000000000003</c:v>
                </c:pt>
                <c:pt idx="4">
                  <c:v>0.29170000000000001</c:v>
                </c:pt>
                <c:pt idx="5">
                  <c:v>0.35</c:v>
                </c:pt>
                <c:pt idx="6">
                  <c:v>0.44</c:v>
                </c:pt>
                <c:pt idx="7">
                  <c:v>0.52500000000000002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2-4CF3-B0E7-D3389902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'Delhi-HazCur-STGR-2026-08-18'!$V$22:$V$36</c:f>
              <c:numCache>
                <c:formatCode>General</c:formatCode>
                <c:ptCount val="15"/>
                <c:pt idx="0">
                  <c:v>0.73477551536250008</c:v>
                </c:pt>
                <c:pt idx="1">
                  <c:v>0.44931719373374995</c:v>
                </c:pt>
                <c:pt idx="2">
                  <c:v>0.25943709501375001</c:v>
                </c:pt>
                <c:pt idx="3">
                  <c:v>0.14062680148187501</c:v>
                </c:pt>
                <c:pt idx="4">
                  <c:v>7.1469710974624998E-2</c:v>
                </c:pt>
                <c:pt idx="5">
                  <c:v>3.3815342609124999E-2</c:v>
                </c:pt>
                <c:pt idx="6">
                  <c:v>1.491457377981875E-2</c:v>
                </c:pt>
                <c:pt idx="7">
                  <c:v>6.1296069944133131E-3</c:v>
                </c:pt>
                <c:pt idx="8">
                  <c:v>2.3172760562817515E-3</c:v>
                </c:pt>
                <c:pt idx="9">
                  <c:v>7.9798833229515029E-4</c:v>
                </c:pt>
                <c:pt idx="10">
                  <c:v>2.6237842864944337E-4</c:v>
                </c:pt>
                <c:pt idx="11">
                  <c:v>8.1902152893118104E-5</c:v>
                </c:pt>
                <c:pt idx="12">
                  <c:v>2.398442998791043E-5</c:v>
                </c:pt>
                <c:pt idx="13">
                  <c:v>6.3054469087848905E-6</c:v>
                </c:pt>
                <c:pt idx="14">
                  <c:v>1.3193823591893911E-6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2-4CF3-B0E7-D338990274F4}"/>
            </c:ext>
          </c:extLst>
        </c:ser>
        <c:ser>
          <c:idx val="26"/>
          <c:order val="1"/>
          <c:tx>
            <c:v>Old PSHA Sa(T=1s)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'Delhi-HazCur-STGR-2026-08-18'!$B$76:$J$76</c:f>
              <c:numCache>
                <c:formatCode>0.00000</c:formatCode>
                <c:ptCount val="9"/>
                <c:pt idx="0">
                  <c:v>3.0534253552491002E-2</c:v>
                </c:pt>
                <c:pt idx="1">
                  <c:v>5.2247799204166001E-2</c:v>
                </c:pt>
                <c:pt idx="2">
                  <c:v>6.8864213966061003E-2</c:v>
                </c:pt>
                <c:pt idx="3">
                  <c:v>9.4689758228719001E-2</c:v>
                </c:pt>
                <c:pt idx="4">
                  <c:v>0.14097016526665701</c:v>
                </c:pt>
                <c:pt idx="5">
                  <c:v>0.162832985239144</c:v>
                </c:pt>
                <c:pt idx="6">
                  <c:v>0.23135077772705301</c:v>
                </c:pt>
                <c:pt idx="7">
                  <c:v>0.332024386493319</c:v>
                </c:pt>
                <c:pt idx="8">
                  <c:v>0.47259360336538903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12-4CF3-B0E7-D338990274F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12-4CF3-B0E7-D338990274F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12-4CF3-B0E7-D3389902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4197234689344054"/>
          <c:y val="4.4762590056346203E-2"/>
          <c:w val="0.40655097183969247"/>
          <c:h val="0.20298242881244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'Delhi-HazCur-STGR-2026-08-18'!$F$45:$F$52</c:f>
              <c:numCache>
                <c:formatCode>0.000</c:formatCode>
                <c:ptCount val="8"/>
                <c:pt idx="0">
                  <c:v>0.11666666666666665</c:v>
                </c:pt>
                <c:pt idx="1">
                  <c:v>0.13999999999999999</c:v>
                </c:pt>
                <c:pt idx="2">
                  <c:v>0.15533333333333332</c:v>
                </c:pt>
                <c:pt idx="3">
                  <c:v>0.18666666666666668</c:v>
                </c:pt>
                <c:pt idx="4">
                  <c:v>0.19446666666666668</c:v>
                </c:pt>
                <c:pt idx="5">
                  <c:v>0.23333333333333331</c:v>
                </c:pt>
                <c:pt idx="6">
                  <c:v>0.29333333333333333</c:v>
                </c:pt>
                <c:pt idx="7">
                  <c:v>0.35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D-41F7-A175-07B477F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Sa(T=1.5s)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'Delhi-HazCur-STGR-2026-08-18'!$X$22:$X$36</c:f>
              <c:numCache>
                <c:formatCode>General</c:formatCode>
                <c:ptCount val="15"/>
                <c:pt idx="0">
                  <c:v>0.47542255677624995</c:v>
                </c:pt>
                <c:pt idx="1">
                  <c:v>0.28643322311250002</c:v>
                </c:pt>
                <c:pt idx="2">
                  <c:v>0.16139346026249998</c:v>
                </c:pt>
                <c:pt idx="3">
                  <c:v>8.5354331085624985E-2</c:v>
                </c:pt>
                <c:pt idx="4">
                  <c:v>4.1723923315625001E-2</c:v>
                </c:pt>
                <c:pt idx="5">
                  <c:v>1.8840590155025004E-2</c:v>
                </c:pt>
                <c:pt idx="6">
                  <c:v>7.9080369701325006E-3</c:v>
                </c:pt>
                <c:pt idx="7">
                  <c:v>3.0639674824661195E-3</c:v>
                </c:pt>
                <c:pt idx="8">
                  <c:v>1.0668507351346962E-3</c:v>
                </c:pt>
                <c:pt idx="9">
                  <c:v>3.4400286377697382E-4</c:v>
                </c:pt>
                <c:pt idx="10">
                  <c:v>1.0523930468713003E-4</c:v>
                </c:pt>
                <c:pt idx="11">
                  <c:v>2.9089631166543549E-5</c:v>
                </c:pt>
                <c:pt idx="12">
                  <c:v>6.9681990102547223E-6</c:v>
                </c:pt>
                <c:pt idx="13">
                  <c:v>1.3401269768957006E-6</c:v>
                </c:pt>
                <c:pt idx="14">
                  <c:v>1.8516221857711584E-7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D-41F7-A175-07B477FE0E24}"/>
            </c:ext>
          </c:extLst>
        </c:ser>
        <c:ser>
          <c:idx val="26"/>
          <c:order val="1"/>
          <c:tx>
            <c:v>Old PSHA Sa(T=1.5s)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'Delhi-HazCur-STGR-2026-08-18'!$B$79:$J$79</c:f>
              <c:numCache>
                <c:formatCode>0.00000</c:formatCode>
                <c:ptCount val="9"/>
                <c:pt idx="0">
                  <c:v>2.6119697499103998E-2</c:v>
                </c:pt>
                <c:pt idx="1">
                  <c:v>4.4263655745839001E-2</c:v>
                </c:pt>
                <c:pt idx="2">
                  <c:v>5.7840751599430001E-2</c:v>
                </c:pt>
                <c:pt idx="3">
                  <c:v>7.9059267015249998E-2</c:v>
                </c:pt>
                <c:pt idx="4">
                  <c:v>0.116949276929855</c:v>
                </c:pt>
                <c:pt idx="5">
                  <c:v>0.13521223795982901</c:v>
                </c:pt>
                <c:pt idx="6">
                  <c:v>0.194528978104341</c:v>
                </c:pt>
                <c:pt idx="7">
                  <c:v>0.28896669111729101</c:v>
                </c:pt>
                <c:pt idx="8">
                  <c:v>0.43849156574250803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7D-41F7-A175-07B477FE0E2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7D-41F7-A175-07B477FE0E2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7D-41F7-A175-07B477F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7841135558220643"/>
          <c:y val="4.4762590056346203E-2"/>
          <c:w val="0.4701119631509264"/>
          <c:h val="0.2055154210361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'Delhi-HazCur-STGR-2026-08-18'!$G$45:$G$52</c:f>
              <c:numCache>
                <c:formatCode>0.000</c:formatCode>
                <c:ptCount val="8"/>
                <c:pt idx="0">
                  <c:v>8.7499999999999994E-2</c:v>
                </c:pt>
                <c:pt idx="1">
                  <c:v>0.105</c:v>
                </c:pt>
                <c:pt idx="2">
                  <c:v>0.11650000000000001</c:v>
                </c:pt>
                <c:pt idx="3">
                  <c:v>0.14000000000000001</c:v>
                </c:pt>
                <c:pt idx="4">
                  <c:v>0.14585000000000001</c:v>
                </c:pt>
                <c:pt idx="5">
                  <c:v>0.17499999999999999</c:v>
                </c:pt>
                <c:pt idx="6">
                  <c:v>0.22</c:v>
                </c:pt>
                <c:pt idx="7">
                  <c:v>0.26250000000000001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6-40B1-89DA-930D3741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Sa(T=2s)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'Delhi-HazCur-STGR-2026-08-18'!$Y$22:$Y$36</c:f>
              <c:numCache>
                <c:formatCode>General</c:formatCode>
                <c:ptCount val="15"/>
                <c:pt idx="0">
                  <c:v>0.33208457800499996</c:v>
                </c:pt>
                <c:pt idx="1">
                  <c:v>0.195181147365</c:v>
                </c:pt>
                <c:pt idx="2">
                  <c:v>0.10764265272187501</c:v>
                </c:pt>
                <c:pt idx="3">
                  <c:v>5.4924443759687497E-2</c:v>
                </c:pt>
                <c:pt idx="4">
                  <c:v>2.6056663089812502E-2</c:v>
                </c:pt>
                <c:pt idx="5">
                  <c:v>1.1437232583318751E-2</c:v>
                </c:pt>
                <c:pt idx="6">
                  <c:v>4.6417781057983762E-3</c:v>
                </c:pt>
                <c:pt idx="7">
                  <c:v>1.7356211290837252E-3</c:v>
                </c:pt>
                <c:pt idx="8">
                  <c:v>5.9049136886337068E-4</c:v>
                </c:pt>
                <c:pt idx="9">
                  <c:v>1.9902301309554675E-4</c:v>
                </c:pt>
                <c:pt idx="10">
                  <c:v>6.564634446916733E-5</c:v>
                </c:pt>
                <c:pt idx="11">
                  <c:v>2.0520461354738406E-5</c:v>
                </c:pt>
                <c:pt idx="12">
                  <c:v>5.7352619971711532E-6</c:v>
                </c:pt>
                <c:pt idx="13">
                  <c:v>1.2867342221919734E-6</c:v>
                </c:pt>
                <c:pt idx="14">
                  <c:v>2.0844413164008359E-7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6-40B1-89DA-930D37415274}"/>
            </c:ext>
          </c:extLst>
        </c:ser>
        <c:ser>
          <c:idx val="26"/>
          <c:order val="1"/>
          <c:tx>
            <c:v>Old PSHA Sa(T=2s)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'Delhi-HazCur-STGR-2026-08-18'!$B$82:$J$82</c:f>
              <c:numCache>
                <c:formatCode>0.00000</c:formatCode>
                <c:ptCount val="9"/>
                <c:pt idx="0">
                  <c:v>2.6119697499103998E-2</c:v>
                </c:pt>
                <c:pt idx="1">
                  <c:v>4.4263655745839001E-2</c:v>
                </c:pt>
                <c:pt idx="2">
                  <c:v>5.7840751599430001E-2</c:v>
                </c:pt>
                <c:pt idx="3">
                  <c:v>7.9059267015249998E-2</c:v>
                </c:pt>
                <c:pt idx="4">
                  <c:v>0.116949276929855</c:v>
                </c:pt>
                <c:pt idx="5">
                  <c:v>0.13521223795982901</c:v>
                </c:pt>
                <c:pt idx="6">
                  <c:v>0.194528978104341</c:v>
                </c:pt>
                <c:pt idx="7">
                  <c:v>0.28896669111729101</c:v>
                </c:pt>
                <c:pt idx="8">
                  <c:v>0.43849156574250803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D6-40B1-89DA-930D3741527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D6-40B1-89DA-930D3741527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D6-40B1-89DA-930D3741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7841135558220643"/>
          <c:y val="4.4762590056346203E-2"/>
          <c:w val="0.4701119631509264"/>
          <c:h val="0.2055154210361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1095224</xdr:colOff>
      <xdr:row>46</xdr:row>
      <xdr:rowOff>159134</xdr:rowOff>
    </xdr:from>
    <xdr:to>
      <xdr:col>11</xdr:col>
      <xdr:colOff>289112</xdr:colOff>
      <xdr:row>72</xdr:row>
      <xdr:rowOff>7846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C3C07-F93F-9F51-FDD5-3CF25350C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109536</xdr:colOff>
      <xdr:row>3</xdr:row>
      <xdr:rowOff>176212</xdr:rowOff>
    </xdr:from>
    <xdr:to>
      <xdr:col>20</xdr:col>
      <xdr:colOff>485775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8AC6E-3D40-786B-9734-82A31A53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299357</xdr:colOff>
      <xdr:row>0</xdr:row>
      <xdr:rowOff>163288</xdr:rowOff>
    </xdr:from>
    <xdr:to>
      <xdr:col>17</xdr:col>
      <xdr:colOff>834118</xdr:colOff>
      <xdr:row>16</xdr:row>
      <xdr:rowOff>68038</xdr:rowOff>
    </xdr:to>
    <xdr:graphicFrame macro="">
      <xdr:nvGraphicFramePr>
        <xdr:cNvPr id="2" name="HazardCurvesLogLog">
          <a:extLst>
            <a:ext uri="{FF2B5EF4-FFF2-40B4-BE49-F238E27FC236}">
              <a16:creationId xmlns:a16="http://schemas.microsoft.com/office/drawing/2014/main" id="{55AD66A4-6C6C-40EB-B5E1-25D8F60F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44823</xdr:colOff>
      <xdr:row>63</xdr:row>
      <xdr:rowOff>140633</xdr:rowOff>
    </xdr:from>
    <xdr:to>
      <xdr:col>5</xdr:col>
      <xdr:colOff>859420</xdr:colOff>
      <xdr:row>77</xdr:row>
      <xdr:rowOff>64795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23" y="12164545"/>
          <a:ext cx="6403930" cy="2591162"/>
        </a:xfrm>
        <a:prstGeom prst="rect">
          <a:avLst/>
        </a:prstGeom>
      </xdr:spPr>
    </xdr:pic>
    <xdr:clientData/>
  </xdr:twoCellAnchor>
  <xdr:twoCellAnchor>
    <xdr:from>
      <xdr:col>10</xdr:col>
      <xdr:colOff>572199</xdr:colOff>
      <xdr:row>42</xdr:row>
      <xdr:rowOff>116834</xdr:rowOff>
    </xdr:from>
    <xdr:to>
      <xdr:col>17</xdr:col>
      <xdr:colOff>233641</xdr:colOff>
      <xdr:row>73</xdr:row>
      <xdr:rowOff>54908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11205</xdr:colOff>
      <xdr:row>41</xdr:row>
      <xdr:rowOff>56030</xdr:rowOff>
    </xdr:from>
    <xdr:to>
      <xdr:col>24</xdr:col>
      <xdr:colOff>724320</xdr:colOff>
      <xdr:row>71</xdr:row>
      <xdr:rowOff>184604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560294</xdr:colOff>
      <xdr:row>75</xdr:row>
      <xdr:rowOff>44824</xdr:rowOff>
    </xdr:from>
    <xdr:to>
      <xdr:col>17</xdr:col>
      <xdr:colOff>220055</xdr:colOff>
      <xdr:row>105</xdr:row>
      <xdr:rowOff>83751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75</xdr:row>
      <xdr:rowOff>0</xdr:rowOff>
    </xdr:from>
    <xdr:to>
      <xdr:col>24</xdr:col>
      <xdr:colOff>713115</xdr:colOff>
      <xdr:row>105</xdr:row>
      <xdr:rowOff>38927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84</xdr:row>
      <xdr:rowOff>185458</xdr:rowOff>
    </xdr:from>
    <xdr:to>
      <xdr:col>5</xdr:col>
      <xdr:colOff>89647</xdr:colOff>
      <xdr:row>95</xdr:row>
      <xdr:rowOff>149174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3" y="16557252"/>
          <a:ext cx="5087471" cy="2059216"/>
        </a:xfrm>
        <a:prstGeom prst="rect">
          <a:avLst/>
        </a:prstGeom>
      </xdr:spPr>
    </xdr:pic>
    <xdr:clientData/>
  </xdr:twoCellAnchor>
  <xdr:twoCellAnchor>
    <xdr:from>
      <xdr:col>10</xdr:col>
      <xdr:colOff>392208</xdr:colOff>
      <xdr:row>39</xdr:row>
      <xdr:rowOff>45623</xdr:rowOff>
    </xdr:from>
    <xdr:to>
      <xdr:col>17</xdr:col>
      <xdr:colOff>69652</xdr:colOff>
      <xdr:row>65</xdr:row>
      <xdr:rowOff>79242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537882</xdr:colOff>
      <xdr:row>38</xdr:row>
      <xdr:rowOff>181695</xdr:rowOff>
    </xdr:from>
    <xdr:to>
      <xdr:col>24</xdr:col>
      <xdr:colOff>210523</xdr:colOff>
      <xdr:row>65</xdr:row>
      <xdr:rowOff>24814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66</xdr:row>
      <xdr:rowOff>176893</xdr:rowOff>
    </xdr:from>
    <xdr:to>
      <xdr:col>17</xdr:col>
      <xdr:colOff>53640</xdr:colOff>
      <xdr:row>91</xdr:row>
      <xdr:rowOff>74440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489858</xdr:colOff>
      <xdr:row>66</xdr:row>
      <xdr:rowOff>176893</xdr:rowOff>
    </xdr:from>
    <xdr:to>
      <xdr:col>24</xdr:col>
      <xdr:colOff>162499</xdr:colOff>
      <xdr:row>91</xdr:row>
      <xdr:rowOff>74440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12260-50E3-40DF-A393-A57C810C69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91da5b-4be3-4228-b8b5-98a76ac145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zoomScale="85" zoomScaleNormal="85" workbookViewId="0">
      <selection activeCell="C45" sqref="C45"/>
    </sheetView>
  </sheetViews>
  <sheetFormatPr defaultRowHeight="15" x14ac:dyDescent="0.25"/>
  <cols>
    <col min="1" max="1" width="14" customWidth="1"/>
    <col min="2" max="26" width="2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1E-4</v>
      </c>
      <c r="B2" s="2">
        <v>5.908095883205533</v>
      </c>
      <c r="C2" s="2">
        <v>5.912479140330106</v>
      </c>
      <c r="D2" s="2">
        <v>5.9466387634165594</v>
      </c>
      <c r="E2" s="2">
        <v>5.9696576111018658</v>
      </c>
      <c r="F2" s="2">
        <v>6.030074289534241</v>
      </c>
      <c r="G2" s="2">
        <v>6.1039559920318416</v>
      </c>
      <c r="H2" s="2">
        <v>6.1547507843934</v>
      </c>
      <c r="I2" s="2">
        <v>6.2216071877628556</v>
      </c>
      <c r="J2" s="2">
        <v>6.2845406574197114</v>
      </c>
      <c r="K2" s="2">
        <v>6.340722335036844</v>
      </c>
      <c r="L2" s="2">
        <v>6.3843077272176743</v>
      </c>
      <c r="M2" s="2">
        <v>6.4260667972266674</v>
      </c>
      <c r="N2" s="2">
        <v>6.5207163449376822</v>
      </c>
      <c r="O2" s="2">
        <v>6.5482498966157436</v>
      </c>
      <c r="P2" s="2">
        <v>6.5458630127832294</v>
      </c>
      <c r="Q2" s="2">
        <v>6.4982386268675327</v>
      </c>
      <c r="R2" s="2">
        <v>6.3674656851217151</v>
      </c>
      <c r="S2" s="2">
        <v>5.8596990378573537</v>
      </c>
      <c r="T2" s="2">
        <v>5.1616286598145962</v>
      </c>
      <c r="U2" s="2">
        <v>4.5092838304117322</v>
      </c>
      <c r="V2" s="2">
        <v>3.1730593864340331</v>
      </c>
      <c r="W2" s="2">
        <v>2.2424876689910889</v>
      </c>
      <c r="X2" s="2">
        <v>1.200572681613266</v>
      </c>
      <c r="Y2" s="2">
        <v>0.76201622909866273</v>
      </c>
      <c r="Z2" s="2">
        <v>0.53340434830170125</v>
      </c>
    </row>
    <row r="3" spans="1:26" x14ac:dyDescent="0.25">
      <c r="A3" s="2">
        <v>1.264855E-4</v>
      </c>
      <c r="B3" s="2">
        <v>5.6157982642762363</v>
      </c>
      <c r="C3" s="2">
        <v>5.6202093251049519</v>
      </c>
      <c r="D3" s="2">
        <v>5.6622005053795874</v>
      </c>
      <c r="E3" s="2">
        <v>5.6908049443736672</v>
      </c>
      <c r="F3" s="2">
        <v>5.7676950613968074</v>
      </c>
      <c r="G3" s="2">
        <v>5.861547218170017</v>
      </c>
      <c r="H3" s="2">
        <v>5.9269165871664882</v>
      </c>
      <c r="I3" s="2">
        <v>6.009609024040401</v>
      </c>
      <c r="J3" s="2">
        <v>6.085193466860801</v>
      </c>
      <c r="K3" s="2">
        <v>6.1507390337064862</v>
      </c>
      <c r="L3" s="2">
        <v>6.2011382067576051</v>
      </c>
      <c r="M3" s="2">
        <v>6.2491362881846726</v>
      </c>
      <c r="N3" s="2">
        <v>6.3559000445529819</v>
      </c>
      <c r="O3" s="2">
        <v>6.3815685855224729</v>
      </c>
      <c r="P3" s="2">
        <v>6.3703118534758687</v>
      </c>
      <c r="Q3" s="2">
        <v>6.3020090200006962</v>
      </c>
      <c r="R3" s="2">
        <v>6.1265622107312083</v>
      </c>
      <c r="S3" s="2">
        <v>5.5262751365080476</v>
      </c>
      <c r="T3" s="2">
        <v>4.7654134724289179</v>
      </c>
      <c r="U3" s="2">
        <v>4.0947738969698548</v>
      </c>
      <c r="V3" s="2">
        <v>2.7866410573478788</v>
      </c>
      <c r="W3" s="2">
        <v>1.9230280015617609</v>
      </c>
      <c r="X3" s="2">
        <v>1.0092506854562091</v>
      </c>
      <c r="Y3" s="2">
        <v>0.64077232760610059</v>
      </c>
      <c r="Z3" s="2">
        <v>0.44977244886104017</v>
      </c>
    </row>
    <row r="4" spans="1:26" x14ac:dyDescent="0.25">
      <c r="A4" s="2">
        <v>1.599859E-4</v>
      </c>
      <c r="B4" s="2">
        <v>5.288259997498244</v>
      </c>
      <c r="C4" s="2">
        <v>5.292600064072758</v>
      </c>
      <c r="D4" s="2">
        <v>5.341847209725529</v>
      </c>
      <c r="E4" s="2">
        <v>5.3757149069569996</v>
      </c>
      <c r="F4" s="2">
        <v>5.4686329504474998</v>
      </c>
      <c r="G4" s="2">
        <v>5.5821160268969834</v>
      </c>
      <c r="H4" s="2">
        <v>5.6622400730848312</v>
      </c>
      <c r="I4" s="2">
        <v>5.7612320543266833</v>
      </c>
      <c r="J4" s="2">
        <v>5.8499809480272233</v>
      </c>
      <c r="K4" s="2">
        <v>5.9253116939216852</v>
      </c>
      <c r="L4" s="2">
        <v>5.9828718518838286</v>
      </c>
      <c r="M4" s="2">
        <v>6.0373327913694084</v>
      </c>
      <c r="N4" s="2">
        <v>6.1552594872191548</v>
      </c>
      <c r="O4" s="2">
        <v>6.1763886250555524</v>
      </c>
      <c r="P4" s="2">
        <v>6.1534252790734172</v>
      </c>
      <c r="Q4" s="2">
        <v>6.0616503711789846</v>
      </c>
      <c r="R4" s="2">
        <v>5.8387367529794574</v>
      </c>
      <c r="S4" s="2">
        <v>5.1567840045318007</v>
      </c>
      <c r="T4" s="2">
        <v>4.3537255064584324</v>
      </c>
      <c r="U4" s="2">
        <v>3.68082809727639</v>
      </c>
      <c r="V4" s="2">
        <v>2.423186692642048</v>
      </c>
      <c r="W4" s="2">
        <v>1.634754548314959</v>
      </c>
      <c r="X4" s="2">
        <v>0.84525189339183271</v>
      </c>
      <c r="Y4" s="2">
        <v>0.53771323314867914</v>
      </c>
      <c r="Z4" s="2">
        <v>0.3784910420072265</v>
      </c>
    </row>
    <row r="5" spans="1:26" x14ac:dyDescent="0.25">
      <c r="A5" s="2">
        <v>2.0235899999999999E-4</v>
      </c>
      <c r="B5" s="2">
        <v>4.932238485198468</v>
      </c>
      <c r="C5" s="2">
        <v>4.9364300612360239</v>
      </c>
      <c r="D5" s="2">
        <v>4.9917891663499177</v>
      </c>
      <c r="E5" s="2">
        <v>5.0301860342733562</v>
      </c>
      <c r="F5" s="2">
        <v>5.1375302150845528</v>
      </c>
      <c r="G5" s="2">
        <v>5.2689566831104457</v>
      </c>
      <c r="H5" s="2">
        <v>5.3629930163733661</v>
      </c>
      <c r="I5" s="2">
        <v>5.4776062946766606</v>
      </c>
      <c r="J5" s="2">
        <v>5.5791929927654564</v>
      </c>
      <c r="K5" s="2">
        <v>5.6641818317584693</v>
      </c>
      <c r="L5" s="2">
        <v>5.7288925987668344</v>
      </c>
      <c r="M5" s="2">
        <v>5.7897505713626742</v>
      </c>
      <c r="N5" s="2">
        <v>5.9173804661259064</v>
      </c>
      <c r="O5" s="2">
        <v>5.931305926758796</v>
      </c>
      <c r="P5" s="2">
        <v>5.8943724054843187</v>
      </c>
      <c r="Q5" s="2">
        <v>5.7779821623116732</v>
      </c>
      <c r="R5" s="2">
        <v>5.5084935226477683</v>
      </c>
      <c r="S5" s="2">
        <v>4.7612850368022919</v>
      </c>
      <c r="T5" s="2">
        <v>3.937154246494174</v>
      </c>
      <c r="U5" s="2">
        <v>3.2758593156468119</v>
      </c>
      <c r="V5" s="2">
        <v>2.0863971288781609</v>
      </c>
      <c r="W5" s="2">
        <v>1.3784897122532129</v>
      </c>
      <c r="X5" s="2">
        <v>0.7057095822528936</v>
      </c>
      <c r="Y5" s="2">
        <v>0.45029555383371189</v>
      </c>
      <c r="Z5" s="2">
        <v>0.31777646971750068</v>
      </c>
    </row>
    <row r="6" spans="1:26" x14ac:dyDescent="0.25">
      <c r="A6" s="2">
        <v>2.5595480000000002E-4</v>
      </c>
      <c r="B6" s="2">
        <v>4.5559072559699416</v>
      </c>
      <c r="C6" s="2">
        <v>4.5598904248327017</v>
      </c>
      <c r="D6" s="2">
        <v>4.6198768061585724</v>
      </c>
      <c r="E6" s="2">
        <v>4.6618251062463969</v>
      </c>
      <c r="F6" s="2">
        <v>4.7809985741041601</v>
      </c>
      <c r="G6" s="2">
        <v>4.9275840015616268</v>
      </c>
      <c r="H6" s="2">
        <v>5.0337664152029902</v>
      </c>
      <c r="I6" s="2">
        <v>5.1622616485692561</v>
      </c>
      <c r="J6" s="2">
        <v>5.275497812544927</v>
      </c>
      <c r="K6" s="2">
        <v>5.3693649577908218</v>
      </c>
      <c r="L6" s="2">
        <v>5.4408244951628149</v>
      </c>
      <c r="M6" s="2">
        <v>5.5076663843356073</v>
      </c>
      <c r="N6" s="2">
        <v>5.6430051145143807</v>
      </c>
      <c r="O6" s="2">
        <v>5.6474546017125249</v>
      </c>
      <c r="P6" s="2">
        <v>5.5952722989022732</v>
      </c>
      <c r="Q6" s="2">
        <v>5.4549036719836286</v>
      </c>
      <c r="R6" s="2">
        <v>5.1434196690097451</v>
      </c>
      <c r="S6" s="2">
        <v>4.3506902577355504</v>
      </c>
      <c r="T6" s="2">
        <v>3.525062078610063</v>
      </c>
      <c r="U6" s="2">
        <v>2.8865567012690012</v>
      </c>
      <c r="V6" s="2">
        <v>1.77894222503528</v>
      </c>
      <c r="W6" s="2">
        <v>1.1540082914289089</v>
      </c>
      <c r="X6" s="2">
        <v>0.58762641373323277</v>
      </c>
      <c r="Y6" s="2">
        <v>0.37623471213737503</v>
      </c>
      <c r="Z6" s="2">
        <v>0.26607199371210299</v>
      </c>
    </row>
    <row r="7" spans="1:26" x14ac:dyDescent="0.25">
      <c r="A7" s="2">
        <v>3.2374580000000001E-4</v>
      </c>
      <c r="B7" s="2">
        <v>4.1680081523954868</v>
      </c>
      <c r="C7" s="2">
        <v>4.1717288873624057</v>
      </c>
      <c r="D7" s="2">
        <v>4.2347124128136784</v>
      </c>
      <c r="E7" s="2">
        <v>4.2790446560829878</v>
      </c>
      <c r="F7" s="2">
        <v>4.4068946242332458</v>
      </c>
      <c r="G7" s="2">
        <v>4.5650991196744144</v>
      </c>
      <c r="H7" s="2">
        <v>4.6810191050171852</v>
      </c>
      <c r="I7" s="2">
        <v>4.820851210039109</v>
      </c>
      <c r="J7" s="2">
        <v>4.9437650279141963</v>
      </c>
      <c r="K7" s="2">
        <v>5.0451706708408892</v>
      </c>
      <c r="L7" s="2">
        <v>5.1225399826653302</v>
      </c>
      <c r="M7" s="2">
        <v>5.1945849792100489</v>
      </c>
      <c r="N7" s="2">
        <v>5.3352810675278306</v>
      </c>
      <c r="O7" s="2">
        <v>5.3286366118118167</v>
      </c>
      <c r="P7" s="2">
        <v>5.2610165467485794</v>
      </c>
      <c r="Q7" s="2">
        <v>5.0991562656126916</v>
      </c>
      <c r="R7" s="2">
        <v>4.753109987359494</v>
      </c>
      <c r="S7" s="2">
        <v>3.9355067852884531</v>
      </c>
      <c r="T7" s="2">
        <v>3.125143542187288</v>
      </c>
      <c r="U7" s="2">
        <v>2.5180985159240659</v>
      </c>
      <c r="V7" s="2">
        <v>1.50244577229023</v>
      </c>
      <c r="W7" s="2">
        <v>0.96003581152763218</v>
      </c>
      <c r="X7" s="2">
        <v>0.48807558370754123</v>
      </c>
      <c r="Y7" s="2">
        <v>0.31353035554639058</v>
      </c>
      <c r="Z7" s="2">
        <v>0.2220462695404421</v>
      </c>
    </row>
    <row r="8" spans="1:26" x14ac:dyDescent="0.25">
      <c r="A8" s="2">
        <v>4.0949150000000001E-4</v>
      </c>
      <c r="B8" s="2">
        <v>3.7769307119306181</v>
      </c>
      <c r="C8" s="2">
        <v>3.7803500413428992</v>
      </c>
      <c r="D8" s="2">
        <v>3.844711348880081</v>
      </c>
      <c r="E8" s="2">
        <v>3.8902882204856719</v>
      </c>
      <c r="F8" s="2">
        <v>4.0234240805730224</v>
      </c>
      <c r="G8" s="2">
        <v>4.1894311071373522</v>
      </c>
      <c r="H8" s="2">
        <v>4.312345918500796</v>
      </c>
      <c r="I8" s="2">
        <v>4.4604293904267251</v>
      </c>
      <c r="J8" s="2">
        <v>4.5905792936682701</v>
      </c>
      <c r="K8" s="2">
        <v>4.6977564264088869</v>
      </c>
      <c r="L8" s="2">
        <v>4.7798461162019521</v>
      </c>
      <c r="M8" s="2">
        <v>4.8560367021709681</v>
      </c>
      <c r="N8" s="2">
        <v>4.9995163860730827</v>
      </c>
      <c r="O8" s="2">
        <v>4.981046924367547</v>
      </c>
      <c r="P8" s="2">
        <v>4.8988697836175561</v>
      </c>
      <c r="Q8" s="2">
        <v>4.7193318335339427</v>
      </c>
      <c r="R8" s="2">
        <v>4.3479553610086441</v>
      </c>
      <c r="S8" s="2">
        <v>3.5249756120610982</v>
      </c>
      <c r="T8" s="2">
        <v>2.7433193284086879</v>
      </c>
      <c r="U8" s="2">
        <v>2.1742547051981091</v>
      </c>
      <c r="V8" s="2">
        <v>1.2575866502011199</v>
      </c>
      <c r="W8" s="2">
        <v>0.79442220693454146</v>
      </c>
      <c r="X8" s="2">
        <v>0.40434925723820919</v>
      </c>
      <c r="Y8" s="2">
        <v>0.26046309701632708</v>
      </c>
      <c r="Z8" s="2">
        <v>0.1845730642380658</v>
      </c>
    </row>
    <row r="9" spans="1:26" x14ac:dyDescent="0.25">
      <c r="A9" s="2">
        <v>5.179475E-4</v>
      </c>
      <c r="B9" s="2">
        <v>3.390166056575254</v>
      </c>
      <c r="C9" s="2">
        <v>3.3932618892285968</v>
      </c>
      <c r="D9" s="2">
        <v>3.4575673243962228</v>
      </c>
      <c r="E9" s="2">
        <v>3.503303510369733</v>
      </c>
      <c r="F9" s="2">
        <v>3.6384753531310712</v>
      </c>
      <c r="G9" s="2">
        <v>3.808525026775897</v>
      </c>
      <c r="H9" s="2">
        <v>3.935609776177444</v>
      </c>
      <c r="I9" s="2">
        <v>4.0887447217246518</v>
      </c>
      <c r="J9" s="2">
        <v>4.2234661835245788</v>
      </c>
      <c r="K9" s="2">
        <v>4.3344198188278824</v>
      </c>
      <c r="L9" s="2">
        <v>4.4198192623443902</v>
      </c>
      <c r="M9" s="2">
        <v>4.4988741052802652</v>
      </c>
      <c r="N9" s="2">
        <v>4.6426507486030459</v>
      </c>
      <c r="O9" s="2">
        <v>4.6124524744227529</v>
      </c>
      <c r="P9" s="2">
        <v>4.5174896530807018</v>
      </c>
      <c r="Q9" s="2">
        <v>4.3248913348652422</v>
      </c>
      <c r="R9" s="2">
        <v>3.937987617682666</v>
      </c>
      <c r="S9" s="2">
        <v>3.1266012629494071</v>
      </c>
      <c r="T9" s="2">
        <v>2.383985250955448</v>
      </c>
      <c r="U9" s="2">
        <v>1.85780697222799</v>
      </c>
      <c r="V9" s="2">
        <v>1.043996205902658</v>
      </c>
      <c r="W9" s="2">
        <v>0.65444575605215505</v>
      </c>
      <c r="X9" s="2">
        <v>0.3340200184029527</v>
      </c>
      <c r="Y9" s="2">
        <v>0.21556783185224049</v>
      </c>
      <c r="Z9" s="2">
        <v>0.15269839041866359</v>
      </c>
    </row>
    <row r="10" spans="1:26" x14ac:dyDescent="0.25">
      <c r="A10" s="2">
        <v>6.5512860000000003E-4</v>
      </c>
      <c r="B10" s="2">
        <v>3.0140202215407039</v>
      </c>
      <c r="C10" s="2">
        <v>3.016784084495157</v>
      </c>
      <c r="D10" s="2">
        <v>3.0797776057152082</v>
      </c>
      <c r="E10" s="2">
        <v>3.1247821570141241</v>
      </c>
      <c r="F10" s="2">
        <v>3.2590761476894841</v>
      </c>
      <c r="G10" s="2">
        <v>3.4297495990758762</v>
      </c>
      <c r="H10" s="2">
        <v>3.5583715850953008</v>
      </c>
      <c r="I10" s="2">
        <v>3.7134587609907612</v>
      </c>
      <c r="J10" s="2">
        <v>3.8501071089413021</v>
      </c>
      <c r="K10" s="2">
        <v>3.962794596911408</v>
      </c>
      <c r="L10" s="2">
        <v>4.050029031932354</v>
      </c>
      <c r="M10" s="2">
        <v>4.1306324659381062</v>
      </c>
      <c r="N10" s="2">
        <v>4.2724840969312936</v>
      </c>
      <c r="O10" s="2">
        <v>4.2313665461260834</v>
      </c>
      <c r="P10" s="2">
        <v>4.1259341035038233</v>
      </c>
      <c r="Q10" s="2">
        <v>3.9251319286413491</v>
      </c>
      <c r="R10" s="2">
        <v>3.532095969188958</v>
      </c>
      <c r="S10" s="2">
        <v>2.7461784838233139</v>
      </c>
      <c r="T10" s="2">
        <v>2.0502896392717962</v>
      </c>
      <c r="U10" s="2">
        <v>1.5706303120823579</v>
      </c>
      <c r="V10" s="2">
        <v>0.86039111879654229</v>
      </c>
      <c r="W10" s="2">
        <v>0.53704573109280318</v>
      </c>
      <c r="X10" s="2">
        <v>0.2750088119355496</v>
      </c>
      <c r="Y10" s="2">
        <v>0.17760719510260969</v>
      </c>
      <c r="Z10" s="2">
        <v>0.1256375718949129</v>
      </c>
    </row>
    <row r="11" spans="1:26" x14ac:dyDescent="0.25">
      <c r="A11" s="2">
        <v>8.2864280000000004E-4</v>
      </c>
      <c r="B11" s="2">
        <v>2.6535293023334821</v>
      </c>
      <c r="C11" s="2">
        <v>2.6559559658635412</v>
      </c>
      <c r="D11" s="2">
        <v>2.7166776193771511</v>
      </c>
      <c r="E11" s="2">
        <v>2.7601908883079891</v>
      </c>
      <c r="F11" s="2">
        <v>2.8911763235228141</v>
      </c>
      <c r="G11" s="2">
        <v>3.0594964000629261</v>
      </c>
      <c r="H11" s="2">
        <v>3.1873049356509</v>
      </c>
      <c r="I11" s="2">
        <v>3.341568217612803</v>
      </c>
      <c r="J11" s="2">
        <v>3.477732870029286</v>
      </c>
      <c r="K11" s="2">
        <v>3.590235860785469</v>
      </c>
      <c r="L11" s="2">
        <v>3.6778617706149821</v>
      </c>
      <c r="M11" s="2">
        <v>3.758716818527319</v>
      </c>
      <c r="N11" s="2">
        <v>3.896810726262629</v>
      </c>
      <c r="O11" s="2">
        <v>3.846113323001191</v>
      </c>
      <c r="P11" s="2">
        <v>3.7328261050861329</v>
      </c>
      <c r="Q11" s="2">
        <v>3.528443685267121</v>
      </c>
      <c r="R11" s="2">
        <v>3.1376044386997819</v>
      </c>
      <c r="S11" s="2">
        <v>2.3878857749514282</v>
      </c>
      <c r="T11" s="2">
        <v>1.744467283366248</v>
      </c>
      <c r="U11" s="2">
        <v>1.3138645904837181</v>
      </c>
      <c r="V11" s="2">
        <v>0.70462233212310821</v>
      </c>
      <c r="W11" s="2">
        <v>0.43915155873401091</v>
      </c>
      <c r="X11" s="2">
        <v>0.2255167953553609</v>
      </c>
      <c r="Y11" s="2">
        <v>0.14555221580667421</v>
      </c>
      <c r="Z11" s="2">
        <v>0.102720800001407</v>
      </c>
    </row>
    <row r="12" spans="1:26" x14ac:dyDescent="0.25">
      <c r="A12" s="2">
        <v>1.048113E-3</v>
      </c>
      <c r="B12" s="2">
        <v>2.3125683418475091</v>
      </c>
      <c r="C12" s="2">
        <v>2.314659006777219</v>
      </c>
      <c r="D12" s="2">
        <v>2.372336875996552</v>
      </c>
      <c r="E12" s="2">
        <v>2.4137915496248752</v>
      </c>
      <c r="F12" s="2">
        <v>2.5395203171065082</v>
      </c>
      <c r="G12" s="2">
        <v>2.7030375945614651</v>
      </c>
      <c r="H12" s="2">
        <v>2.828048958559521</v>
      </c>
      <c r="I12" s="2">
        <v>2.9790713519905689</v>
      </c>
      <c r="J12" s="2">
        <v>3.112665046704933</v>
      </c>
      <c r="K12" s="2">
        <v>3.2232695497805248</v>
      </c>
      <c r="L12" s="2">
        <v>3.3099763087229799</v>
      </c>
      <c r="M12" s="2">
        <v>3.3898728836793448</v>
      </c>
      <c r="N12" s="2">
        <v>3.5228296752320598</v>
      </c>
      <c r="O12" s="2">
        <v>3.4642175061162561</v>
      </c>
      <c r="P12" s="2">
        <v>3.3457077739294618</v>
      </c>
      <c r="Q12" s="2">
        <v>3.141879719216377</v>
      </c>
      <c r="R12" s="2">
        <v>2.7602106118574739</v>
      </c>
      <c r="S12" s="2">
        <v>2.054714237689041</v>
      </c>
      <c r="T12" s="2">
        <v>1.4679778958670791</v>
      </c>
      <c r="U12" s="2">
        <v>1.0878303044009949</v>
      </c>
      <c r="V12" s="2">
        <v>0.57393506518565118</v>
      </c>
      <c r="W12" s="2">
        <v>0.35781700126244681</v>
      </c>
      <c r="X12" s="2">
        <v>0.18404899301822289</v>
      </c>
      <c r="Y12" s="2">
        <v>0.11855513048067221</v>
      </c>
      <c r="Z12" s="2">
        <v>8.3379505580523899E-2</v>
      </c>
    </row>
    <row r="13" spans="1:26" x14ac:dyDescent="0.25">
      <c r="A13" s="2">
        <v>1.325711E-3</v>
      </c>
      <c r="B13" s="2">
        <v>1.993954722885974</v>
      </c>
      <c r="C13" s="2">
        <v>1.9957308215671219</v>
      </c>
      <c r="D13" s="2">
        <v>2.0498089023167272</v>
      </c>
      <c r="E13" s="2">
        <v>2.0887752744602039</v>
      </c>
      <c r="F13" s="2">
        <v>2.2077351484913379</v>
      </c>
      <c r="G13" s="2">
        <v>2.3644629596965392</v>
      </c>
      <c r="H13" s="2">
        <v>2.485080559970811</v>
      </c>
      <c r="I13" s="2">
        <v>2.6309094963944522</v>
      </c>
      <c r="J13" s="2">
        <v>2.7601590229314752</v>
      </c>
      <c r="K13" s="2">
        <v>2.8673983399057761</v>
      </c>
      <c r="L13" s="2">
        <v>2.9520130164455618</v>
      </c>
      <c r="M13" s="2">
        <v>3.029936530510895</v>
      </c>
      <c r="N13" s="2">
        <v>3.1567400841740891</v>
      </c>
      <c r="O13" s="2">
        <v>3.0920125389238819</v>
      </c>
      <c r="P13" s="2">
        <v>2.9707930939039211</v>
      </c>
      <c r="Q13" s="2">
        <v>2.771039704442956</v>
      </c>
      <c r="R13" s="2">
        <v>2.404084365000017</v>
      </c>
      <c r="S13" s="2">
        <v>1.7487143765902149</v>
      </c>
      <c r="T13" s="2">
        <v>1.221657716669142</v>
      </c>
      <c r="U13" s="2">
        <v>0.8919842162868008</v>
      </c>
      <c r="V13" s="2">
        <v>0.46526778949191788</v>
      </c>
      <c r="W13" s="2">
        <v>0.29040165612241248</v>
      </c>
      <c r="X13" s="2">
        <v>0.14934022533998359</v>
      </c>
      <c r="Y13" s="2">
        <v>9.5872739300830206E-2</v>
      </c>
      <c r="Z13" s="2">
        <v>6.7127486698154798E-2</v>
      </c>
    </row>
    <row r="14" spans="1:26" x14ac:dyDescent="0.25">
      <c r="A14" s="2">
        <v>1.676833E-3</v>
      </c>
      <c r="B14" s="2">
        <v>1.6997255242895331</v>
      </c>
      <c r="C14" s="2">
        <v>1.7011994521017191</v>
      </c>
      <c r="D14" s="2">
        <v>1.7512642117217181</v>
      </c>
      <c r="E14" s="2">
        <v>1.7874360498390161</v>
      </c>
      <c r="F14" s="2">
        <v>1.8984813971328549</v>
      </c>
      <c r="G14" s="2">
        <v>2.046891637553927</v>
      </c>
      <c r="H14" s="2">
        <v>2.1617926011967938</v>
      </c>
      <c r="I14" s="2">
        <v>2.3008612386474852</v>
      </c>
      <c r="J14" s="2">
        <v>2.4243477756390348</v>
      </c>
      <c r="K14" s="2">
        <v>2.5270273347268808</v>
      </c>
      <c r="L14" s="2">
        <v>2.6085947419633162</v>
      </c>
      <c r="M14" s="2">
        <v>2.6836644407594581</v>
      </c>
      <c r="N14" s="2">
        <v>2.8035797051852569</v>
      </c>
      <c r="O14" s="2">
        <v>2.7345583376009022</v>
      </c>
      <c r="P14" s="2">
        <v>2.6129143402213231</v>
      </c>
      <c r="Q14" s="2">
        <v>2.4201115543255578</v>
      </c>
      <c r="R14" s="2">
        <v>2.072194660431705</v>
      </c>
      <c r="S14" s="2">
        <v>1.4712489440571519</v>
      </c>
      <c r="T14" s="2">
        <v>1.0056030865525829</v>
      </c>
      <c r="U14" s="2">
        <v>0.72491771541535854</v>
      </c>
      <c r="V14" s="2">
        <v>0.37547315502888517</v>
      </c>
      <c r="W14" s="2">
        <v>0.23461748048430309</v>
      </c>
      <c r="X14" s="2">
        <v>0.12037220662750769</v>
      </c>
      <c r="Y14" s="2">
        <v>7.6917434533242998E-2</v>
      </c>
      <c r="Z14" s="2">
        <v>5.3535726874542798E-2</v>
      </c>
    </row>
    <row r="15" spans="1:26" x14ac:dyDescent="0.25">
      <c r="A15" s="2">
        <v>2.1209509999999998E-3</v>
      </c>
      <c r="B15" s="2">
        <v>1.431243818427901</v>
      </c>
      <c r="C15" s="2">
        <v>1.432452911540167</v>
      </c>
      <c r="D15" s="2">
        <v>1.4781981817504859</v>
      </c>
      <c r="E15" s="2">
        <v>1.5113461716973691</v>
      </c>
      <c r="F15" s="2">
        <v>1.613643933407729</v>
      </c>
      <c r="G15" s="2">
        <v>1.7524539426085539</v>
      </c>
      <c r="H15" s="2">
        <v>1.8606229366560001</v>
      </c>
      <c r="I15" s="2">
        <v>1.991662311338587</v>
      </c>
      <c r="J15" s="2">
        <v>2.10828734486131</v>
      </c>
      <c r="K15" s="2">
        <v>2.205492832086748</v>
      </c>
      <c r="L15" s="2">
        <v>2.2832047351985238</v>
      </c>
      <c r="M15" s="2">
        <v>2.354712304542772</v>
      </c>
      <c r="N15" s="2">
        <v>2.4672240846557538</v>
      </c>
      <c r="O15" s="2">
        <v>2.395650302059948</v>
      </c>
      <c r="P15" s="2">
        <v>2.275594456121325</v>
      </c>
      <c r="Q15" s="2">
        <v>2.0920941338408738</v>
      </c>
      <c r="R15" s="2">
        <v>1.7665366365108639</v>
      </c>
      <c r="S15" s="2">
        <v>1.22316220565699</v>
      </c>
      <c r="T15" s="2">
        <v>0.81913415278540924</v>
      </c>
      <c r="U15" s="2">
        <v>0.58447192655876279</v>
      </c>
      <c r="V15" s="2">
        <v>0.30163168805302121</v>
      </c>
      <c r="W15" s="2">
        <v>0.18852014714502729</v>
      </c>
      <c r="X15" s="2">
        <v>9.6273093440686297E-2</v>
      </c>
      <c r="Y15" s="2">
        <v>6.1141479418438303E-2</v>
      </c>
      <c r="Z15" s="2">
        <v>4.2218219052301699E-2</v>
      </c>
    </row>
    <row r="16" spans="1:26" x14ac:dyDescent="0.25">
      <c r="A16" s="2">
        <v>2.682696E-3</v>
      </c>
      <c r="B16" s="2">
        <v>1.189409613900352</v>
      </c>
      <c r="C16" s="2">
        <v>1.1903802659362559</v>
      </c>
      <c r="D16" s="2">
        <v>1.2315971787029409</v>
      </c>
      <c r="E16" s="2">
        <v>1.2615345051162881</v>
      </c>
      <c r="F16" s="2">
        <v>1.3544613518170081</v>
      </c>
      <c r="G16" s="2">
        <v>1.4826645564462519</v>
      </c>
      <c r="H16" s="2">
        <v>1.583224157802761</v>
      </c>
      <c r="I16" s="2">
        <v>1.705297797481762</v>
      </c>
      <c r="J16" s="2">
        <v>1.8141888464160729</v>
      </c>
      <c r="K16" s="2">
        <v>1.9051912780269049</v>
      </c>
      <c r="L16" s="2">
        <v>1.978404380090069</v>
      </c>
      <c r="M16" s="2">
        <v>2.0458045591658451</v>
      </c>
      <c r="N16" s="2">
        <v>2.1505392813123758</v>
      </c>
      <c r="O16" s="2">
        <v>2.0779862214694731</v>
      </c>
      <c r="P16" s="2">
        <v>1.961355264647864</v>
      </c>
      <c r="Q16" s="2">
        <v>1.788965299376287</v>
      </c>
      <c r="R16" s="2">
        <v>1.488406998920254</v>
      </c>
      <c r="S16" s="2">
        <v>1.0047118482762021</v>
      </c>
      <c r="T16" s="2">
        <v>0.66075945313787088</v>
      </c>
      <c r="U16" s="2">
        <v>0.46788329002447421</v>
      </c>
      <c r="V16" s="2">
        <v>0.2410802779195364</v>
      </c>
      <c r="W16" s="2">
        <v>0.15051328587287571</v>
      </c>
      <c r="X16" s="2">
        <v>7.6331502445100299E-2</v>
      </c>
      <c r="Y16" s="2">
        <v>4.8098241055413299E-2</v>
      </c>
      <c r="Z16" s="2">
        <v>3.2859704631846398E-2</v>
      </c>
    </row>
    <row r="17" spans="1:26" x14ac:dyDescent="0.25">
      <c r="A17" s="2">
        <v>3.393222E-3</v>
      </c>
      <c r="B17" s="2">
        <v>0.97464939196652278</v>
      </c>
      <c r="C17" s="2">
        <v>0.97541749716037884</v>
      </c>
      <c r="D17" s="2">
        <v>1.0119633123103999</v>
      </c>
      <c r="E17" s="2">
        <v>1.0385909021133559</v>
      </c>
      <c r="F17" s="2">
        <v>1.1217181741521931</v>
      </c>
      <c r="G17" s="2">
        <v>1.238415942309075</v>
      </c>
      <c r="H17" s="2">
        <v>1.330697836121544</v>
      </c>
      <c r="I17" s="2">
        <v>1.4429994869424261</v>
      </c>
      <c r="J17" s="2">
        <v>1.543503918073839</v>
      </c>
      <c r="K17" s="2">
        <v>1.6277643454814099</v>
      </c>
      <c r="L17" s="2">
        <v>1.695997964183334</v>
      </c>
      <c r="M17" s="2">
        <v>1.7588238715252369</v>
      </c>
      <c r="N17" s="2">
        <v>1.8555139616364611</v>
      </c>
      <c r="O17" s="2">
        <v>1.783455683791545</v>
      </c>
      <c r="P17" s="2">
        <v>1.6718148897634819</v>
      </c>
      <c r="Q17" s="2">
        <v>1.5120528929401189</v>
      </c>
      <c r="R17" s="2">
        <v>1.238605839258526</v>
      </c>
      <c r="S17" s="2">
        <v>0.81548340030713007</v>
      </c>
      <c r="T17" s="2">
        <v>0.52827849448658526</v>
      </c>
      <c r="U17" s="2">
        <v>0.3721209612267557</v>
      </c>
      <c r="V17" s="2">
        <v>0.1915740347176324</v>
      </c>
      <c r="W17" s="2">
        <v>0.11926227353978899</v>
      </c>
      <c r="X17" s="2">
        <v>5.9921494284935699E-2</v>
      </c>
      <c r="Y17" s="2">
        <v>3.7367358519986703E-2</v>
      </c>
      <c r="Z17" s="2">
        <v>2.5174392090775599E-2</v>
      </c>
    </row>
    <row r="18" spans="1:26" x14ac:dyDescent="0.25">
      <c r="A18" s="2">
        <v>4.2919339999999999E-3</v>
      </c>
      <c r="B18" s="2">
        <v>0.78697227066732012</v>
      </c>
      <c r="C18" s="2">
        <v>0.78757091302395565</v>
      </c>
      <c r="D18" s="2">
        <v>0.81939878009143285</v>
      </c>
      <c r="E18" s="2">
        <v>0.8426686218008399</v>
      </c>
      <c r="F18" s="2">
        <v>0.91576709621585917</v>
      </c>
      <c r="G18" s="2">
        <v>1.0202849636989411</v>
      </c>
      <c r="H18" s="2">
        <v>1.10368367353658</v>
      </c>
      <c r="I18" s="2">
        <v>1.2055821332178309</v>
      </c>
      <c r="J18" s="2">
        <v>1.2971874228096569</v>
      </c>
      <c r="K18" s="2">
        <v>1.374271456137649</v>
      </c>
      <c r="L18" s="2">
        <v>1.4371197858563389</v>
      </c>
      <c r="M18" s="2">
        <v>1.4950494354707189</v>
      </c>
      <c r="N18" s="2">
        <v>1.583522674569394</v>
      </c>
      <c r="O18" s="2">
        <v>1.513266130554257</v>
      </c>
      <c r="P18" s="2">
        <v>1.408047199249268</v>
      </c>
      <c r="Q18" s="2">
        <v>1.262153103249148</v>
      </c>
      <c r="R18" s="2">
        <v>1.017479841539171</v>
      </c>
      <c r="S18" s="2">
        <v>0.65435367490863428</v>
      </c>
      <c r="T18" s="2">
        <v>0.41894862952176481</v>
      </c>
      <c r="U18" s="2">
        <v>0.2940990076167509</v>
      </c>
      <c r="V18" s="2">
        <v>0.15120084406225939</v>
      </c>
      <c r="W18" s="2">
        <v>9.3697365293337498E-2</v>
      </c>
      <c r="X18" s="2">
        <v>4.6509202606102903E-2</v>
      </c>
      <c r="Y18" s="2">
        <v>2.86098602682614E-2</v>
      </c>
      <c r="Z18" s="2">
        <v>1.89225143494695E-2</v>
      </c>
    </row>
    <row r="19" spans="1:26" x14ac:dyDescent="0.25">
      <c r="A19" s="2">
        <v>5.428675E-3</v>
      </c>
      <c r="B19" s="2">
        <v>0.62586014264525147</v>
      </c>
      <c r="C19" s="2">
        <v>0.62632037291041343</v>
      </c>
      <c r="D19" s="2">
        <v>0.65349049525684677</v>
      </c>
      <c r="E19" s="2">
        <v>0.67343624675413594</v>
      </c>
      <c r="F19" s="2">
        <v>0.73649574481532909</v>
      </c>
      <c r="G19" s="2">
        <v>0.82838733322569169</v>
      </c>
      <c r="H19" s="2">
        <v>0.90248301104293205</v>
      </c>
      <c r="I19" s="2">
        <v>0.99351491233028355</v>
      </c>
      <c r="J19" s="2">
        <v>1.0758090866802379</v>
      </c>
      <c r="K19" s="2">
        <v>1.145387947581185</v>
      </c>
      <c r="L19" s="2">
        <v>1.2025483913239441</v>
      </c>
      <c r="M19" s="2">
        <v>1.2553130784217501</v>
      </c>
      <c r="N19" s="2">
        <v>1.3353892166924199</v>
      </c>
      <c r="O19" s="2">
        <v>1.2682068056601561</v>
      </c>
      <c r="P19" s="2">
        <v>1.1706830459297639</v>
      </c>
      <c r="Q19" s="2">
        <v>1.0396567230345679</v>
      </c>
      <c r="R19" s="2">
        <v>0.82486134886858054</v>
      </c>
      <c r="S19" s="2">
        <v>0.51944070565514266</v>
      </c>
      <c r="T19" s="2">
        <v>0.32976938379579218</v>
      </c>
      <c r="U19" s="2">
        <v>0.23096497483493289</v>
      </c>
      <c r="V19" s="2">
        <v>0.1183902122429572</v>
      </c>
      <c r="W19" s="2">
        <v>7.2896492041763794E-2</v>
      </c>
      <c r="X19" s="2">
        <v>3.5637597231470801E-2</v>
      </c>
      <c r="Y19" s="2">
        <v>2.15302621436421E-2</v>
      </c>
      <c r="Z19" s="2">
        <v>1.3903143109928301E-2</v>
      </c>
    </row>
    <row r="20" spans="1:26" x14ac:dyDescent="0.25">
      <c r="A20" s="2">
        <v>6.8664879999999996E-3</v>
      </c>
      <c r="B20" s="2">
        <v>0.49018576629532618</v>
      </c>
      <c r="C20" s="2">
        <v>0.49053357820957899</v>
      </c>
      <c r="D20" s="2">
        <v>0.51325307553997845</v>
      </c>
      <c r="E20" s="2">
        <v>0.52999075354455272</v>
      </c>
      <c r="F20" s="2">
        <v>0.58328321170120034</v>
      </c>
      <c r="G20" s="2">
        <v>0.6624500043290027</v>
      </c>
      <c r="H20" s="2">
        <v>0.72700980688023265</v>
      </c>
      <c r="I20" s="2">
        <v>0.80688872098107822</v>
      </c>
      <c r="J20" s="2">
        <v>0.87961362523492426</v>
      </c>
      <c r="K20" s="2">
        <v>0.94147145895840356</v>
      </c>
      <c r="L20" s="2">
        <v>0.99268622017552843</v>
      </c>
      <c r="M20" s="2">
        <v>1.040100251506374</v>
      </c>
      <c r="N20" s="2">
        <v>1.1117119972768701</v>
      </c>
      <c r="O20" s="2">
        <v>1.048768609034596</v>
      </c>
      <c r="P20" s="2">
        <v>0.96005355549277738</v>
      </c>
      <c r="Q20" s="2">
        <v>0.84458440527669154</v>
      </c>
      <c r="R20" s="2">
        <v>0.65997113127377816</v>
      </c>
      <c r="S20" s="2">
        <v>0.40828687720932061</v>
      </c>
      <c r="T20" s="2">
        <v>0.25771507553872652</v>
      </c>
      <c r="U20" s="2">
        <v>0.18014729220885781</v>
      </c>
      <c r="V20" s="2">
        <v>9.1883711917034802E-2</v>
      </c>
      <c r="W20" s="2">
        <v>5.6112576439772903E-2</v>
      </c>
      <c r="X20" s="2">
        <v>2.6901886512860001E-2</v>
      </c>
      <c r="Y20" s="2">
        <v>1.5865411617596602E-2</v>
      </c>
      <c r="Z20" s="2">
        <v>9.9432196643647001E-3</v>
      </c>
    </row>
    <row r="21" spans="1:26" x14ac:dyDescent="0.25">
      <c r="A21" s="2">
        <v>8.6851140000000007E-3</v>
      </c>
      <c r="B21" s="2">
        <v>0.37823593342545792</v>
      </c>
      <c r="C21" s="2">
        <v>0.37849693105818</v>
      </c>
      <c r="D21" s="2">
        <v>0.39708042836355162</v>
      </c>
      <c r="E21" s="2">
        <v>0.4108256900744891</v>
      </c>
      <c r="F21" s="2">
        <v>0.45490793288445269</v>
      </c>
      <c r="G21" s="2">
        <v>0.52162726448659669</v>
      </c>
      <c r="H21" s="2">
        <v>0.57670663399221667</v>
      </c>
      <c r="I21" s="2">
        <v>0.64543005851010093</v>
      </c>
      <c r="J21" s="2">
        <v>0.70851409397255338</v>
      </c>
      <c r="K21" s="2">
        <v>0.76254415316907398</v>
      </c>
      <c r="L21" s="2">
        <v>0.8076762438431615</v>
      </c>
      <c r="M21" s="2">
        <v>0.84958523808381869</v>
      </c>
      <c r="N21" s="2">
        <v>0.91273815430758998</v>
      </c>
      <c r="O21" s="2">
        <v>0.85510275975684635</v>
      </c>
      <c r="P21" s="2">
        <v>0.77609503315761685</v>
      </c>
      <c r="Q21" s="2">
        <v>0.67646563789458014</v>
      </c>
      <c r="R21" s="2">
        <v>0.52136199871893041</v>
      </c>
      <c r="S21" s="2">
        <v>0.31800604381714948</v>
      </c>
      <c r="T21" s="2">
        <v>0.1999703608016716</v>
      </c>
      <c r="U21" s="2">
        <v>0.13945902595878579</v>
      </c>
      <c r="V21" s="2">
        <v>7.0611394727166002E-2</v>
      </c>
      <c r="W21" s="2">
        <v>4.2679076170315897E-2</v>
      </c>
      <c r="X21" s="2">
        <v>1.9953642013206201E-2</v>
      </c>
      <c r="Y21" s="2">
        <v>1.1408464783926301E-2</v>
      </c>
      <c r="Z21" s="2">
        <v>6.8760937429033003E-3</v>
      </c>
    </row>
    <row r="22" spans="1:26" x14ac:dyDescent="0.25">
      <c r="A22" s="2">
        <v>1.0985409999999999E-2</v>
      </c>
      <c r="B22" s="2">
        <v>0.28772647768619208</v>
      </c>
      <c r="C22" s="2">
        <v>0.28792089222406497</v>
      </c>
      <c r="D22" s="2">
        <v>0.3027970442999503</v>
      </c>
      <c r="E22" s="2">
        <v>0.3138534085846913</v>
      </c>
      <c r="F22" s="2">
        <v>0.34954620809639891</v>
      </c>
      <c r="G22" s="2">
        <v>0.40452908325642051</v>
      </c>
      <c r="H22" s="2">
        <v>0.45048871483322728</v>
      </c>
      <c r="I22" s="2">
        <v>0.50836363337657531</v>
      </c>
      <c r="J22" s="2">
        <v>0.56197405578041071</v>
      </c>
      <c r="K22" s="2">
        <v>0.60825881309392571</v>
      </c>
      <c r="L22" s="2">
        <v>0.64726817076370935</v>
      </c>
      <c r="M22" s="2">
        <v>0.68365462150359235</v>
      </c>
      <c r="N22" s="2">
        <v>0.73845768251339905</v>
      </c>
      <c r="O22" s="2">
        <v>0.68699360086611705</v>
      </c>
      <c r="P22" s="2">
        <v>0.61825569749635179</v>
      </c>
      <c r="Q22" s="2">
        <v>0.53426289513299707</v>
      </c>
      <c r="R22" s="2">
        <v>0.40697061472747009</v>
      </c>
      <c r="S22" s="2">
        <v>0.24560119381931139</v>
      </c>
      <c r="T22" s="2">
        <v>0.1540059880717308</v>
      </c>
      <c r="U22" s="2">
        <v>0.10707252000429431</v>
      </c>
      <c r="V22" s="2">
        <v>5.3666726620576803E-2</v>
      </c>
      <c r="W22" s="2">
        <v>3.2038637962614303E-2</v>
      </c>
      <c r="X22" s="2">
        <v>1.44913633289434E-2</v>
      </c>
      <c r="Y22" s="2">
        <v>7.9618686227148992E-3</v>
      </c>
      <c r="Z22" s="2">
        <v>4.5775337657687001E-3</v>
      </c>
    </row>
    <row r="23" spans="1:26" x14ac:dyDescent="0.25">
      <c r="A23" s="2">
        <v>1.389495E-2</v>
      </c>
      <c r="B23" s="2">
        <v>0.21600190183744411</v>
      </c>
      <c r="C23" s="2">
        <v>0.2161453334342695</v>
      </c>
      <c r="D23" s="2">
        <v>0.22782835171847179</v>
      </c>
      <c r="E23" s="2">
        <v>0.23653217618903</v>
      </c>
      <c r="F23" s="2">
        <v>0.26484043999516871</v>
      </c>
      <c r="G23" s="2">
        <v>0.30916887157354722</v>
      </c>
      <c r="H23" s="2">
        <v>0.34666302046343839</v>
      </c>
      <c r="I23" s="2">
        <v>0.39433558318728501</v>
      </c>
      <c r="J23" s="2">
        <v>0.43893822531845211</v>
      </c>
      <c r="K23" s="2">
        <v>0.47774983183899161</v>
      </c>
      <c r="L23" s="2">
        <v>0.51077139198605437</v>
      </c>
      <c r="M23" s="2">
        <v>0.54172281135288358</v>
      </c>
      <c r="N23" s="2">
        <v>0.58845051337630139</v>
      </c>
      <c r="O23" s="2">
        <v>0.5437441371686873</v>
      </c>
      <c r="P23" s="2">
        <v>0.48541307078266982</v>
      </c>
      <c r="Q23" s="2">
        <v>0.41629414461931441</v>
      </c>
      <c r="R23" s="2">
        <v>0.31418182668858208</v>
      </c>
      <c r="S23" s="2">
        <v>0.18816406585392539</v>
      </c>
      <c r="T23" s="2">
        <v>0.11767074422095899</v>
      </c>
      <c r="U23" s="2">
        <v>8.1463542479468701E-2</v>
      </c>
      <c r="V23" s="2">
        <v>4.0313399915248703E-2</v>
      </c>
      <c r="W23" s="2">
        <v>2.3683135398641701E-2</v>
      </c>
      <c r="X23" s="2">
        <v>1.0273091706039799E-2</v>
      </c>
      <c r="Y23" s="2">
        <v>5.3681243941808999E-3</v>
      </c>
      <c r="Z23" s="2">
        <v>2.9084787044837E-3</v>
      </c>
    </row>
    <row r="24" spans="1:26" x14ac:dyDescent="0.25">
      <c r="A24" s="2">
        <v>1.7575110000000001E-2</v>
      </c>
      <c r="B24" s="2">
        <v>0.1602190604962743</v>
      </c>
      <c r="C24" s="2">
        <v>0.1603212251873174</v>
      </c>
      <c r="D24" s="2">
        <v>0.16932608251136111</v>
      </c>
      <c r="E24" s="2">
        <v>0.17605752974850469</v>
      </c>
      <c r="F24" s="2">
        <v>0.19808998266296379</v>
      </c>
      <c r="G24" s="2">
        <v>0.2330806532394831</v>
      </c>
      <c r="H24" s="2">
        <v>0.2630043904592867</v>
      </c>
      <c r="I24" s="2">
        <v>0.30144028845643328</v>
      </c>
      <c r="J24" s="2">
        <v>0.33773680575973231</v>
      </c>
      <c r="K24" s="2">
        <v>0.36957785242998398</v>
      </c>
      <c r="L24" s="2">
        <v>0.39693186139720638</v>
      </c>
      <c r="M24" s="2">
        <v>0.42270103787177499</v>
      </c>
      <c r="N24" s="2">
        <v>0.46176685379214177</v>
      </c>
      <c r="O24" s="2">
        <v>0.424070585748268</v>
      </c>
      <c r="P24" s="2">
        <v>0.37584733118274011</v>
      </c>
      <c r="Q24" s="2">
        <v>0.32030088131432422</v>
      </c>
      <c r="R24" s="2">
        <v>0.2401085968740517</v>
      </c>
      <c r="S24" s="2">
        <v>0.1430181617470225</v>
      </c>
      <c r="T24" s="2">
        <v>8.9142684264515895E-2</v>
      </c>
      <c r="U24" s="2">
        <v>6.13656983041437E-2</v>
      </c>
      <c r="V24" s="2">
        <v>2.9883045500355299E-2</v>
      </c>
      <c r="W24" s="2">
        <v>1.72019516439831E-2</v>
      </c>
      <c r="X24" s="2">
        <v>7.0740777071591002E-3</v>
      </c>
      <c r="Y24" s="2">
        <v>3.4651793191641999E-3</v>
      </c>
      <c r="Z24" s="2">
        <v>1.7420643766286E-3</v>
      </c>
    </row>
    <row r="25" spans="1:26" x14ac:dyDescent="0.25">
      <c r="A25" s="2">
        <v>2.222996E-2</v>
      </c>
      <c r="B25" s="2">
        <v>0.1175477097727792</v>
      </c>
      <c r="C25" s="2">
        <v>0.1176210018326173</v>
      </c>
      <c r="D25" s="2">
        <v>0.1244622452862245</v>
      </c>
      <c r="E25" s="2">
        <v>0.12959122938198669</v>
      </c>
      <c r="F25" s="2">
        <v>0.14643672001296429</v>
      </c>
      <c r="G25" s="2">
        <v>0.17354581212066469</v>
      </c>
      <c r="H25" s="2">
        <v>0.19695248868964649</v>
      </c>
      <c r="I25" s="2">
        <v>0.2273027806058962</v>
      </c>
      <c r="J25" s="2">
        <v>0.2562123458404954</v>
      </c>
      <c r="K25" s="2">
        <v>0.2817844402224523</v>
      </c>
      <c r="L25" s="2">
        <v>0.30392039846776697</v>
      </c>
      <c r="M25" s="2">
        <v>0.32492130963237281</v>
      </c>
      <c r="N25" s="2">
        <v>0.35694203767525318</v>
      </c>
      <c r="O25" s="2">
        <v>0.32608295855789038</v>
      </c>
      <c r="P25" s="2">
        <v>0.28723570335932891</v>
      </c>
      <c r="Q25" s="2">
        <v>0.2435885339291417</v>
      </c>
      <c r="R25" s="2">
        <v>0.18180599875631739</v>
      </c>
      <c r="S25" s="2">
        <v>0.10783751248891341</v>
      </c>
      <c r="T25" s="2">
        <v>6.6912245882121996E-2</v>
      </c>
      <c r="U25" s="2">
        <v>4.5739187571598401E-2</v>
      </c>
      <c r="V25" s="2">
        <v>2.1822607506692199E-2</v>
      </c>
      <c r="W25" s="2">
        <v>1.2240645848237299E-2</v>
      </c>
      <c r="X25" s="2">
        <v>4.7008048833275997E-3</v>
      </c>
      <c r="Y25" s="2">
        <v>2.1201509979817002E-3</v>
      </c>
      <c r="Z25" s="2">
        <v>9.6917503185519997E-4</v>
      </c>
    </row>
    <row r="26" spans="1:26" x14ac:dyDescent="0.25">
      <c r="A26" s="2">
        <v>2.8117690000000001E-2</v>
      </c>
      <c r="B26" s="2">
        <v>8.5402565253673401E-2</v>
      </c>
      <c r="C26" s="2">
        <v>8.5452945846896E-2</v>
      </c>
      <c r="D26" s="2">
        <v>9.0584175242128098E-2</v>
      </c>
      <c r="E26" s="2">
        <v>9.4439820896809495E-2</v>
      </c>
      <c r="F26" s="2">
        <v>0.10713312409467329</v>
      </c>
      <c r="G26" s="2">
        <v>0.12779774289084139</v>
      </c>
      <c r="H26" s="2">
        <v>0.14576664051583771</v>
      </c>
      <c r="I26" s="2">
        <v>0.1692885391930829</v>
      </c>
      <c r="J26" s="2">
        <v>0.1918699154503542</v>
      </c>
      <c r="K26" s="2">
        <v>0.2119701896696142</v>
      </c>
      <c r="L26" s="2">
        <v>0.22951410167365791</v>
      </c>
      <c r="M26" s="2">
        <v>0.24623171727607479</v>
      </c>
      <c r="N26" s="2">
        <v>0.27194289877979821</v>
      </c>
      <c r="O26" s="2">
        <v>0.2474407317859004</v>
      </c>
      <c r="P26" s="2">
        <v>0.21690680877509291</v>
      </c>
      <c r="Q26" s="2">
        <v>0.18331112528176161</v>
      </c>
      <c r="R26" s="2">
        <v>0.13646966177293501</v>
      </c>
      <c r="S26" s="2">
        <v>8.0634540625396697E-2</v>
      </c>
      <c r="T26" s="2">
        <v>4.9719784492481198E-2</v>
      </c>
      <c r="U26" s="2">
        <v>3.3685477994367802E-2</v>
      </c>
      <c r="V26" s="2">
        <v>1.5666062809941601E-2</v>
      </c>
      <c r="W26" s="2">
        <v>8.5056779705609993E-3</v>
      </c>
      <c r="X26" s="2">
        <v>2.9910714263223E-3</v>
      </c>
      <c r="Y26" s="2">
        <v>1.2282352707870001E-3</v>
      </c>
      <c r="Z26" s="2">
        <v>4.8987586706770005E-4</v>
      </c>
    </row>
    <row r="27" spans="1:26" x14ac:dyDescent="0.25">
      <c r="A27" s="2">
        <v>3.5564800000000001E-2</v>
      </c>
      <c r="B27" s="2">
        <v>6.1491962566833501E-2</v>
      </c>
      <c r="C27" s="2">
        <v>6.1524892154011399E-2</v>
      </c>
      <c r="D27" s="2">
        <v>6.5341135994003693E-2</v>
      </c>
      <c r="E27" s="2">
        <v>6.8209004511118096E-2</v>
      </c>
      <c r="F27" s="2">
        <v>7.7660764152824399E-2</v>
      </c>
      <c r="G27" s="2">
        <v>9.3177189360631005E-2</v>
      </c>
      <c r="H27" s="2">
        <v>0.1067520650781261</v>
      </c>
      <c r="I27" s="2">
        <v>0.124682215858229</v>
      </c>
      <c r="J27" s="2">
        <v>0.14201507175312139</v>
      </c>
      <c r="K27" s="2">
        <v>0.1575153677013077</v>
      </c>
      <c r="L27" s="2">
        <v>0.17113289260760919</v>
      </c>
      <c r="M27" s="2">
        <v>0.18417378261176509</v>
      </c>
      <c r="N27" s="2">
        <v>0.20439126067128649</v>
      </c>
      <c r="O27" s="2">
        <v>0.18549771776974919</v>
      </c>
      <c r="P27" s="2">
        <v>0.16204249667771359</v>
      </c>
      <c r="Q27" s="2">
        <v>0.13663958301458479</v>
      </c>
      <c r="R27" s="2">
        <v>0.1015686961627579</v>
      </c>
      <c r="S27" s="2">
        <v>5.9755986696472897E-2</v>
      </c>
      <c r="T27" s="2">
        <v>3.6549580485370797E-2</v>
      </c>
      <c r="U27" s="2">
        <v>2.4489585677201799E-2</v>
      </c>
      <c r="V27" s="2">
        <v>1.1013921593985201E-2</v>
      </c>
      <c r="W27" s="2">
        <v>5.7247290737976004E-3</v>
      </c>
      <c r="X27" s="2">
        <v>1.8261981420407999E-3</v>
      </c>
      <c r="Y27" s="2">
        <v>6.4371309419889995E-4</v>
      </c>
      <c r="Z27" s="2">
        <v>1.8676912713989999E-4</v>
      </c>
    </row>
    <row r="28" spans="1:26" x14ac:dyDescent="0.25">
      <c r="A28" s="2">
        <v>4.4984330000000003E-2</v>
      </c>
      <c r="B28" s="2">
        <v>4.3901457669789999E-2</v>
      </c>
      <c r="C28" s="2">
        <v>4.3922701952624203E-2</v>
      </c>
      <c r="D28" s="2">
        <v>4.6735836877132897E-2</v>
      </c>
      <c r="E28" s="2">
        <v>4.88476610476027E-2</v>
      </c>
      <c r="F28" s="2">
        <v>5.5809306377568597E-2</v>
      </c>
      <c r="G28" s="2">
        <v>6.7334061559904498E-2</v>
      </c>
      <c r="H28" s="2">
        <v>7.7449138073006907E-2</v>
      </c>
      <c r="I28" s="2">
        <v>9.09280938144547E-2</v>
      </c>
      <c r="J28" s="2">
        <v>0.104020223441239</v>
      </c>
      <c r="K28" s="2">
        <v>0.11577400468377159</v>
      </c>
      <c r="L28" s="2">
        <v>0.12615265345448279</v>
      </c>
      <c r="M28" s="2">
        <v>0.13613177508250371</v>
      </c>
      <c r="N28" s="2">
        <v>0.15173126035915629</v>
      </c>
      <c r="O28" s="2">
        <v>0.13751521277802681</v>
      </c>
      <c r="P28" s="2">
        <v>0.1198524838167713</v>
      </c>
      <c r="Q28" s="2">
        <v>0.1009554793026836</v>
      </c>
      <c r="R28" s="2">
        <v>7.4977973274599194E-2</v>
      </c>
      <c r="S28" s="2">
        <v>4.3868212174629599E-2</v>
      </c>
      <c r="T28" s="2">
        <v>2.6528977693530399E-2</v>
      </c>
      <c r="U28" s="2">
        <v>1.7513850769319099E-2</v>
      </c>
      <c r="V28" s="2">
        <v>7.5508890326999997E-3</v>
      </c>
      <c r="W28" s="2">
        <v>3.7423641947497998E-3</v>
      </c>
      <c r="X28" s="2">
        <v>1.0404560584618E-3</v>
      </c>
      <c r="Y28" s="2">
        <v>2.9872347113259998E-4</v>
      </c>
      <c r="Z28" s="2">
        <v>5.045690977567574E-5</v>
      </c>
    </row>
    <row r="29" spans="1:26" x14ac:dyDescent="0.25">
      <c r="A29" s="2">
        <v>5.6898659999999997E-2</v>
      </c>
      <c r="B29" s="2">
        <v>3.1084822974548801E-2</v>
      </c>
      <c r="C29" s="2">
        <v>3.1097178627419401E-2</v>
      </c>
      <c r="D29" s="2">
        <v>3.31482120269583E-2</v>
      </c>
      <c r="E29" s="2">
        <v>3.4693405079110499E-2</v>
      </c>
      <c r="F29" s="2">
        <v>3.9772592678730199E-2</v>
      </c>
      <c r="G29" s="2">
        <v>4.8247510388023301E-2</v>
      </c>
      <c r="H29" s="2">
        <v>5.56909983001787E-2</v>
      </c>
      <c r="I29" s="2">
        <v>6.5708183136962306E-2</v>
      </c>
      <c r="J29" s="2">
        <v>7.5479040776485803E-2</v>
      </c>
      <c r="K29" s="2">
        <v>8.42651910355698E-2</v>
      </c>
      <c r="L29" s="2">
        <v>9.2045845511051994E-2</v>
      </c>
      <c r="M29" s="2">
        <v>9.9555428073699603E-2</v>
      </c>
      <c r="N29" s="2">
        <v>0.1114007077549104</v>
      </c>
      <c r="O29" s="2">
        <v>0.10093869273855199</v>
      </c>
      <c r="P29" s="2">
        <v>8.78310334518346E-2</v>
      </c>
      <c r="Q29" s="2">
        <v>7.3936710836306901E-2</v>
      </c>
      <c r="R29" s="2">
        <v>5.48572602867523E-2</v>
      </c>
      <c r="S29" s="2">
        <v>3.1833371868287899E-2</v>
      </c>
      <c r="T29" s="2">
        <v>1.8960682351234898E-2</v>
      </c>
      <c r="U29" s="2">
        <v>1.22963666190116E-2</v>
      </c>
      <c r="V29" s="2">
        <v>5.0533954918136996E-3</v>
      </c>
      <c r="W29" s="2">
        <v>2.3643670870967001E-3</v>
      </c>
      <c r="X29" s="2">
        <v>5.3947870560470002E-4</v>
      </c>
      <c r="Y29" s="2">
        <v>9.9979887639989315E-5</v>
      </c>
      <c r="Z29" s="2"/>
    </row>
    <row r="30" spans="1:26" x14ac:dyDescent="0.25">
      <c r="A30" s="2">
        <v>7.1968569999999996E-2</v>
      </c>
      <c r="B30" s="2">
        <v>2.18023868669678E-2</v>
      </c>
      <c r="C30" s="2">
        <v>2.1809649087574101E-2</v>
      </c>
      <c r="D30" s="2">
        <v>2.3304309784636601E-2</v>
      </c>
      <c r="E30" s="2">
        <v>2.4430294580556101E-2</v>
      </c>
      <c r="F30" s="2">
        <v>2.8101598845417099E-2</v>
      </c>
      <c r="G30" s="2">
        <v>3.4282701034051399E-2</v>
      </c>
      <c r="H30" s="2">
        <v>3.9704212368881997E-2</v>
      </c>
      <c r="I30" s="2">
        <v>4.7070101838983101E-2</v>
      </c>
      <c r="J30" s="2">
        <v>5.4282561473172501E-2</v>
      </c>
      <c r="K30" s="2">
        <v>6.0776898643126701E-2</v>
      </c>
      <c r="L30" s="2">
        <v>6.6536219622292905E-2</v>
      </c>
      <c r="M30" s="2">
        <v>7.2104301543021096E-2</v>
      </c>
      <c r="N30" s="2">
        <v>8.0959697746834494E-2</v>
      </c>
      <c r="O30" s="2">
        <v>7.3427847963557696E-2</v>
      </c>
      <c r="P30" s="2">
        <v>6.3825125481344003E-2</v>
      </c>
      <c r="Q30" s="2">
        <v>5.3687226909516897E-2</v>
      </c>
      <c r="R30" s="2">
        <v>3.9761284439521198E-2</v>
      </c>
      <c r="S30" s="2">
        <v>2.2818673334771899E-2</v>
      </c>
      <c r="T30" s="2">
        <v>1.3336161574443299E-2</v>
      </c>
      <c r="U30" s="2">
        <v>8.4771061224273008E-3</v>
      </c>
      <c r="V30" s="2">
        <v>3.2835908968991E-3</v>
      </c>
      <c r="W30" s="2">
        <v>1.4132032585507E-3</v>
      </c>
      <c r="X30" s="2">
        <v>2.5353245954559998E-4</v>
      </c>
      <c r="Y30" s="2"/>
      <c r="Z30" s="2"/>
    </row>
    <row r="31" spans="1:26" x14ac:dyDescent="0.25">
      <c r="A31" s="2">
        <v>9.1029819999999997E-2</v>
      </c>
      <c r="B31" s="2">
        <v>1.51336448834697E-2</v>
      </c>
      <c r="C31" s="2">
        <v>1.51376100038831E-2</v>
      </c>
      <c r="D31" s="2">
        <v>1.6215152150841999E-2</v>
      </c>
      <c r="E31" s="2">
        <v>1.7030826733396499E-2</v>
      </c>
      <c r="F31" s="2">
        <v>1.9676470292331699E-2</v>
      </c>
      <c r="G31" s="2">
        <v>2.41424870182811E-2</v>
      </c>
      <c r="H31" s="2">
        <v>2.8063795762221799E-2</v>
      </c>
      <c r="I31" s="2">
        <v>3.3434368495477401E-2</v>
      </c>
      <c r="J31" s="2">
        <v>3.8708335254511797E-2</v>
      </c>
      <c r="K31" s="2">
        <v>4.3456987914680598E-2</v>
      </c>
      <c r="L31" s="2">
        <v>4.7674677858935803E-2</v>
      </c>
      <c r="M31" s="2">
        <v>5.1754325686829299E-2</v>
      </c>
      <c r="N31" s="2">
        <v>5.8297338141457503E-2</v>
      </c>
      <c r="O31" s="2">
        <v>5.2961374372898697E-2</v>
      </c>
      <c r="P31" s="2">
        <v>4.5992026074827601E-2</v>
      </c>
      <c r="Q31" s="2">
        <v>3.8653988102396397E-2</v>
      </c>
      <c r="R31" s="2">
        <v>2.8535835344882798E-2</v>
      </c>
      <c r="S31" s="2">
        <v>1.61385353558216E-2</v>
      </c>
      <c r="T31" s="2">
        <v>9.2204109646444998E-3</v>
      </c>
      <c r="U31" s="2">
        <v>5.7087540333212996E-3</v>
      </c>
      <c r="V31" s="2">
        <v>2.0575005398200002E-3</v>
      </c>
      <c r="W31" s="2">
        <v>7.909223352413E-4</v>
      </c>
      <c r="X31" s="2">
        <v>1.006819873623E-4</v>
      </c>
      <c r="Y31" s="2"/>
      <c r="Z31" s="2"/>
    </row>
    <row r="32" spans="1:26" x14ac:dyDescent="0.25">
      <c r="A32" s="2">
        <v>0.11513950000000001</v>
      </c>
      <c r="B32" s="2">
        <v>1.03845140074554E-2</v>
      </c>
      <c r="C32" s="2">
        <v>1.03866154058778E-2</v>
      </c>
      <c r="D32" s="2">
        <v>1.11584240403317E-2</v>
      </c>
      <c r="E32" s="2">
        <v>1.1745184408937299E-2</v>
      </c>
      <c r="F32" s="2">
        <v>1.3626044208649501E-2</v>
      </c>
      <c r="G32" s="2">
        <v>1.6832675020850701E-2</v>
      </c>
      <c r="H32" s="2">
        <v>1.96452610834967E-2</v>
      </c>
      <c r="I32" s="2">
        <v>2.3537223722087199E-2</v>
      </c>
      <c r="J32" s="2">
        <v>2.7362722656107501E-2</v>
      </c>
      <c r="K32" s="2">
        <v>3.08089203608705E-2</v>
      </c>
      <c r="L32" s="2">
        <v>3.3862402342494401E-2</v>
      </c>
      <c r="M32" s="2">
        <v>3.6832410783974298E-2</v>
      </c>
      <c r="N32" s="2">
        <v>4.1611915861807298E-2</v>
      </c>
      <c r="O32" s="2">
        <v>3.7874267090430097E-2</v>
      </c>
      <c r="P32" s="2">
        <v>3.2859413244523197E-2</v>
      </c>
      <c r="Q32" s="2">
        <v>2.7584261639049101E-2</v>
      </c>
      <c r="R32" s="2">
        <v>2.0253419937034702E-2</v>
      </c>
      <c r="S32" s="2">
        <v>1.12388572229065E-2</v>
      </c>
      <c r="T32" s="2">
        <v>6.2285174283259999E-3</v>
      </c>
      <c r="U32" s="2">
        <v>3.7385748757969E-3</v>
      </c>
      <c r="V32" s="2">
        <v>1.2151902852791999E-3</v>
      </c>
      <c r="W32" s="2">
        <v>4.1253170729759999E-4</v>
      </c>
      <c r="X32" s="2">
        <v>3.7761010389658622E-5</v>
      </c>
      <c r="Y32" s="2"/>
      <c r="Z32" s="2"/>
    </row>
    <row r="33" spans="1:26" x14ac:dyDescent="0.25">
      <c r="A33" s="2">
        <v>0.14563480000000001</v>
      </c>
      <c r="B33" s="2">
        <v>7.0239158449112004E-3</v>
      </c>
      <c r="C33" s="2">
        <v>7.0249589807643998E-3</v>
      </c>
      <c r="D33" s="2">
        <v>7.5709748234658002E-3</v>
      </c>
      <c r="E33" s="2">
        <v>7.9853780671328006E-3</v>
      </c>
      <c r="F33" s="2">
        <v>9.3141953184385003E-3</v>
      </c>
      <c r="G33" s="2">
        <v>1.1600374094996301E-2</v>
      </c>
      <c r="H33" s="2">
        <v>1.3598035515315099E-2</v>
      </c>
      <c r="I33" s="2">
        <v>1.63959669225732E-2</v>
      </c>
      <c r="J33" s="2">
        <v>1.9151558793964699E-2</v>
      </c>
      <c r="K33" s="2">
        <v>2.1638633930706402E-2</v>
      </c>
      <c r="L33" s="2">
        <v>2.3837888933485301E-2</v>
      </c>
      <c r="M33" s="2">
        <v>2.5974456715630301E-2</v>
      </c>
      <c r="N33" s="2">
        <v>2.9446239874232501E-2</v>
      </c>
      <c r="O33" s="2">
        <v>2.6855514443098999E-2</v>
      </c>
      <c r="P33" s="2">
        <v>2.32595093143785E-2</v>
      </c>
      <c r="Q33" s="2">
        <v>1.9478732234091401E-2</v>
      </c>
      <c r="R33" s="2">
        <v>1.4198937801665999E-2</v>
      </c>
      <c r="S33" s="2">
        <v>7.6810673078853003E-3</v>
      </c>
      <c r="T33" s="2">
        <v>4.0980856437612999E-3</v>
      </c>
      <c r="U33" s="2">
        <v>2.3757708445941001E-3</v>
      </c>
      <c r="V33" s="2">
        <v>6.8608015135390005E-4</v>
      </c>
      <c r="W33" s="2">
        <v>2.0114417498E-4</v>
      </c>
      <c r="X33" s="2"/>
      <c r="Y33" s="2"/>
      <c r="Z33" s="2"/>
    </row>
    <row r="34" spans="1:26" x14ac:dyDescent="0.25">
      <c r="A34" s="2">
        <v>0.18420700000000001</v>
      </c>
      <c r="B34" s="2">
        <v>4.6731057329906997E-3</v>
      </c>
      <c r="C34" s="2">
        <v>4.6734633654068004E-3</v>
      </c>
      <c r="D34" s="2">
        <v>5.0572516215651999E-3</v>
      </c>
      <c r="E34" s="2">
        <v>5.3472963061267E-3</v>
      </c>
      <c r="F34" s="2">
        <v>6.2725424750168998E-3</v>
      </c>
      <c r="G34" s="2">
        <v>7.8787061283945997E-3</v>
      </c>
      <c r="H34" s="2">
        <v>9.282311590141E-3</v>
      </c>
      <c r="I34" s="2">
        <v>1.12772711690922E-2</v>
      </c>
      <c r="J34" s="2">
        <v>1.3252375363663299E-2</v>
      </c>
      <c r="K34" s="2">
        <v>1.50271692327805E-2</v>
      </c>
      <c r="L34" s="2">
        <v>1.6603145704721101E-2</v>
      </c>
      <c r="M34" s="2">
        <v>1.813333552127E-2</v>
      </c>
      <c r="N34" s="2">
        <v>2.0640822927816702E-2</v>
      </c>
      <c r="O34" s="2">
        <v>1.88623576832469E-2</v>
      </c>
      <c r="P34" s="2">
        <v>1.6289043378549101E-2</v>
      </c>
      <c r="Q34" s="2">
        <v>1.35963403303094E-2</v>
      </c>
      <c r="R34" s="2">
        <v>9.8064853746108998E-3</v>
      </c>
      <c r="S34" s="2">
        <v>5.1234954900110001E-3</v>
      </c>
      <c r="T34" s="2">
        <v>2.6205736370456998E-3</v>
      </c>
      <c r="U34" s="2">
        <v>1.4328495963198001E-3</v>
      </c>
      <c r="V34" s="2">
        <v>3.5495195021429998E-4</v>
      </c>
      <c r="W34" s="2">
        <v>8.4273240648968795E-5</v>
      </c>
      <c r="X34" s="2"/>
      <c r="Y34" s="2"/>
      <c r="Z34" s="2"/>
    </row>
    <row r="35" spans="1:26" x14ac:dyDescent="0.25">
      <c r="A35" s="2">
        <v>0.23299520000000001</v>
      </c>
      <c r="B35" s="2">
        <v>3.0554395638375002E-3</v>
      </c>
      <c r="C35" s="2">
        <v>3.0555438720511999E-3</v>
      </c>
      <c r="D35" s="2">
        <v>3.3191890874206E-3</v>
      </c>
      <c r="E35" s="2">
        <v>3.5186421740576001E-3</v>
      </c>
      <c r="F35" s="2">
        <v>4.1520092436826E-3</v>
      </c>
      <c r="G35" s="2">
        <v>5.2607682125653003E-3</v>
      </c>
      <c r="H35" s="2">
        <v>6.2342613255167998E-3</v>
      </c>
      <c r="I35" s="2">
        <v>7.6441801629698004E-3</v>
      </c>
      <c r="J35" s="2">
        <v>9.0353438390593007E-3</v>
      </c>
      <c r="K35" s="2">
        <v>1.0297940449163399E-2</v>
      </c>
      <c r="L35" s="2">
        <v>1.1413069980335399E-2</v>
      </c>
      <c r="M35" s="2">
        <v>1.2505476221122001E-2</v>
      </c>
      <c r="N35" s="2">
        <v>1.4320773982035399E-2</v>
      </c>
      <c r="O35" s="2">
        <v>1.3108104274579001E-2</v>
      </c>
      <c r="P35" s="2">
        <v>1.12628870083426E-2</v>
      </c>
      <c r="Q35" s="2">
        <v>9.3534535353682995E-3</v>
      </c>
      <c r="R35" s="2">
        <v>6.6369138781965003E-3</v>
      </c>
      <c r="S35" s="2">
        <v>3.3335076449246999E-3</v>
      </c>
      <c r="T35" s="2">
        <v>1.6008599995984E-3</v>
      </c>
      <c r="U35" s="2">
        <v>8.2908087642859999E-4</v>
      </c>
      <c r="V35" s="2">
        <v>1.776235593524E-4</v>
      </c>
      <c r="W35" s="2"/>
      <c r="X35" s="2"/>
      <c r="Y35" s="2"/>
      <c r="Z35" s="2"/>
    </row>
    <row r="36" spans="1:26" x14ac:dyDescent="0.25">
      <c r="A36" s="2">
        <v>0.2947052</v>
      </c>
      <c r="B36" s="2">
        <v>1.9340661838214001E-3</v>
      </c>
      <c r="C36" s="2">
        <v>1.9340661838214001E-3</v>
      </c>
      <c r="D36" s="2">
        <v>2.1191699343034E-3</v>
      </c>
      <c r="E36" s="2">
        <v>2.2590840471821E-3</v>
      </c>
      <c r="F36" s="2">
        <v>2.6922459146589001E-3</v>
      </c>
      <c r="G36" s="2">
        <v>3.4465243480069998E-3</v>
      </c>
      <c r="H36" s="2">
        <v>4.1079909376548996E-3</v>
      </c>
      <c r="I36" s="2">
        <v>5.0869935265608996E-3</v>
      </c>
      <c r="J36" s="2">
        <v>6.0635175000242998E-3</v>
      </c>
      <c r="K36" s="2">
        <v>6.9492180055020997E-3</v>
      </c>
      <c r="L36" s="2">
        <v>7.7328715351541004E-3</v>
      </c>
      <c r="M36" s="2">
        <v>8.5004024049338996E-3</v>
      </c>
      <c r="N36" s="2">
        <v>9.7900919990934008E-3</v>
      </c>
      <c r="O36" s="2">
        <v>8.9784952924674005E-3</v>
      </c>
      <c r="P36" s="2">
        <v>7.6677278357237004E-3</v>
      </c>
      <c r="Q36" s="2">
        <v>6.3269759148170002E-3</v>
      </c>
      <c r="R36" s="2">
        <v>4.4039740437256001E-3</v>
      </c>
      <c r="S36" s="2">
        <v>2.1024091329309002E-3</v>
      </c>
      <c r="T36" s="2">
        <v>9.3766767167829999E-4</v>
      </c>
      <c r="U36" s="2">
        <v>4.4997129862160001E-4</v>
      </c>
      <c r="V36" s="2">
        <v>7.6374337368179113E-5</v>
      </c>
      <c r="W36" s="2"/>
      <c r="X36" s="2"/>
      <c r="Y36" s="2"/>
      <c r="Z36" s="2"/>
    </row>
    <row r="37" spans="1:26" x14ac:dyDescent="0.25">
      <c r="A37" s="2">
        <v>0.37275940000000002</v>
      </c>
      <c r="B37" s="2">
        <v>1.1808560293502001E-3</v>
      </c>
      <c r="C37" s="2">
        <v>1.1808560293502001E-3</v>
      </c>
      <c r="D37" s="2">
        <v>1.3012700474064E-3</v>
      </c>
      <c r="E37" s="2">
        <v>1.3923032265665001E-3</v>
      </c>
      <c r="F37" s="2">
        <v>1.6824043659652999E-3</v>
      </c>
      <c r="G37" s="2">
        <v>2.197593146775E-3</v>
      </c>
      <c r="H37" s="2">
        <v>2.6468125561222998E-3</v>
      </c>
      <c r="I37" s="2">
        <v>3.3176872712772001E-3</v>
      </c>
      <c r="J37" s="2">
        <v>3.9862334663780001E-3</v>
      </c>
      <c r="K37" s="2">
        <v>4.6003332679447001E-3</v>
      </c>
      <c r="L37" s="2">
        <v>5.1463447853165997E-3</v>
      </c>
      <c r="M37" s="2">
        <v>5.6806670843343003E-3</v>
      </c>
      <c r="N37" s="2">
        <v>6.5989239742520996E-3</v>
      </c>
      <c r="O37" s="2">
        <v>6.0579894216060996E-3</v>
      </c>
      <c r="P37" s="2">
        <v>5.1308100655660001E-3</v>
      </c>
      <c r="Q37" s="2">
        <v>4.1958855504162004E-3</v>
      </c>
      <c r="R37" s="2">
        <v>2.8616865529897E-3</v>
      </c>
      <c r="S37" s="2">
        <v>1.2675269499595001E-3</v>
      </c>
      <c r="T37" s="2">
        <v>5.2051520469830002E-4</v>
      </c>
      <c r="U37" s="2">
        <v>2.278904741217E-4</v>
      </c>
      <c r="V37" s="2"/>
      <c r="W37" s="2"/>
      <c r="X37" s="2"/>
      <c r="Y37" s="2"/>
      <c r="Z37" s="2"/>
    </row>
    <row r="38" spans="1:26" x14ac:dyDescent="0.25">
      <c r="A38" s="2">
        <v>0.47148659999999998</v>
      </c>
      <c r="B38" s="2">
        <v>6.9445905194239995E-4</v>
      </c>
      <c r="C38" s="2">
        <v>6.9445905194239995E-4</v>
      </c>
      <c r="D38" s="2">
        <v>7.7097958421740002E-4</v>
      </c>
      <c r="E38" s="2">
        <v>8.2975378984420005E-4</v>
      </c>
      <c r="F38" s="2">
        <v>1.0096400262682001E-3</v>
      </c>
      <c r="G38" s="2">
        <v>1.3403605516941E-3</v>
      </c>
      <c r="H38" s="2">
        <v>1.6350646401405999E-3</v>
      </c>
      <c r="I38" s="2">
        <v>2.0957252281732001E-3</v>
      </c>
      <c r="J38" s="2">
        <v>2.5598262491257E-3</v>
      </c>
      <c r="K38" s="2">
        <v>2.9796862818329E-3</v>
      </c>
      <c r="L38" s="2">
        <v>3.3504578846076999E-3</v>
      </c>
      <c r="M38" s="2">
        <v>3.7179783263923002E-3</v>
      </c>
      <c r="N38" s="2">
        <v>4.3667694993699997E-3</v>
      </c>
      <c r="O38" s="2">
        <v>4.0112408551635E-3</v>
      </c>
      <c r="P38" s="2">
        <v>3.3636312946398999E-3</v>
      </c>
      <c r="Q38" s="2">
        <v>2.7241677744314001E-3</v>
      </c>
      <c r="R38" s="2">
        <v>1.8013635963143001E-3</v>
      </c>
      <c r="S38" s="2">
        <v>7.3546133899069996E-4</v>
      </c>
      <c r="T38" s="2">
        <v>2.6593593912590001E-4</v>
      </c>
      <c r="U38" s="2">
        <v>1.0519847637619999E-4</v>
      </c>
      <c r="V38" s="2"/>
      <c r="W38" s="2"/>
      <c r="X38" s="2"/>
      <c r="Y38" s="2"/>
      <c r="Z38" s="2"/>
    </row>
    <row r="39" spans="1:26" x14ac:dyDescent="0.25">
      <c r="A39" s="2">
        <v>0.59636230000000001</v>
      </c>
      <c r="B39" s="2">
        <v>3.8603226678899998E-4</v>
      </c>
      <c r="C39" s="2">
        <v>3.8603226678899998E-4</v>
      </c>
      <c r="D39" s="2">
        <v>4.3440211268830001E-4</v>
      </c>
      <c r="E39" s="2">
        <v>4.7221693971260002E-4</v>
      </c>
      <c r="F39" s="2">
        <v>5.8409164945769998E-4</v>
      </c>
      <c r="G39" s="2">
        <v>7.8886942844740005E-4</v>
      </c>
      <c r="H39" s="2">
        <v>9.7076104788119998E-4</v>
      </c>
      <c r="I39" s="2">
        <v>1.2669426328101999E-3</v>
      </c>
      <c r="J39" s="2">
        <v>1.5730075238025E-3</v>
      </c>
      <c r="K39" s="2">
        <v>1.8593675590635999E-3</v>
      </c>
      <c r="L39" s="2">
        <v>2.1165694497540001E-3</v>
      </c>
      <c r="M39" s="2">
        <v>2.3702553235125001E-3</v>
      </c>
      <c r="N39" s="2">
        <v>2.8269158174225001E-3</v>
      </c>
      <c r="O39" s="2">
        <v>2.5991238726419002E-3</v>
      </c>
      <c r="P39" s="2">
        <v>2.1480539689945999E-3</v>
      </c>
      <c r="Q39" s="2">
        <v>1.7094763170462E-3</v>
      </c>
      <c r="R39" s="2">
        <v>1.0816223784786E-3</v>
      </c>
      <c r="S39" s="2">
        <v>4.0186209457710001E-4</v>
      </c>
      <c r="T39" s="2">
        <v>1.2740640522670001E-4</v>
      </c>
      <c r="U39" s="2">
        <v>4.3245066990493797E-5</v>
      </c>
      <c r="V39" s="2"/>
      <c r="W39" s="2"/>
      <c r="X39" s="2"/>
      <c r="Y39" s="2"/>
      <c r="Z39" s="2"/>
    </row>
    <row r="40" spans="1:26" x14ac:dyDescent="0.25">
      <c r="A40" s="2">
        <v>0.75431199999999998</v>
      </c>
      <c r="B40" s="2">
        <v>1.952882885234E-4</v>
      </c>
      <c r="C40" s="2">
        <v>1.952882885234E-4</v>
      </c>
      <c r="D40" s="2">
        <v>2.2070517354670001E-4</v>
      </c>
      <c r="E40" s="2">
        <v>2.4227637879899999E-4</v>
      </c>
      <c r="F40" s="2">
        <v>3.1067525878820002E-4</v>
      </c>
      <c r="G40" s="2">
        <v>4.3790109793910001E-4</v>
      </c>
      <c r="H40" s="2">
        <v>5.5073918338160001E-4</v>
      </c>
      <c r="I40" s="2">
        <v>7.3536938378989997E-4</v>
      </c>
      <c r="J40" s="2">
        <v>9.2793315099010001E-4</v>
      </c>
      <c r="K40" s="2">
        <v>1.1087865404988001E-3</v>
      </c>
      <c r="L40" s="2">
        <v>1.2770747230206E-3</v>
      </c>
      <c r="M40" s="2">
        <v>1.4447076257511E-3</v>
      </c>
      <c r="N40" s="2">
        <v>1.7701181177471E-3</v>
      </c>
      <c r="O40" s="2">
        <v>1.6286181398754E-3</v>
      </c>
      <c r="P40" s="2">
        <v>1.3125384321028E-3</v>
      </c>
      <c r="Q40" s="2">
        <v>1.0232580389128E-3</v>
      </c>
      <c r="R40" s="2">
        <v>6.2417015237770004E-4</v>
      </c>
      <c r="S40" s="2">
        <v>2.0299533935030001E-4</v>
      </c>
      <c r="T40" s="2">
        <v>5.5495034757768742E-5</v>
      </c>
      <c r="U40" s="2"/>
      <c r="V40" s="2"/>
      <c r="W40" s="2"/>
      <c r="X40" s="2"/>
      <c r="Y40" s="2"/>
      <c r="Z40" s="2"/>
    </row>
    <row r="41" spans="1:26" x14ac:dyDescent="0.25">
      <c r="A41" s="2">
        <v>0.95409549999999999</v>
      </c>
      <c r="B41" s="2">
        <v>9.6211213531205444E-5</v>
      </c>
      <c r="C41" s="2">
        <v>9.6211213531205444E-5</v>
      </c>
      <c r="D41" s="2">
        <v>1.10101987957E-4</v>
      </c>
      <c r="E41" s="2">
        <v>1.204755972139E-4</v>
      </c>
      <c r="F41" s="2">
        <v>1.5200018242460001E-4</v>
      </c>
      <c r="G41" s="2">
        <v>2.151589845595E-4</v>
      </c>
      <c r="H41" s="2">
        <v>2.8009579455099998E-4</v>
      </c>
      <c r="I41" s="2">
        <v>3.9808643032300002E-4</v>
      </c>
      <c r="J41" s="2">
        <v>5.200904433877E-4</v>
      </c>
      <c r="K41" s="2">
        <v>6.3395160759680002E-4</v>
      </c>
      <c r="L41" s="2">
        <v>7.3855768287949995E-4</v>
      </c>
      <c r="M41" s="2">
        <v>8.4289081189580005E-4</v>
      </c>
      <c r="N41" s="2">
        <v>1.0542315903876E-3</v>
      </c>
      <c r="O41" s="2">
        <v>9.7071230925390003E-4</v>
      </c>
      <c r="P41" s="2">
        <v>7.7132394403629995E-4</v>
      </c>
      <c r="Q41" s="2">
        <v>5.8982535398390001E-4</v>
      </c>
      <c r="R41" s="2">
        <v>3.419663690067E-4</v>
      </c>
      <c r="S41" s="2">
        <v>9.5480932941427441E-5</v>
      </c>
      <c r="T41" s="2"/>
      <c r="U41" s="2"/>
      <c r="V41" s="2"/>
      <c r="W41" s="2"/>
      <c r="X41" s="2"/>
      <c r="Y41" s="2"/>
      <c r="Z41" s="2"/>
    </row>
    <row r="42" spans="1:26" x14ac:dyDescent="0.25">
      <c r="A42" s="2">
        <v>1.206793</v>
      </c>
      <c r="B42" s="2"/>
      <c r="C42" s="2"/>
      <c r="D42" s="2">
        <v>4.7894647650537081E-5</v>
      </c>
      <c r="E42" s="2">
        <v>5.3587478760164231E-5</v>
      </c>
      <c r="F42" s="2">
        <v>7.120286682038568E-5</v>
      </c>
      <c r="G42" s="2">
        <v>1.032757827488E-4</v>
      </c>
      <c r="H42" s="2">
        <v>1.3154997213859999E-4</v>
      </c>
      <c r="I42" s="2">
        <v>1.880728981973E-4</v>
      </c>
      <c r="J42" s="2">
        <v>2.5859772858889999E-4</v>
      </c>
      <c r="K42" s="2">
        <v>3.3024516687869999E-4</v>
      </c>
      <c r="L42" s="2">
        <v>3.9813896000850002E-4</v>
      </c>
      <c r="M42" s="2">
        <v>4.648587473639E-4</v>
      </c>
      <c r="N42" s="2">
        <v>6.0798761145969998E-4</v>
      </c>
      <c r="O42" s="2">
        <v>5.615663696119E-4</v>
      </c>
      <c r="P42" s="2">
        <v>4.332762968601E-4</v>
      </c>
      <c r="Q42" s="2">
        <v>3.183744156629E-4</v>
      </c>
      <c r="R42" s="2">
        <v>1.6464043437729999E-4</v>
      </c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>
        <v>1.5264180000000001</v>
      </c>
      <c r="B43" s="2"/>
      <c r="C43" s="2"/>
      <c r="D43" s="2"/>
      <c r="E43" s="2"/>
      <c r="F43" s="2"/>
      <c r="G43" s="2">
        <v>4.193365020910278E-5</v>
      </c>
      <c r="H43" s="2">
        <v>5.6657458117115311E-5</v>
      </c>
      <c r="I43" s="2">
        <v>8.7298685684800148E-5</v>
      </c>
      <c r="J43" s="2">
        <v>1.194322612718E-4</v>
      </c>
      <c r="K43" s="2">
        <v>1.5092692783010001E-4</v>
      </c>
      <c r="L43" s="2">
        <v>1.8421096979180001E-4</v>
      </c>
      <c r="M43" s="2">
        <v>2.222652515229E-4</v>
      </c>
      <c r="N43" s="2">
        <v>3.1838290669830002E-4</v>
      </c>
      <c r="O43" s="2">
        <v>2.9754260867770002E-4</v>
      </c>
      <c r="P43" s="2">
        <v>2.127098441633E-4</v>
      </c>
      <c r="Q43" s="2">
        <v>1.4752835039640001E-4</v>
      </c>
      <c r="R43" s="2">
        <v>7.835649375920184E-5</v>
      </c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>
        <v>1.930698</v>
      </c>
      <c r="B44" s="2"/>
      <c r="C44" s="2"/>
      <c r="D44" s="2"/>
      <c r="E44" s="2"/>
      <c r="F44" s="2"/>
      <c r="G44" s="2"/>
      <c r="H44" s="2"/>
      <c r="I44" s="2"/>
      <c r="J44" s="2">
        <v>4.9265698180533952E-5</v>
      </c>
      <c r="K44" s="2">
        <v>6.6612674345378764E-5</v>
      </c>
      <c r="L44" s="2">
        <v>8.2916980318259448E-5</v>
      </c>
      <c r="M44" s="2">
        <v>9.9579545349115506E-5</v>
      </c>
      <c r="N44" s="2">
        <v>1.449784182341E-4</v>
      </c>
      <c r="O44" s="2">
        <v>1.3622948796410001E-4</v>
      </c>
      <c r="P44" s="2">
        <v>9.8595872259465978E-5</v>
      </c>
      <c r="Q44" s="2">
        <v>6.9146211899351329E-5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>
        <v>2.442053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6.381087405316066E-5</v>
      </c>
      <c r="O45" s="2">
        <v>6.2380184317589737E-5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8" spans="1:26" x14ac:dyDescent="0.25">
      <c r="B48" s="3"/>
      <c r="C48" s="5"/>
    </row>
    <row r="49" spans="1:5" x14ac:dyDescent="0.25">
      <c r="A49" t="s">
        <v>45</v>
      </c>
    </row>
    <row r="50" spans="1:5" x14ac:dyDescent="0.25">
      <c r="A50" s="80" t="s">
        <v>39</v>
      </c>
      <c r="B50" s="81" t="s">
        <v>44</v>
      </c>
      <c r="C50" s="83" t="s">
        <v>36</v>
      </c>
      <c r="D50" s="85" t="s">
        <v>41</v>
      </c>
      <c r="E50" s="86"/>
    </row>
    <row r="51" spans="1:5" x14ac:dyDescent="0.25">
      <c r="A51" s="80"/>
      <c r="B51" s="82"/>
      <c r="C51" s="84"/>
      <c r="D51" s="4" t="s">
        <v>37</v>
      </c>
      <c r="E51" s="4" t="s">
        <v>38</v>
      </c>
    </row>
    <row r="52" spans="1:5" x14ac:dyDescent="0.25">
      <c r="A52" s="3">
        <v>75</v>
      </c>
      <c r="B52" s="3">
        <f>1/A52</f>
        <v>1.3333333333333334E-2</v>
      </c>
      <c r="C52" s="5">
        <v>0.3</v>
      </c>
      <c r="D52" s="5">
        <f>(C52*$D$69)</f>
        <v>0.3</v>
      </c>
      <c r="E52" s="5">
        <f>(C52*$E$69)</f>
        <v>0.3</v>
      </c>
    </row>
    <row r="53" spans="1:5" x14ac:dyDescent="0.25">
      <c r="A53" s="3">
        <v>175</v>
      </c>
      <c r="B53" s="3">
        <f t="shared" ref="B53:B60" si="0">1/A53</f>
        <v>5.7142857142857143E-3</v>
      </c>
      <c r="C53" s="5">
        <v>0.375</v>
      </c>
      <c r="D53" s="5">
        <f t="shared" ref="D53:D60" si="1">(C53*$D$69)</f>
        <v>0.375</v>
      </c>
      <c r="E53" s="5">
        <f t="shared" ref="E53:E60" si="2">(C53*$E$69)</f>
        <v>0.375</v>
      </c>
    </row>
    <row r="54" spans="1:5" x14ac:dyDescent="0.25">
      <c r="A54" s="3">
        <v>275</v>
      </c>
      <c r="B54" s="3">
        <f t="shared" si="0"/>
        <v>3.6363636363636364E-3</v>
      </c>
      <c r="C54" s="5">
        <v>0.45</v>
      </c>
      <c r="D54" s="5">
        <f t="shared" si="1"/>
        <v>0.45</v>
      </c>
      <c r="E54" s="5">
        <f t="shared" si="2"/>
        <v>0.45</v>
      </c>
    </row>
    <row r="55" spans="1:5" x14ac:dyDescent="0.25">
      <c r="A55" s="7">
        <v>475</v>
      </c>
      <c r="B55" s="7">
        <f t="shared" si="0"/>
        <v>2.1052631578947368E-3</v>
      </c>
      <c r="C55" s="8">
        <v>0.5</v>
      </c>
      <c r="D55" s="5">
        <f t="shared" si="1"/>
        <v>0.5</v>
      </c>
      <c r="E55" s="5">
        <f t="shared" si="2"/>
        <v>0.5</v>
      </c>
    </row>
    <row r="56" spans="1:5" x14ac:dyDescent="0.25">
      <c r="A56" s="3">
        <v>975</v>
      </c>
      <c r="B56" s="3">
        <f t="shared" si="0"/>
        <v>1.0256410256410256E-3</v>
      </c>
      <c r="C56" s="5">
        <v>0.6</v>
      </c>
      <c r="D56" s="5">
        <f t="shared" si="1"/>
        <v>0.6</v>
      </c>
      <c r="E56" s="5">
        <f t="shared" si="2"/>
        <v>0.6</v>
      </c>
    </row>
    <row r="57" spans="1:5" x14ac:dyDescent="0.25">
      <c r="A57" s="3">
        <v>1275</v>
      </c>
      <c r="B57" s="3">
        <f t="shared" si="0"/>
        <v>7.8431372549019605E-4</v>
      </c>
      <c r="C57" s="5">
        <v>0.625</v>
      </c>
      <c r="D57" s="5">
        <f t="shared" si="1"/>
        <v>0.625</v>
      </c>
      <c r="E57" s="5">
        <f t="shared" si="2"/>
        <v>0.625</v>
      </c>
    </row>
    <row r="58" spans="1:5" x14ac:dyDescent="0.25">
      <c r="A58" s="7">
        <v>2475</v>
      </c>
      <c r="B58" s="7">
        <f t="shared" si="0"/>
        <v>4.0404040404040404E-4</v>
      </c>
      <c r="C58" s="8">
        <v>0.75</v>
      </c>
      <c r="D58" s="5">
        <f t="shared" si="1"/>
        <v>0.75</v>
      </c>
      <c r="E58" s="5">
        <f t="shared" si="2"/>
        <v>0.75</v>
      </c>
    </row>
    <row r="59" spans="1:5" x14ac:dyDescent="0.25">
      <c r="A59" s="3">
        <v>4975</v>
      </c>
      <c r="B59" s="3">
        <f t="shared" si="0"/>
        <v>2.0100502512562814E-4</v>
      </c>
      <c r="C59" s="5">
        <v>0.94</v>
      </c>
      <c r="D59" s="5">
        <f t="shared" si="1"/>
        <v>0.94</v>
      </c>
      <c r="E59" s="5">
        <f t="shared" si="2"/>
        <v>0.94</v>
      </c>
    </row>
    <row r="60" spans="1:5" x14ac:dyDescent="0.25">
      <c r="A60" s="3">
        <v>9975</v>
      </c>
      <c r="B60" s="3">
        <f t="shared" si="0"/>
        <v>1.0025062656641604E-4</v>
      </c>
      <c r="C60" s="5">
        <v>1.125</v>
      </c>
      <c r="D60" s="5">
        <f t="shared" si="1"/>
        <v>1.125</v>
      </c>
      <c r="E60" s="5">
        <f t="shared" si="2"/>
        <v>1.125</v>
      </c>
    </row>
    <row r="66" spans="3:5" x14ac:dyDescent="0.25">
      <c r="C66" t="s">
        <v>42</v>
      </c>
      <c r="D66" s="3">
        <v>0</v>
      </c>
      <c r="E66" s="3">
        <v>1</v>
      </c>
    </row>
    <row r="68" spans="3:5" x14ac:dyDescent="0.25">
      <c r="D68" s="6" t="s">
        <v>37</v>
      </c>
      <c r="E68" s="6" t="s">
        <v>40</v>
      </c>
    </row>
    <row r="69" spans="3:5" x14ac:dyDescent="0.25">
      <c r="C69" t="s">
        <v>43</v>
      </c>
      <c r="D69" s="3">
        <v>1</v>
      </c>
      <c r="E69" s="3">
        <f>(1/E66)</f>
        <v>1</v>
      </c>
    </row>
  </sheetData>
  <mergeCells count="4">
    <mergeCell ref="A50:A51"/>
    <mergeCell ref="B50:B51"/>
    <mergeCell ref="C50:C51"/>
    <mergeCell ref="D50:E5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85" zoomScaleNormal="85" workbookViewId="0">
      <selection activeCell="E16" sqref="E16"/>
    </sheetView>
  </sheetViews>
  <sheetFormatPr defaultRowHeight="15" x14ac:dyDescent="0.25"/>
  <cols>
    <col min="1" max="1" width="12" customWidth="1"/>
    <col min="2" max="2" width="22" customWidth="1"/>
    <col min="3" max="10" width="21" customWidth="1"/>
  </cols>
  <sheetData>
    <row r="1" spans="1:10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5">
      <c r="A2" s="2">
        <v>0</v>
      </c>
      <c r="B2" s="2">
        <v>9.8514519652933466E-2</v>
      </c>
      <c r="C2" s="2">
        <v>0.1640353618821867</v>
      </c>
      <c r="D2" s="2">
        <v>0.21161472311263771</v>
      </c>
      <c r="E2" s="9">
        <v>0.28213836440923851</v>
      </c>
      <c r="F2" s="2">
        <v>0.39674932901846038</v>
      </c>
      <c r="G2" s="2">
        <v>0.44676706837935382</v>
      </c>
      <c r="H2" s="9">
        <v>0.58558136894400492</v>
      </c>
      <c r="I2" s="2">
        <v>0.74684504422921372</v>
      </c>
      <c r="J2" s="2">
        <v>0.94116065555108741</v>
      </c>
    </row>
    <row r="3" spans="1:10" x14ac:dyDescent="0.25">
      <c r="A3" s="2">
        <v>0.01</v>
      </c>
      <c r="B3" s="2">
        <v>9.8529387039693828E-2</v>
      </c>
      <c r="C3" s="2">
        <v>0.1640459585391591</v>
      </c>
      <c r="D3" s="2">
        <v>0.21162074927522559</v>
      </c>
      <c r="E3" s="2">
        <v>0.28213928218021439</v>
      </c>
      <c r="F3" s="2">
        <v>0.39674932901846038</v>
      </c>
      <c r="G3" s="2">
        <v>0.44676706837935382</v>
      </c>
      <c r="H3" s="2">
        <v>0.58558136894400492</v>
      </c>
      <c r="I3" s="2">
        <v>0.74684504422921372</v>
      </c>
      <c r="J3" s="2">
        <v>0.94116065555108741</v>
      </c>
    </row>
    <row r="4" spans="1:10" x14ac:dyDescent="0.25">
      <c r="A4" s="2">
        <v>1.4999999999999999E-2</v>
      </c>
      <c r="B4" s="2">
        <v>0.1029455209827639</v>
      </c>
      <c r="C4" s="2">
        <v>0.17156019761099051</v>
      </c>
      <c r="D4" s="2">
        <v>0.22142778883650641</v>
      </c>
      <c r="E4" s="2">
        <v>0.29564150574475428</v>
      </c>
      <c r="F4" s="2">
        <v>0.41479158086383372</v>
      </c>
      <c r="G4" s="2">
        <v>0.46787150491363738</v>
      </c>
      <c r="H4" s="2">
        <v>0.61154549414176196</v>
      </c>
      <c r="I4" s="2">
        <v>0.77852074951909778</v>
      </c>
      <c r="J4" s="2">
        <v>0.97967559688222172</v>
      </c>
    </row>
    <row r="5" spans="1:10" x14ac:dyDescent="0.25">
      <c r="A5" s="2">
        <v>0.02</v>
      </c>
      <c r="B5" s="2">
        <v>0.10626666183539531</v>
      </c>
      <c r="C5" s="2">
        <v>0.17718052985006669</v>
      </c>
      <c r="D5" s="2">
        <v>0.2287300540634048</v>
      </c>
      <c r="E5" s="2">
        <v>0.30496863604057811</v>
      </c>
      <c r="F5" s="2">
        <v>0.42823789541816559</v>
      </c>
      <c r="G5" s="2">
        <v>0.48268582211815159</v>
      </c>
      <c r="H5" s="2">
        <v>0.63001555619287708</v>
      </c>
      <c r="I5" s="2">
        <v>0.80320656378423883</v>
      </c>
      <c r="J5" s="2">
        <v>1.006327330754661</v>
      </c>
    </row>
    <row r="6" spans="1:10" x14ac:dyDescent="0.25">
      <c r="A6" s="2">
        <v>0.03</v>
      </c>
      <c r="B6" s="2">
        <v>0.1166940888555518</v>
      </c>
      <c r="C6" s="2">
        <v>0.19424921112536131</v>
      </c>
      <c r="D6" s="2">
        <v>0.25036972275218278</v>
      </c>
      <c r="E6" s="2">
        <v>0.33324611739740878</v>
      </c>
      <c r="F6" s="2">
        <v>0.46808765750839648</v>
      </c>
      <c r="G6" s="2">
        <v>0.52547818949957281</v>
      </c>
      <c r="H6" s="2">
        <v>0.6840362231573498</v>
      </c>
      <c r="I6" s="2">
        <v>0.87036837733788508</v>
      </c>
      <c r="J6" s="2">
        <v>1.0854142061347649</v>
      </c>
    </row>
    <row r="7" spans="1:10" x14ac:dyDescent="0.25">
      <c r="A7" s="2">
        <v>0.04</v>
      </c>
      <c r="B7" s="2">
        <v>0.13338382317272601</v>
      </c>
      <c r="C7" s="2">
        <v>0.2220521626003821</v>
      </c>
      <c r="D7" s="2">
        <v>0.28605580002773018</v>
      </c>
      <c r="E7" s="2">
        <v>0.38044075185315368</v>
      </c>
      <c r="F7" s="2">
        <v>0.53086648394095237</v>
      </c>
      <c r="G7" s="2">
        <v>0.59774263135812034</v>
      </c>
      <c r="H7" s="2">
        <v>0.77465312553828125</v>
      </c>
      <c r="I7" s="2">
        <v>0.97510669723632892</v>
      </c>
      <c r="J7" s="2">
        <v>1.216181984320305</v>
      </c>
    </row>
    <row r="8" spans="1:10" x14ac:dyDescent="0.25">
      <c r="A8" s="2">
        <v>0.05</v>
      </c>
      <c r="B8" s="2">
        <v>0.14740725537820429</v>
      </c>
      <c r="C8" s="2">
        <v>0.24471007300297001</v>
      </c>
      <c r="D8" s="2">
        <v>0.31455490776568867</v>
      </c>
      <c r="E8" s="2">
        <v>0.41679596641487859</v>
      </c>
      <c r="F8" s="2">
        <v>0.58176410266652234</v>
      </c>
      <c r="G8" s="2">
        <v>0.65148444881129097</v>
      </c>
      <c r="H8" s="2">
        <v>0.84003552065114162</v>
      </c>
      <c r="I8" s="2">
        <v>1.057771438531889</v>
      </c>
      <c r="J8" s="2">
        <v>1.301808576443886</v>
      </c>
    </row>
    <row r="9" spans="1:10" x14ac:dyDescent="0.25">
      <c r="A9" s="2">
        <v>0.06</v>
      </c>
      <c r="B9" s="2">
        <v>0.1658219620704835</v>
      </c>
      <c r="C9" s="2">
        <v>0.27558309364449562</v>
      </c>
      <c r="D9" s="2">
        <v>0.35443167680895171</v>
      </c>
      <c r="E9" s="2">
        <v>0.47039282791082038</v>
      </c>
      <c r="F9" s="2">
        <v>0.6533463936070848</v>
      </c>
      <c r="G9" s="2">
        <v>0.73360816071277901</v>
      </c>
      <c r="H9" s="2">
        <v>0.94868806964415375</v>
      </c>
      <c r="I9" s="2">
        <v>1.1819066609529909</v>
      </c>
      <c r="J9" s="2">
        <v>1.463123657095017</v>
      </c>
    </row>
    <row r="10" spans="1:10" x14ac:dyDescent="0.25">
      <c r="A10" s="2">
        <v>7.0000000000000007E-2</v>
      </c>
      <c r="B10" s="2">
        <v>0.18349249865233791</v>
      </c>
      <c r="C10" s="2">
        <v>0.30466261428685348</v>
      </c>
      <c r="D10" s="2">
        <v>0.39137464642831821</v>
      </c>
      <c r="E10" s="2">
        <v>0.51812713216654649</v>
      </c>
      <c r="F10" s="2">
        <v>0.72143183857011828</v>
      </c>
      <c r="G10" s="2">
        <v>0.80758354566524337</v>
      </c>
      <c r="H10" s="2">
        <v>1.0386390491101469</v>
      </c>
      <c r="I10" s="2">
        <v>1.3029008569917</v>
      </c>
      <c r="J10" s="2">
        <v>1.598998056177396</v>
      </c>
    </row>
    <row r="11" spans="1:10" x14ac:dyDescent="0.25">
      <c r="A11" s="2">
        <v>0.08</v>
      </c>
      <c r="B11" s="2">
        <v>0.19842540470704481</v>
      </c>
      <c r="C11" s="2">
        <v>0.32944919345408058</v>
      </c>
      <c r="D11" s="2">
        <v>0.42332656210750308</v>
      </c>
      <c r="E11" s="2">
        <v>0.56057652321232487</v>
      </c>
      <c r="F11" s="2">
        <v>0.77943267798114146</v>
      </c>
      <c r="G11" s="2">
        <v>0.87245634075010814</v>
      </c>
      <c r="H11" s="2">
        <v>1.122213960889187</v>
      </c>
      <c r="I11" s="2">
        <v>1.4006647134546579</v>
      </c>
      <c r="J11" s="2">
        <v>1.716782877809276</v>
      </c>
    </row>
    <row r="12" spans="1:10" x14ac:dyDescent="0.25">
      <c r="A12" s="2">
        <v>0.09</v>
      </c>
      <c r="B12" s="2">
        <v>0.2113552366868435</v>
      </c>
      <c r="C12" s="2">
        <v>0.35090991144722911</v>
      </c>
      <c r="D12" s="2">
        <v>0.45081723341144608</v>
      </c>
      <c r="E12" s="2">
        <v>0.59784962778057782</v>
      </c>
      <c r="F12" s="2">
        <v>0.82871495789868688</v>
      </c>
      <c r="G12" s="2">
        <v>0.92980404478197742</v>
      </c>
      <c r="H12" s="2">
        <v>1.200059880848013</v>
      </c>
      <c r="I12" s="2">
        <v>1.4863534717229541</v>
      </c>
      <c r="J12" s="2">
        <v>1.825776246242387</v>
      </c>
    </row>
    <row r="13" spans="1:10" x14ac:dyDescent="0.25">
      <c r="A13" s="2">
        <v>0.1</v>
      </c>
      <c r="B13" s="2">
        <v>0.22374037722255499</v>
      </c>
      <c r="C13" s="2">
        <v>0.37147937982640589</v>
      </c>
      <c r="D13" s="2">
        <v>0.47698024774683151</v>
      </c>
      <c r="E13" s="2">
        <v>0.63087810206296102</v>
      </c>
      <c r="F13" s="2">
        <v>0.8758493228159383</v>
      </c>
      <c r="G13" s="2">
        <v>0.98161765444574611</v>
      </c>
      <c r="H13" s="2">
        <v>1.2618971498874541</v>
      </c>
      <c r="I13" s="2">
        <v>1.5719948292907731</v>
      </c>
      <c r="J13" s="2">
        <v>1.92690700088143</v>
      </c>
    </row>
    <row r="14" spans="1:10" x14ac:dyDescent="0.25">
      <c r="A14" s="2">
        <v>0.15</v>
      </c>
      <c r="B14" s="2">
        <v>0.2435087476393295</v>
      </c>
      <c r="C14" s="2">
        <v>0.40457733817097419</v>
      </c>
      <c r="D14" s="2">
        <v>0.52050172328351307</v>
      </c>
      <c r="E14" s="2">
        <v>0.69144263027256037</v>
      </c>
      <c r="F14" s="2">
        <v>0.96535937363812663</v>
      </c>
      <c r="G14" s="2">
        <v>1.0824863316700319</v>
      </c>
      <c r="H14" s="2">
        <v>1.399879956284261</v>
      </c>
      <c r="I14" s="2">
        <v>1.751182682282846</v>
      </c>
      <c r="J14" s="2">
        <v>2.145777485081295</v>
      </c>
    </row>
    <row r="15" spans="1:10" x14ac:dyDescent="0.25">
      <c r="A15" s="2">
        <v>0.2</v>
      </c>
      <c r="B15" s="2">
        <v>0.23044658937041321</v>
      </c>
      <c r="C15" s="2">
        <v>0.38537633898507723</v>
      </c>
      <c r="D15" s="2">
        <v>0.49721260920777338</v>
      </c>
      <c r="E15" s="2">
        <v>0.66299851889586148</v>
      </c>
      <c r="F15" s="2">
        <v>0.93054538353772664</v>
      </c>
      <c r="G15" s="2">
        <v>1.045552080986518</v>
      </c>
      <c r="H15" s="2">
        <v>1.363079871366532</v>
      </c>
      <c r="I15" s="2">
        <v>1.717534286439377</v>
      </c>
      <c r="J15" s="2">
        <v>2.117273172556867</v>
      </c>
    </row>
    <row r="16" spans="1:10" x14ac:dyDescent="0.25">
      <c r="A16" s="2">
        <v>0.25</v>
      </c>
      <c r="B16" s="2">
        <v>0.20925615052042809</v>
      </c>
      <c r="C16" s="2">
        <v>0.35000382885442538</v>
      </c>
      <c r="D16" s="2">
        <v>0.45146958731972581</v>
      </c>
      <c r="E16" s="2">
        <v>0.60211351027851379</v>
      </c>
      <c r="F16" s="2">
        <v>0.84118938393476717</v>
      </c>
      <c r="G16" s="2">
        <v>0.94707900581848203</v>
      </c>
      <c r="H16" s="2">
        <v>1.23495946478691</v>
      </c>
      <c r="I16" s="2">
        <v>1.5530475735169831</v>
      </c>
      <c r="J16" s="2">
        <v>1.9209034115459629</v>
      </c>
    </row>
    <row r="17" spans="1:10" x14ac:dyDescent="0.25">
      <c r="A17" s="2">
        <v>0.3</v>
      </c>
      <c r="B17" s="2">
        <v>0.18648108891688889</v>
      </c>
      <c r="C17" s="2">
        <v>0.31238680539108188</v>
      </c>
      <c r="D17" s="2">
        <v>0.40293868532079008</v>
      </c>
      <c r="E17" s="2">
        <v>0.53691583850564784</v>
      </c>
      <c r="F17" s="2">
        <v>0.7535091064168864</v>
      </c>
      <c r="G17" s="2">
        <v>0.84490466815459941</v>
      </c>
      <c r="H17" s="2">
        <v>1.1020433442179249</v>
      </c>
      <c r="I17" s="2">
        <v>1.3888055400102921</v>
      </c>
      <c r="J17" s="2">
        <v>1.7206672312641811</v>
      </c>
    </row>
    <row r="18" spans="1:10" x14ac:dyDescent="0.25">
      <c r="A18" s="2">
        <v>0.4</v>
      </c>
      <c r="B18" s="2">
        <v>0.15156759208300369</v>
      </c>
      <c r="C18" s="2">
        <v>0.25385521752031193</v>
      </c>
      <c r="D18" s="2">
        <v>0.32713083246460861</v>
      </c>
      <c r="E18" s="2">
        <v>0.43561356832197851</v>
      </c>
      <c r="F18" s="2">
        <v>0.61006156962004643</v>
      </c>
      <c r="G18" s="2">
        <v>0.68416834246201319</v>
      </c>
      <c r="H18" s="2">
        <v>0.89393248775689726</v>
      </c>
      <c r="I18" s="2">
        <v>1.131809214516128</v>
      </c>
      <c r="J18" s="2">
        <v>1.411920504644961</v>
      </c>
    </row>
    <row r="19" spans="1:10" x14ac:dyDescent="0.25">
      <c r="A19" s="2">
        <v>0.6</v>
      </c>
      <c r="B19" s="2">
        <v>0.10304609896528349</v>
      </c>
      <c r="C19" s="2">
        <v>0.17290381388653789</v>
      </c>
      <c r="D19" s="2">
        <v>0.22217857431339211</v>
      </c>
      <c r="E19" s="2">
        <v>0.29450148280344068</v>
      </c>
      <c r="F19" s="2">
        <v>0.40843585248792452</v>
      </c>
      <c r="G19" s="2">
        <v>0.45857819838437142</v>
      </c>
      <c r="H19" s="2">
        <v>0.59511032645008721</v>
      </c>
      <c r="I19" s="2">
        <v>0.75663079164464186</v>
      </c>
      <c r="J19" s="2">
        <v>0.93971695697151381</v>
      </c>
    </row>
    <row r="20" spans="1:10" x14ac:dyDescent="0.25">
      <c r="A20" s="2">
        <v>0.8</v>
      </c>
      <c r="B20" s="2">
        <v>7.1978288446615024E-2</v>
      </c>
      <c r="C20" s="2">
        <v>0.120844968617149</v>
      </c>
      <c r="D20" s="2">
        <v>0.15507614764890951</v>
      </c>
      <c r="E20" s="2">
        <v>0.20447415730930149</v>
      </c>
      <c r="F20" s="2">
        <v>0.28332205816209688</v>
      </c>
      <c r="G20" s="2">
        <v>0.31648208137820549</v>
      </c>
      <c r="H20" s="2">
        <v>0.40730235156786432</v>
      </c>
      <c r="I20" s="2">
        <v>0.51556756321130626</v>
      </c>
      <c r="J20" s="2">
        <v>0.63817759946441333</v>
      </c>
    </row>
    <row r="21" spans="1:10" x14ac:dyDescent="0.25">
      <c r="A21" s="2">
        <v>1</v>
      </c>
      <c r="B21" s="2">
        <v>5.3919234487173041E-2</v>
      </c>
      <c r="C21" s="2">
        <v>9.0977441642828033E-2</v>
      </c>
      <c r="D21" s="2">
        <v>0.1168054824847793</v>
      </c>
      <c r="E21" s="9">
        <v>0.1540490092416901</v>
      </c>
      <c r="F21" s="2">
        <v>0.2126501496783447</v>
      </c>
      <c r="G21" s="2">
        <v>0.23802097399148089</v>
      </c>
      <c r="H21" s="9">
        <v>0.30587010313740171</v>
      </c>
      <c r="I21" s="2">
        <v>0.38725735580476472</v>
      </c>
      <c r="J21" s="2">
        <v>0.47752842500135328</v>
      </c>
    </row>
    <row r="22" spans="1:10" x14ac:dyDescent="0.25">
      <c r="A22" s="2">
        <v>1.5</v>
      </c>
      <c r="B22" s="2">
        <v>3.1309315527114731E-2</v>
      </c>
      <c r="C22" s="2">
        <v>5.2950861994158292E-2</v>
      </c>
      <c r="D22" s="2">
        <v>6.807534530541999E-2</v>
      </c>
      <c r="E22" s="2">
        <v>8.998583281943591E-2</v>
      </c>
      <c r="F22" s="2">
        <v>0.1234510130571799</v>
      </c>
      <c r="G22" s="2">
        <v>0.13784132101061169</v>
      </c>
      <c r="H22" s="2">
        <v>0.17589334752485031</v>
      </c>
      <c r="I22" s="2">
        <v>0.2234190238637975</v>
      </c>
      <c r="J22" s="2">
        <v>0.27321224519825982</v>
      </c>
    </row>
    <row r="23" spans="1:10" x14ac:dyDescent="0.25">
      <c r="A23" s="2">
        <v>2</v>
      </c>
      <c r="B23" s="2">
        <v>2.0955430899683901E-2</v>
      </c>
      <c r="C23" s="2">
        <v>3.5600712272029093E-2</v>
      </c>
      <c r="D23" s="2">
        <v>4.5650561147786532E-2</v>
      </c>
      <c r="E23" s="2">
        <v>5.999504988512859E-2</v>
      </c>
      <c r="F23" s="2">
        <v>8.194004290185844E-2</v>
      </c>
      <c r="G23" s="2">
        <v>9.1305955402669378E-2</v>
      </c>
      <c r="H23" s="2">
        <v>0.11592549010890579</v>
      </c>
      <c r="I23" s="2">
        <v>0.14566202221726399</v>
      </c>
      <c r="J23" s="2">
        <v>0.17576921406431109</v>
      </c>
    </row>
    <row r="24" spans="1:10" x14ac:dyDescent="0.25">
      <c r="A24" s="2">
        <v>3</v>
      </c>
      <c r="B24" s="2">
        <v>1.1628388076490959E-2</v>
      </c>
      <c r="C24" s="2">
        <v>1.9869840332750549E-2</v>
      </c>
      <c r="D24" s="2">
        <v>2.5403170267558731E-2</v>
      </c>
      <c r="E24" s="2">
        <v>3.3236145495262229E-2</v>
      </c>
      <c r="F24" s="2">
        <v>4.5215703740518642E-2</v>
      </c>
      <c r="G24" s="2">
        <v>4.9769837147458369E-2</v>
      </c>
      <c r="H24" s="2">
        <v>6.2254043219161281E-2</v>
      </c>
      <c r="I24" s="2">
        <v>7.6347458211487751E-2</v>
      </c>
      <c r="J24" s="2">
        <v>9.1123508274857448E-2</v>
      </c>
    </row>
    <row r="25" spans="1:10" x14ac:dyDescent="0.25">
      <c r="A25" s="2">
        <v>4</v>
      </c>
      <c r="B25" s="2">
        <v>7.7720226103378219E-3</v>
      </c>
      <c r="C25" s="2">
        <v>1.3386909526066011E-2</v>
      </c>
      <c r="D25" s="2">
        <v>1.7126038965737909E-2</v>
      </c>
      <c r="E25" s="2">
        <v>2.229748454661969E-2</v>
      </c>
      <c r="F25" s="2">
        <v>3.0022693522471548E-2</v>
      </c>
      <c r="G25" s="2">
        <v>3.3099295930119253E-2</v>
      </c>
      <c r="H25" s="2">
        <v>4.101308127323719E-2</v>
      </c>
      <c r="I25" s="2">
        <v>4.8977480003589549E-2</v>
      </c>
      <c r="J25" s="2">
        <v>5.6865639712753317E-2</v>
      </c>
    </row>
    <row r="26" spans="1:10" x14ac:dyDescent="0.25">
      <c r="A26" s="2">
        <v>5</v>
      </c>
      <c r="B26" s="2">
        <v>5.5902616054869028E-3</v>
      </c>
      <c r="C26" s="2">
        <v>9.6647494151114993E-3</v>
      </c>
      <c r="D26" s="2">
        <v>1.2376678137284689E-2</v>
      </c>
      <c r="E26" s="2">
        <v>1.6113803587597592E-2</v>
      </c>
      <c r="F26" s="2">
        <v>2.1731236267080251E-2</v>
      </c>
      <c r="G26" s="2">
        <v>2.3910579812562859E-2</v>
      </c>
      <c r="H26" s="2">
        <v>2.9468949264598299E-2</v>
      </c>
      <c r="I26" s="2">
        <v>3.4933904518059847E-2</v>
      </c>
      <c r="J26" s="2">
        <v>3.9767844276927242E-2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I8" sqref="I8"/>
    </sheetView>
  </sheetViews>
  <sheetFormatPr defaultRowHeight="15" x14ac:dyDescent="0.25"/>
  <cols>
    <col min="1" max="1" width="24.42578125" customWidth="1"/>
    <col min="2" max="2" width="11.28515625" customWidth="1"/>
    <col min="4" max="4" width="11.5703125" customWidth="1"/>
    <col min="5" max="5" width="13.28515625" customWidth="1"/>
    <col min="6" max="6" width="10.28515625" customWidth="1"/>
    <col min="7" max="7" width="10.85546875" customWidth="1"/>
    <col min="8" max="8" width="11.7109375" customWidth="1"/>
    <col min="9" max="9" width="12" customWidth="1"/>
    <col min="10" max="10" width="11.7109375" customWidth="1"/>
    <col min="11" max="11" width="11.42578125" customWidth="1"/>
  </cols>
  <sheetData>
    <row r="1" spans="1:11" ht="23.25" x14ac:dyDescent="0.35">
      <c r="A1" s="51" t="s">
        <v>1</v>
      </c>
      <c r="B1" s="10" t="s">
        <v>46</v>
      </c>
      <c r="C1" s="10" t="s">
        <v>47</v>
      </c>
      <c r="D1" s="10" t="s">
        <v>48</v>
      </c>
      <c r="E1" s="10" t="s">
        <v>49</v>
      </c>
      <c r="F1" s="12" t="s">
        <v>50</v>
      </c>
      <c r="G1" s="10" t="s">
        <v>51</v>
      </c>
      <c r="H1" s="10" t="s">
        <v>52</v>
      </c>
      <c r="I1" s="12" t="s">
        <v>53</v>
      </c>
      <c r="J1" s="10" t="s">
        <v>54</v>
      </c>
      <c r="K1" s="10" t="s">
        <v>55</v>
      </c>
    </row>
    <row r="2" spans="1:11" ht="15.75" thickBot="1" x14ac:dyDescent="0.3">
      <c r="B2" s="10" t="s">
        <v>59</v>
      </c>
      <c r="C2">
        <v>75</v>
      </c>
      <c r="D2">
        <v>175</v>
      </c>
      <c r="E2">
        <v>275</v>
      </c>
      <c r="F2" s="13">
        <v>475</v>
      </c>
      <c r="G2">
        <v>975</v>
      </c>
      <c r="H2">
        <v>1275</v>
      </c>
      <c r="I2" s="13">
        <v>2475</v>
      </c>
      <c r="J2">
        <v>4975</v>
      </c>
      <c r="K2">
        <v>9975</v>
      </c>
    </row>
    <row r="3" spans="1:11" ht="15.75" thickBot="1" x14ac:dyDescent="0.3">
      <c r="A3" s="27" t="s">
        <v>61</v>
      </c>
      <c r="B3" s="10" t="s">
        <v>60</v>
      </c>
      <c r="C3" s="14">
        <f>1/C2</f>
        <v>1.3333333333333334E-2</v>
      </c>
      <c r="D3" s="14">
        <f t="shared" ref="D3:K3" si="0">1/D2</f>
        <v>5.7142857142857143E-3</v>
      </c>
      <c r="E3" s="14">
        <f t="shared" si="0"/>
        <v>3.6363636363636364E-3</v>
      </c>
      <c r="F3" s="15">
        <f t="shared" si="0"/>
        <v>2.1052631578947368E-3</v>
      </c>
      <c r="G3" s="14">
        <f t="shared" si="0"/>
        <v>1.0256410256410256E-3</v>
      </c>
      <c r="H3" s="14">
        <f t="shared" si="0"/>
        <v>7.8431372549019605E-4</v>
      </c>
      <c r="I3" s="15">
        <f t="shared" si="0"/>
        <v>4.0404040404040404E-4</v>
      </c>
      <c r="J3" s="14">
        <f t="shared" si="0"/>
        <v>2.0100502512562814E-4</v>
      </c>
      <c r="K3" s="14">
        <f t="shared" si="0"/>
        <v>1.0025062656641604E-4</v>
      </c>
    </row>
    <row r="4" spans="1:11" x14ac:dyDescent="0.25">
      <c r="A4" s="87" t="s">
        <v>72</v>
      </c>
      <c r="B4" s="16" t="s">
        <v>56</v>
      </c>
      <c r="C4" s="17">
        <v>2.1899999999999999E-2</v>
      </c>
      <c r="D4" s="17">
        <v>3.4599999999999999E-2</v>
      </c>
      <c r="E4" s="17">
        <v>4.36E-2</v>
      </c>
      <c r="F4" s="18">
        <v>5.6899999999999999E-2</v>
      </c>
      <c r="G4" s="17">
        <v>7.8299999999999995E-2</v>
      </c>
      <c r="H4" s="17">
        <v>8.6900000000000005E-2</v>
      </c>
      <c r="I4" s="18">
        <v>0.11119999999999999</v>
      </c>
      <c r="J4" s="17">
        <v>0.14269999999999999</v>
      </c>
      <c r="K4" s="19">
        <v>0.1822</v>
      </c>
    </row>
    <row r="5" spans="1:11" x14ac:dyDescent="0.25">
      <c r="A5" s="88"/>
      <c r="B5" s="20" t="s">
        <v>57</v>
      </c>
      <c r="C5" s="3">
        <v>4.0500000000000001E-2</v>
      </c>
      <c r="D5" s="3">
        <v>7.2300000000000003E-2</v>
      </c>
      <c r="E5" s="3">
        <v>9.6799999999999997E-2</v>
      </c>
      <c r="F5" s="21">
        <v>0.1353</v>
      </c>
      <c r="G5" s="3">
        <v>0.2049</v>
      </c>
      <c r="H5" s="3">
        <v>0.23699999999999999</v>
      </c>
      <c r="I5" s="21">
        <v>0.33300000000000002</v>
      </c>
      <c r="J5" s="3">
        <v>0.46029999999999999</v>
      </c>
      <c r="K5" s="22">
        <v>0.61229999999999996</v>
      </c>
    </row>
    <row r="6" spans="1:11" ht="15.75" thickBot="1" x14ac:dyDescent="0.3">
      <c r="A6" s="89"/>
      <c r="B6" s="23" t="s">
        <v>58</v>
      </c>
      <c r="C6" s="24">
        <v>7.6499999999999999E-2</v>
      </c>
      <c r="D6" s="24">
        <v>0.13089999999999999</v>
      </c>
      <c r="E6" s="24">
        <v>0.1736</v>
      </c>
      <c r="F6" s="25">
        <v>0.2392</v>
      </c>
      <c r="G6" s="24">
        <v>0.34949999999999998</v>
      </c>
      <c r="H6" s="24">
        <v>0.39689999999999998</v>
      </c>
      <c r="I6" s="25">
        <v>0.52990000000000004</v>
      </c>
      <c r="J6" s="24">
        <v>0.69689999999999996</v>
      </c>
      <c r="K6" s="26">
        <v>0.89090000000000003</v>
      </c>
    </row>
    <row r="8" spans="1:11" x14ac:dyDescent="0.25">
      <c r="A8" s="28" t="s">
        <v>98</v>
      </c>
      <c r="B8" s="11" t="s">
        <v>58</v>
      </c>
      <c r="C8" s="36">
        <f t="shared" ref="C8:K8" ca="1" si="1">EXP(_xlfn.FORECAST.LINEAR(LN(C3),OFFSET($D$17,MATCH(LN(C3),$E$17:$E$56,-1)-1, 0, 2),OFFSET($E$17,MATCH(LN(C3),$E$17:$E$56,-1)-1, 0, 2)))</f>
        <v>0.17867739752642309</v>
      </c>
      <c r="D8" s="36">
        <f t="shared" ca="1" si="1"/>
        <v>0.28442291031123901</v>
      </c>
      <c r="E8" s="36">
        <f t="shared" ca="1" si="1"/>
        <v>0.35460621855982061</v>
      </c>
      <c r="F8" s="39">
        <f t="shared" ca="1" si="1"/>
        <v>0.45815856043204828</v>
      </c>
      <c r="G8" s="36">
        <f t="shared" ca="1" si="1"/>
        <v>0.60789625946555659</v>
      </c>
      <c r="H8" s="36">
        <f t="shared" ca="1" si="1"/>
        <v>0.67552947356117743</v>
      </c>
      <c r="I8" s="39">
        <f t="shared" ca="1" si="1"/>
        <v>0.86448020839074347</v>
      </c>
      <c r="J8" s="36">
        <f t="shared" ca="1" si="1"/>
        <v>1.0861546848248769</v>
      </c>
      <c r="K8" s="36">
        <f t="shared" ca="1" si="1"/>
        <v>1.3635444334267732</v>
      </c>
    </row>
    <row r="9" spans="1:11" x14ac:dyDescent="0.25">
      <c r="A9" s="28" t="s">
        <v>69</v>
      </c>
      <c r="B9" s="11" t="s">
        <v>58</v>
      </c>
      <c r="C9" s="36">
        <v>0.3</v>
      </c>
      <c r="D9" s="36">
        <v>0.375</v>
      </c>
      <c r="E9" s="36">
        <v>0.45</v>
      </c>
      <c r="F9" s="39">
        <v>0.5</v>
      </c>
      <c r="G9" s="36">
        <v>0.6</v>
      </c>
      <c r="H9" s="36">
        <v>0.625</v>
      </c>
      <c r="I9" s="39">
        <v>0.75</v>
      </c>
      <c r="J9" s="36">
        <v>0.94</v>
      </c>
      <c r="K9" s="36">
        <v>1.125</v>
      </c>
    </row>
    <row r="10" spans="1:11" x14ac:dyDescent="0.25">
      <c r="A10" s="41" t="s">
        <v>73</v>
      </c>
      <c r="B10" s="42" t="s">
        <v>58</v>
      </c>
      <c r="C10" s="43"/>
      <c r="D10" s="43"/>
      <c r="E10" s="43"/>
      <c r="F10" s="44">
        <v>0.39</v>
      </c>
      <c r="G10" s="43"/>
      <c r="H10" s="43"/>
      <c r="I10" s="44">
        <v>0.77</v>
      </c>
      <c r="J10" s="36"/>
      <c r="K10" s="36"/>
    </row>
    <row r="11" spans="1:11" x14ac:dyDescent="0.25">
      <c r="A11" s="40" t="s">
        <v>70</v>
      </c>
      <c r="B11" s="11" t="s">
        <v>58</v>
      </c>
      <c r="E11" s="35"/>
      <c r="F11" s="38">
        <f ca="1">(F8-F6)/F6</f>
        <v>0.91537859712394765</v>
      </c>
      <c r="I11" s="38">
        <f ca="1">(I8-I6)/I6</f>
        <v>0.63140254461359391</v>
      </c>
    </row>
    <row r="12" spans="1:11" x14ac:dyDescent="0.25">
      <c r="A12" s="40" t="s">
        <v>71</v>
      </c>
      <c r="B12" s="11" t="s">
        <v>58</v>
      </c>
      <c r="F12" s="38">
        <f ca="1">(F9-F8)/F8</f>
        <v>9.1325237988557517E-2</v>
      </c>
      <c r="I12" s="38">
        <f ca="1">(I9-I8)/I8</f>
        <v>-0.13242663889766995</v>
      </c>
    </row>
    <row r="13" spans="1:11" ht="15.75" thickBot="1" x14ac:dyDescent="0.3">
      <c r="A13" s="40"/>
      <c r="B13" s="11"/>
      <c r="F13" s="38"/>
      <c r="I13" s="38"/>
    </row>
    <row r="14" spans="1:11" x14ac:dyDescent="0.25">
      <c r="B14" s="90" t="s">
        <v>62</v>
      </c>
      <c r="C14" s="91"/>
    </row>
    <row r="15" spans="1:11" x14ac:dyDescent="0.25">
      <c r="B15" s="30" t="s">
        <v>0</v>
      </c>
      <c r="C15" s="31" t="s">
        <v>1</v>
      </c>
      <c r="D15" s="37" t="s">
        <v>67</v>
      </c>
      <c r="E15" s="37" t="s">
        <v>68</v>
      </c>
    </row>
    <row r="16" spans="1:11" x14ac:dyDescent="0.25">
      <c r="B16" s="32" t="s">
        <v>63</v>
      </c>
      <c r="C16" s="33" t="s">
        <v>64</v>
      </c>
      <c r="D16" s="29" t="s">
        <v>65</v>
      </c>
      <c r="E16" s="29" t="s">
        <v>66</v>
      </c>
    </row>
    <row r="17" spans="2:5" x14ac:dyDescent="0.25">
      <c r="B17">
        <v>1E-3</v>
      </c>
      <c r="C17">
        <v>2.1312701615552503</v>
      </c>
      <c r="D17" s="34">
        <f>LN(B17)</f>
        <v>-6.9077552789821368</v>
      </c>
      <c r="E17" s="34">
        <f>LN(C17)</f>
        <v>0.75671812197221755</v>
      </c>
    </row>
    <row r="18" spans="2:5" x14ac:dyDescent="0.25">
      <c r="B18">
        <v>1.8374400000000001E-3</v>
      </c>
      <c r="C18">
        <v>1.6199987672975</v>
      </c>
      <c r="D18" s="34">
        <f t="shared" ref="D18:D31" si="2">LN(B18)</f>
        <v>-6.2993819804716296</v>
      </c>
      <c r="E18" s="34">
        <f t="shared" ref="E18:E31" si="3">LN(C18)</f>
        <v>0.48242538831653409</v>
      </c>
    </row>
    <row r="19" spans="2:5" x14ac:dyDescent="0.25">
      <c r="B19">
        <v>3.37617E-3</v>
      </c>
      <c r="C19">
        <v>1.1306651352853749</v>
      </c>
      <c r="D19" s="34">
        <f t="shared" si="2"/>
        <v>-5.6910133480659821</v>
      </c>
      <c r="E19" s="34">
        <f t="shared" si="3"/>
        <v>0.12280607485500615</v>
      </c>
    </row>
    <row r="20" spans="2:5" x14ac:dyDescent="0.25">
      <c r="B20">
        <v>6.2034899999999999E-3</v>
      </c>
      <c r="C20">
        <v>0.72412785882087505</v>
      </c>
      <c r="D20" s="34">
        <f t="shared" si="2"/>
        <v>-5.0826432420758767</v>
      </c>
      <c r="E20" s="34">
        <f t="shared" si="3"/>
        <v>-0.32278730160714852</v>
      </c>
    </row>
    <row r="21" spans="2:5" x14ac:dyDescent="0.25">
      <c r="B21">
        <v>1.1398500000000001E-2</v>
      </c>
      <c r="C21">
        <v>0.42673315898874753</v>
      </c>
      <c r="D21" s="34">
        <f t="shared" si="2"/>
        <v>-4.4742735111863245</v>
      </c>
      <c r="E21" s="34">
        <f t="shared" si="3"/>
        <v>-0.8515963814987132</v>
      </c>
    </row>
    <row r="22" spans="2:5" x14ac:dyDescent="0.25">
      <c r="B22">
        <v>2.09441E-2</v>
      </c>
      <c r="C22">
        <v>0.23222993279245127</v>
      </c>
      <c r="D22" s="34">
        <f t="shared" si="2"/>
        <v>-3.8658982951888641</v>
      </c>
      <c r="E22" s="34">
        <f t="shared" si="3"/>
        <v>-1.4600273084982514</v>
      </c>
    </row>
    <row r="23" spans="2:5" x14ac:dyDescent="0.25">
      <c r="B23">
        <v>3.8483299999999998E-2</v>
      </c>
      <c r="C23">
        <v>0.11738344911526809</v>
      </c>
      <c r="D23" s="34">
        <f t="shared" si="2"/>
        <v>-3.2575308980259514</v>
      </c>
      <c r="E23" s="34">
        <f t="shared" si="3"/>
        <v>-2.1423093601017835</v>
      </c>
    </row>
    <row r="24" spans="2:5" x14ac:dyDescent="0.25">
      <c r="B24">
        <v>7.0710700000000001E-2</v>
      </c>
      <c r="C24">
        <v>5.4654558448240555E-2</v>
      </c>
      <c r="D24" s="34">
        <f t="shared" si="2"/>
        <v>-2.6491583738251139</v>
      </c>
      <c r="E24" s="34">
        <f t="shared" si="3"/>
        <v>-2.9067226561594572</v>
      </c>
    </row>
    <row r="25" spans="2:5" x14ac:dyDescent="0.25">
      <c r="B25">
        <v>0.12992600000000001</v>
      </c>
      <c r="C25">
        <v>2.2812588272380176E-2</v>
      </c>
      <c r="D25" s="34">
        <f t="shared" si="2"/>
        <v>-2.0407902213691274</v>
      </c>
      <c r="E25" s="34">
        <f t="shared" si="3"/>
        <v>-3.7804427781727137</v>
      </c>
    </row>
    <row r="26" spans="2:5" x14ac:dyDescent="0.25">
      <c r="B26">
        <v>0.238731</v>
      </c>
      <c r="C26">
        <v>8.1814487195800614E-3</v>
      </c>
      <c r="D26" s="34">
        <f t="shared" si="2"/>
        <v>-1.4324178839398778</v>
      </c>
      <c r="E26" s="34">
        <f t="shared" si="3"/>
        <v>-4.805886038965598</v>
      </c>
    </row>
    <row r="27" spans="2:5" x14ac:dyDescent="0.25">
      <c r="B27">
        <v>0.43865300000000002</v>
      </c>
      <c r="C27">
        <v>2.3515541229573991E-3</v>
      </c>
      <c r="D27" s="34">
        <f t="shared" si="2"/>
        <v>-0.82404661126550938</v>
      </c>
      <c r="E27" s="34">
        <f t="shared" si="3"/>
        <v>-6.0526788404896319</v>
      </c>
    </row>
    <row r="28" spans="2:5" x14ac:dyDescent="0.25">
      <c r="B28">
        <v>0.80599699999999996</v>
      </c>
      <c r="C28">
        <v>5.0057823607384375E-4</v>
      </c>
      <c r="D28" s="34">
        <f t="shared" si="2"/>
        <v>-0.21567525856680303</v>
      </c>
      <c r="E28" s="34">
        <f t="shared" si="3"/>
        <v>-7.5997466555931901</v>
      </c>
    </row>
    <row r="29" spans="2:5" x14ac:dyDescent="0.25">
      <c r="B29">
        <v>1.4809699999999999</v>
      </c>
      <c r="C29">
        <v>7.7867155937875465E-5</v>
      </c>
      <c r="D29" s="34">
        <f t="shared" si="2"/>
        <v>0.39269727849710473</v>
      </c>
      <c r="E29" s="34">
        <f t="shared" si="3"/>
        <v>-9.4605063122493096</v>
      </c>
    </row>
    <row r="30" spans="2:5" x14ac:dyDescent="0.25">
      <c r="B30">
        <v>2.7211799999999999</v>
      </c>
      <c r="C30">
        <v>8.2645346739632316E-6</v>
      </c>
      <c r="D30" s="34">
        <f t="shared" si="2"/>
        <v>1.0010656097630972</v>
      </c>
      <c r="E30" s="34">
        <f t="shared" si="3"/>
        <v>-11.703537129067133</v>
      </c>
    </row>
    <row r="31" spans="2:5" x14ac:dyDescent="0.25">
      <c r="B31">
        <v>5</v>
      </c>
      <c r="C31">
        <v>5.6149103500747975E-7</v>
      </c>
      <c r="D31" s="34">
        <f t="shared" si="2"/>
        <v>1.6094379124341003</v>
      </c>
      <c r="E31" s="34">
        <f t="shared" si="3"/>
        <v>-14.392670029044119</v>
      </c>
    </row>
  </sheetData>
  <mergeCells count="2">
    <mergeCell ref="A4:A6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"/>
  <sheetViews>
    <sheetView topLeftCell="A34" zoomScale="85" zoomScaleNormal="85" workbookViewId="0">
      <selection activeCell="B22" sqref="B22:B36"/>
    </sheetView>
  </sheetViews>
  <sheetFormatPr defaultRowHeight="15" x14ac:dyDescent="0.25"/>
  <cols>
    <col min="1" max="1" width="20.5703125" customWidth="1"/>
    <col min="2" max="16" width="15.7109375" customWidth="1"/>
    <col min="17" max="17" width="15.5703125" customWidth="1"/>
    <col min="18" max="21" width="15.7109375" customWidth="1"/>
    <col min="22" max="22" width="15.5703125" customWidth="1"/>
    <col min="23" max="28" width="15.7109375" customWidth="1"/>
  </cols>
  <sheetData>
    <row r="1" spans="1:28" x14ac:dyDescent="0.25">
      <c r="A1" s="50" t="s">
        <v>0</v>
      </c>
      <c r="B1" s="50" t="s">
        <v>2</v>
      </c>
      <c r="C1" s="50" t="s">
        <v>3</v>
      </c>
      <c r="D1" s="50" t="s">
        <v>4</v>
      </c>
      <c r="E1" s="50" t="s">
        <v>5</v>
      </c>
      <c r="F1" s="50" t="s">
        <v>6</v>
      </c>
      <c r="G1" s="50" t="s">
        <v>7</v>
      </c>
      <c r="H1" s="50" t="s">
        <v>8</v>
      </c>
      <c r="I1" s="50" t="s">
        <v>74</v>
      </c>
      <c r="J1" s="50" t="s">
        <v>11</v>
      </c>
      <c r="K1" s="50" t="s">
        <v>12</v>
      </c>
      <c r="L1" s="50" t="s">
        <v>13</v>
      </c>
      <c r="M1" s="50" t="s">
        <v>14</v>
      </c>
      <c r="N1" s="50" t="s">
        <v>16</v>
      </c>
      <c r="O1" s="50" t="s">
        <v>17</v>
      </c>
      <c r="P1" s="50" t="s">
        <v>75</v>
      </c>
      <c r="Q1" s="50" t="s">
        <v>18</v>
      </c>
      <c r="R1" s="50" t="s">
        <v>76</v>
      </c>
      <c r="S1" s="50" t="s">
        <v>77</v>
      </c>
      <c r="T1" s="50" t="s">
        <v>19</v>
      </c>
      <c r="U1" s="50" t="s">
        <v>78</v>
      </c>
      <c r="V1" s="50" t="s">
        <v>79</v>
      </c>
      <c r="W1" s="50" t="s">
        <v>80</v>
      </c>
      <c r="X1" s="50" t="s">
        <v>21</v>
      </c>
      <c r="Y1" s="50" t="s">
        <v>81</v>
      </c>
      <c r="Z1" s="50" t="s">
        <v>82</v>
      </c>
      <c r="AA1" s="50" t="s">
        <v>83</v>
      </c>
      <c r="AB1" s="50" t="s">
        <v>84</v>
      </c>
    </row>
    <row r="2" spans="1:28" x14ac:dyDescent="0.25">
      <c r="A2">
        <v>1E-3</v>
      </c>
      <c r="B2">
        <v>1.1520379251650001</v>
      </c>
      <c r="C2">
        <v>1.15944758665</v>
      </c>
      <c r="D2">
        <v>1.1664071841700001</v>
      </c>
      <c r="E2">
        <v>1.18698131277</v>
      </c>
      <c r="F2">
        <v>1.2071843649449998</v>
      </c>
      <c r="G2">
        <v>1.23325822324</v>
      </c>
      <c r="H2">
        <v>1.2672344774200002</v>
      </c>
      <c r="I2">
        <v>1.31469271109</v>
      </c>
      <c r="J2">
        <v>1.3520612277549999</v>
      </c>
      <c r="K2">
        <v>1.3737715533900001</v>
      </c>
      <c r="L2">
        <v>1.4204102681949999</v>
      </c>
      <c r="M2">
        <v>1.4298506795950001</v>
      </c>
      <c r="N2">
        <v>1.4112350416000004</v>
      </c>
      <c r="O2">
        <v>1.3587292273</v>
      </c>
      <c r="P2">
        <v>1.284293438</v>
      </c>
      <c r="Q2">
        <v>1.1930242301500003</v>
      </c>
      <c r="R2">
        <v>1.1083527585500001</v>
      </c>
      <c r="S2">
        <v>1.0648009442499999</v>
      </c>
      <c r="T2">
        <v>1.0285329437000001</v>
      </c>
      <c r="U2">
        <v>0.95487614215000005</v>
      </c>
      <c r="V2">
        <v>0.87025353439999997</v>
      </c>
      <c r="W2">
        <v>0.76625743290000004</v>
      </c>
      <c r="X2">
        <v>0.60994013669999991</v>
      </c>
      <c r="Y2">
        <v>0.44609092575500003</v>
      </c>
      <c r="Z2">
        <v>0.35634912497999999</v>
      </c>
      <c r="AA2">
        <v>0.27150184569500002</v>
      </c>
      <c r="AB2">
        <v>0.17647603778999998</v>
      </c>
    </row>
    <row r="3" spans="1:28" x14ac:dyDescent="0.25">
      <c r="A3">
        <v>1.8374400000000001E-3</v>
      </c>
      <c r="B3">
        <v>0.87567500934999998</v>
      </c>
      <c r="C3">
        <v>0.88527766728500001</v>
      </c>
      <c r="D3">
        <v>0.89445749423500009</v>
      </c>
      <c r="E3">
        <v>0.91864478061999999</v>
      </c>
      <c r="F3">
        <v>0.94213932462750005</v>
      </c>
      <c r="G3">
        <v>0.9670801199975001</v>
      </c>
      <c r="H3">
        <v>1.0038740289000001</v>
      </c>
      <c r="I3">
        <v>1.049624725395</v>
      </c>
      <c r="J3">
        <v>1.0886768567100003</v>
      </c>
      <c r="K3">
        <v>1.1131237058350001</v>
      </c>
      <c r="L3">
        <v>1.15125963801</v>
      </c>
      <c r="M3">
        <v>1.1528745280699999</v>
      </c>
      <c r="N3">
        <v>1.1239855946800001</v>
      </c>
      <c r="O3">
        <v>1.0642224013599999</v>
      </c>
      <c r="P3">
        <v>0.98255864518000013</v>
      </c>
      <c r="Q3">
        <v>0.89207794379999994</v>
      </c>
      <c r="R3">
        <v>0.81285701510000008</v>
      </c>
      <c r="S3">
        <v>0.77389645425000009</v>
      </c>
      <c r="T3">
        <v>0.74051830080000003</v>
      </c>
      <c r="U3">
        <v>0.67435056032999996</v>
      </c>
      <c r="V3">
        <v>0.60301136022000001</v>
      </c>
      <c r="W3">
        <v>0.51998186550499992</v>
      </c>
      <c r="X3">
        <v>0.40050833785499995</v>
      </c>
      <c r="Y3">
        <v>0.28236270280499998</v>
      </c>
      <c r="Z3">
        <v>0.22028138289999999</v>
      </c>
      <c r="AA3">
        <v>0.16291261730000001</v>
      </c>
      <c r="AB3">
        <v>0.10344112766000001</v>
      </c>
    </row>
    <row r="4" spans="1:28" x14ac:dyDescent="0.25">
      <c r="A4">
        <v>3.37617E-3</v>
      </c>
      <c r="B4">
        <v>0.61117034339749998</v>
      </c>
      <c r="C4">
        <v>0.62108222304749994</v>
      </c>
      <c r="D4">
        <v>0.63066356565750004</v>
      </c>
      <c r="E4">
        <v>0.65459673935000007</v>
      </c>
      <c r="F4">
        <v>0.67779009860250006</v>
      </c>
      <c r="G4">
        <v>0.70079364781750009</v>
      </c>
      <c r="H4">
        <v>0.73848193633000003</v>
      </c>
      <c r="I4">
        <v>0.78209382086500012</v>
      </c>
      <c r="J4">
        <v>0.81856162246499997</v>
      </c>
      <c r="K4">
        <v>0.84183698428249998</v>
      </c>
      <c r="L4">
        <v>0.87005445030500006</v>
      </c>
      <c r="M4">
        <v>0.86509941549000013</v>
      </c>
      <c r="N4">
        <v>0.82438269222000016</v>
      </c>
      <c r="O4">
        <v>0.76096134624</v>
      </c>
      <c r="P4">
        <v>0.68491193078000001</v>
      </c>
      <c r="Q4">
        <v>0.60983457629999993</v>
      </c>
      <c r="R4">
        <v>0.54512680081500009</v>
      </c>
      <c r="S4">
        <v>0.51453142348000003</v>
      </c>
      <c r="T4">
        <v>0.48878427732000002</v>
      </c>
      <c r="U4">
        <v>0.43882039377500004</v>
      </c>
      <c r="V4">
        <v>0.38674800255500003</v>
      </c>
      <c r="W4">
        <v>0.32769262271499999</v>
      </c>
      <c r="X4">
        <v>0.24505631934</v>
      </c>
      <c r="Y4">
        <v>0.16701232711500003</v>
      </c>
      <c r="Z4">
        <v>0.12731906916999999</v>
      </c>
      <c r="AA4">
        <v>9.1453810520000012E-2</v>
      </c>
      <c r="AB4">
        <v>5.6711899719499997E-2</v>
      </c>
    </row>
    <row r="5" spans="1:28" x14ac:dyDescent="0.25">
      <c r="A5">
        <v>6.2034899999999999E-3</v>
      </c>
      <c r="B5">
        <v>0.39142046422749999</v>
      </c>
      <c r="C5">
        <v>0.40005766240700003</v>
      </c>
      <c r="D5">
        <v>0.40847437240000001</v>
      </c>
      <c r="E5">
        <v>0.42874661726999996</v>
      </c>
      <c r="F5">
        <v>0.44851636151399998</v>
      </c>
      <c r="G5">
        <v>0.46781692400399999</v>
      </c>
      <c r="H5">
        <v>0.50176628585700001</v>
      </c>
      <c r="I5">
        <v>0.54030139065825</v>
      </c>
      <c r="J5">
        <v>0.57146067908599996</v>
      </c>
      <c r="K5">
        <v>0.59134046696749998</v>
      </c>
      <c r="L5">
        <v>0.60892232169250005</v>
      </c>
      <c r="M5">
        <v>0.59810526501600003</v>
      </c>
      <c r="N5">
        <v>0.55135347843000004</v>
      </c>
      <c r="O5">
        <v>0.49561002592500003</v>
      </c>
      <c r="P5">
        <v>0.43663455135000001</v>
      </c>
      <c r="Q5">
        <v>0.38258329328500007</v>
      </c>
      <c r="R5">
        <v>0.33643959025000003</v>
      </c>
      <c r="S5">
        <v>0.31501939899499998</v>
      </c>
      <c r="T5">
        <v>0.29752696790499999</v>
      </c>
      <c r="U5">
        <v>0.26390803828999998</v>
      </c>
      <c r="V5">
        <v>0.22947257592600001</v>
      </c>
      <c r="W5">
        <v>0.19149565476800001</v>
      </c>
      <c r="X5">
        <v>0.13958189628500001</v>
      </c>
      <c r="Y5">
        <v>9.1944546928499987E-2</v>
      </c>
      <c r="Z5">
        <v>6.8591455156999992E-2</v>
      </c>
      <c r="AA5">
        <v>4.7943623120000001E-2</v>
      </c>
      <c r="AB5">
        <v>2.9009431868999999E-2</v>
      </c>
    </row>
    <row r="6" spans="1:28" x14ac:dyDescent="0.25">
      <c r="A6">
        <v>1.1398500000000001E-2</v>
      </c>
      <c r="B6">
        <v>0.23066657242635</v>
      </c>
      <c r="C6">
        <v>0.23727186833824998</v>
      </c>
      <c r="D6">
        <v>0.24375618571005001</v>
      </c>
      <c r="E6">
        <v>0.25890052021995003</v>
      </c>
      <c r="F6">
        <v>0.27382095158545</v>
      </c>
      <c r="G6">
        <v>0.28840335836219999</v>
      </c>
      <c r="H6">
        <v>0.31489950923370003</v>
      </c>
      <c r="I6">
        <v>0.3455333429802</v>
      </c>
      <c r="J6">
        <v>0.36951739639710002</v>
      </c>
      <c r="K6">
        <v>0.38482285147384998</v>
      </c>
      <c r="L6">
        <v>0.39366864712160005</v>
      </c>
      <c r="M6">
        <v>0.3804471470934</v>
      </c>
      <c r="N6">
        <v>0.33738192498700004</v>
      </c>
      <c r="O6">
        <v>0.29586508814349999</v>
      </c>
      <c r="P6">
        <v>0.2562911804795</v>
      </c>
      <c r="Q6">
        <v>0.22158817864050001</v>
      </c>
      <c r="R6">
        <v>0.192007418726</v>
      </c>
      <c r="S6">
        <v>0.17838151724500001</v>
      </c>
      <c r="T6">
        <v>0.1676274350045</v>
      </c>
      <c r="U6">
        <v>0.14695537271050002</v>
      </c>
      <c r="V6">
        <v>0.126036906979</v>
      </c>
      <c r="W6">
        <v>0.10369435394050001</v>
      </c>
      <c r="X6">
        <v>7.3859870949500001E-2</v>
      </c>
      <c r="Y6">
        <v>4.707410806960001E-2</v>
      </c>
      <c r="Z6">
        <v>3.43357962275E-2</v>
      </c>
      <c r="AA6">
        <v>2.3413943549100001E-2</v>
      </c>
      <c r="AB6">
        <v>1.3782190493599997E-2</v>
      </c>
    </row>
    <row r="7" spans="1:28" x14ac:dyDescent="0.25">
      <c r="A7">
        <v>2.09441E-2</v>
      </c>
      <c r="B7">
        <v>0.125529693401325</v>
      </c>
      <c r="C7">
        <v>0.12998557359106799</v>
      </c>
      <c r="D7">
        <v>0.13439796378452901</v>
      </c>
      <c r="E7">
        <v>0.14444708915562299</v>
      </c>
      <c r="F7">
        <v>0.154487812990799</v>
      </c>
      <c r="G7">
        <v>0.16439448592735401</v>
      </c>
      <c r="H7">
        <v>0.182471515296211</v>
      </c>
      <c r="I7">
        <v>0.20406582826025699</v>
      </c>
      <c r="J7">
        <v>0.22043519958513003</v>
      </c>
      <c r="K7">
        <v>0.23099287953706799</v>
      </c>
      <c r="L7">
        <v>0.23431021771586003</v>
      </c>
      <c r="M7">
        <v>0.22262472117496002</v>
      </c>
      <c r="N7">
        <v>0.18971698128699999</v>
      </c>
      <c r="O7">
        <v>0.16305696304649997</v>
      </c>
      <c r="P7">
        <v>0.13950773767880001</v>
      </c>
      <c r="Q7">
        <v>0.11915801276089999</v>
      </c>
      <c r="R7">
        <v>0.10176090017320001</v>
      </c>
      <c r="S7">
        <v>9.3793409478699991E-2</v>
      </c>
      <c r="T7">
        <v>8.7699532885800013E-2</v>
      </c>
      <c r="U7">
        <v>7.5975354460399991E-2</v>
      </c>
      <c r="V7">
        <v>6.4270472890100003E-2</v>
      </c>
      <c r="W7">
        <v>5.2183095906399996E-2</v>
      </c>
      <c r="X7">
        <v>3.6353322648099998E-2</v>
      </c>
      <c r="Y7">
        <v>2.247805350742E-2</v>
      </c>
      <c r="Z7">
        <v>1.6018534038380002E-2</v>
      </c>
      <c r="AA7">
        <v>1.0693527922790002E-2</v>
      </c>
      <c r="AB7">
        <v>6.0424551452300003E-3</v>
      </c>
    </row>
    <row r="8" spans="1:28" x14ac:dyDescent="0.25">
      <c r="A8">
        <v>3.8483299999999998E-2</v>
      </c>
      <c r="B8">
        <v>6.3450513035280043E-2</v>
      </c>
      <c r="C8">
        <v>6.6162381284889091E-2</v>
      </c>
      <c r="D8">
        <v>6.8862670525355274E-2</v>
      </c>
      <c r="E8">
        <v>7.4859672499355795E-2</v>
      </c>
      <c r="F8">
        <v>8.0909005028593634E-2</v>
      </c>
      <c r="G8">
        <v>8.6925559858716084E-2</v>
      </c>
      <c r="H8">
        <v>9.7643619369218615E-2</v>
      </c>
      <c r="I8">
        <v>0.11105235016494935</v>
      </c>
      <c r="J8">
        <v>0.12083606617016093</v>
      </c>
      <c r="K8">
        <v>0.127272745380311</v>
      </c>
      <c r="L8">
        <v>0.12800186900686714</v>
      </c>
      <c r="M8">
        <v>0.1199421214242781</v>
      </c>
      <c r="N8">
        <v>9.8731642312309992E-2</v>
      </c>
      <c r="O8">
        <v>8.3599671170260015E-2</v>
      </c>
      <c r="P8">
        <v>7.0803687262160006E-2</v>
      </c>
      <c r="Q8">
        <v>5.9740151997150007E-2</v>
      </c>
      <c r="R8">
        <v>5.0276198266939999E-2</v>
      </c>
      <c r="S8">
        <v>4.5991248077640004E-2</v>
      </c>
      <c r="T8">
        <v>4.2793349657809995E-2</v>
      </c>
      <c r="U8">
        <v>3.6648738845909995E-2</v>
      </c>
      <c r="V8">
        <v>3.0595847544669999E-2</v>
      </c>
      <c r="W8">
        <v>2.4529166030312001E-2</v>
      </c>
      <c r="X8">
        <v>1.6730961601355E-2</v>
      </c>
      <c r="Y8">
        <v>1.0021003458073E-2</v>
      </c>
      <c r="Z8">
        <v>6.9761254691320003E-3</v>
      </c>
      <c r="AA8">
        <v>4.5771411964179998E-3</v>
      </c>
      <c r="AB8">
        <v>2.3732804931153998E-3</v>
      </c>
    </row>
    <row r="9" spans="1:28" x14ac:dyDescent="0.25">
      <c r="A9">
        <v>7.0710700000000001E-2</v>
      </c>
      <c r="B9">
        <v>2.9543004566616515E-2</v>
      </c>
      <c r="C9">
        <v>3.1064538173917744E-2</v>
      </c>
      <c r="D9">
        <v>3.2588324094340919E-2</v>
      </c>
      <c r="E9">
        <v>3.5913073867259962E-2</v>
      </c>
      <c r="F9">
        <v>3.9286775455443845E-2</v>
      </c>
      <c r="G9">
        <v>4.2655795329246113E-2</v>
      </c>
      <c r="H9">
        <v>4.8384221589950538E-2</v>
      </c>
      <c r="I9">
        <v>5.5811029839166415E-2</v>
      </c>
      <c r="J9">
        <v>6.0898471691806205E-2</v>
      </c>
      <c r="K9">
        <v>6.4345060369658064E-2</v>
      </c>
      <c r="L9">
        <v>6.436588366539156E-2</v>
      </c>
      <c r="M9">
        <v>5.9847860893614116E-2</v>
      </c>
      <c r="N9">
        <v>4.7824923052238094E-2</v>
      </c>
      <c r="O9">
        <v>3.99908644227343E-2</v>
      </c>
      <c r="P9">
        <v>3.3525821341406997E-2</v>
      </c>
      <c r="Q9">
        <v>2.7908664549455002E-2</v>
      </c>
      <c r="R9">
        <v>2.3149070165924702E-2</v>
      </c>
      <c r="S9">
        <v>2.1036881865443002E-2</v>
      </c>
      <c r="T9">
        <v>1.94831512490427E-2</v>
      </c>
      <c r="U9">
        <v>1.6506548368479798E-2</v>
      </c>
      <c r="V9">
        <v>1.3614179005111599E-2</v>
      </c>
      <c r="W9">
        <v>1.0764906212067899E-2</v>
      </c>
      <c r="X9">
        <v>7.1809400593832104E-3</v>
      </c>
      <c r="Y9">
        <v>4.1365397158539402E-3</v>
      </c>
      <c r="Z9">
        <v>2.7958904974326199E-3</v>
      </c>
      <c r="AA9">
        <v>1.7999890250643062E-3</v>
      </c>
      <c r="AB9">
        <v>7.9439640579564497E-4</v>
      </c>
    </row>
    <row r="10" spans="1:28" x14ac:dyDescent="0.25">
      <c r="A10">
        <v>0.12992600000000001</v>
      </c>
      <c r="B10">
        <v>1.2331128795881175E-2</v>
      </c>
      <c r="C10">
        <v>1.31021773022874E-2</v>
      </c>
      <c r="D10">
        <v>1.3881563933272476E-2</v>
      </c>
      <c r="E10">
        <v>1.5577452016957663E-2</v>
      </c>
      <c r="F10">
        <v>1.7315698421592973E-2</v>
      </c>
      <c r="G10">
        <v>1.9064807286114926E-2</v>
      </c>
      <c r="H10">
        <v>2.1925254604014031E-2</v>
      </c>
      <c r="I10">
        <v>2.571677724912716E-2</v>
      </c>
      <c r="J10">
        <v>2.8113476460624447E-2</v>
      </c>
      <c r="K10">
        <v>2.978476211928326E-2</v>
      </c>
      <c r="L10">
        <v>2.9757396967003351E-2</v>
      </c>
      <c r="M10">
        <v>2.7577647706099842E-2</v>
      </c>
      <c r="N10">
        <v>2.1453922257177134E-2</v>
      </c>
      <c r="O10">
        <v>1.7734861892490357E-2</v>
      </c>
      <c r="P10">
        <v>1.4694941710214078E-2</v>
      </c>
      <c r="Q10">
        <v>1.2048510097551639E-2</v>
      </c>
      <c r="R10">
        <v>9.8620670303235965E-3</v>
      </c>
      <c r="S10">
        <v>8.9189276350509841E-3</v>
      </c>
      <c r="T10">
        <v>8.2255269314638162E-3</v>
      </c>
      <c r="U10">
        <v>6.8977564292984211E-3</v>
      </c>
      <c r="V10">
        <v>5.6291007640047429E-3</v>
      </c>
      <c r="W10">
        <v>4.3818937812587421E-3</v>
      </c>
      <c r="X10">
        <v>2.8447509801611381E-3</v>
      </c>
      <c r="Y10">
        <v>1.5557478814335612E-3</v>
      </c>
      <c r="Z10">
        <v>1.0068383972470368E-3</v>
      </c>
      <c r="AA10">
        <v>6.2558555976524924E-4</v>
      </c>
      <c r="AB10">
        <v>2.093252736459206E-4</v>
      </c>
    </row>
    <row r="11" spans="1:28" x14ac:dyDescent="0.25">
      <c r="A11">
        <v>0.238731</v>
      </c>
      <c r="B11">
        <v>4.4224047132865197E-3</v>
      </c>
      <c r="C11">
        <v>4.7576173510792009E-3</v>
      </c>
      <c r="D11">
        <v>5.1015410107805477E-3</v>
      </c>
      <c r="E11">
        <v>5.8617122891692405E-3</v>
      </c>
      <c r="F11">
        <v>6.6560421067872258E-3</v>
      </c>
      <c r="G11">
        <v>7.4700067045055246E-3</v>
      </c>
      <c r="H11">
        <v>8.7929664940105644E-3</v>
      </c>
      <c r="I11">
        <v>1.0570722195437039E-2</v>
      </c>
      <c r="J11">
        <v>1.1636026922551492E-2</v>
      </c>
      <c r="K11">
        <v>1.2396389238208275E-2</v>
      </c>
      <c r="L11">
        <v>1.2449242402866687E-2</v>
      </c>
      <c r="M11">
        <v>1.1530258087303347E-2</v>
      </c>
      <c r="N11">
        <v>8.756473572983467E-3</v>
      </c>
      <c r="O11">
        <v>7.1680472623681579E-3</v>
      </c>
      <c r="P11">
        <v>5.861034904219414E-3</v>
      </c>
      <c r="Q11">
        <v>4.72189734462966E-3</v>
      </c>
      <c r="R11">
        <v>3.822280714957966E-3</v>
      </c>
      <c r="S11">
        <v>3.448436616964895E-3</v>
      </c>
      <c r="T11">
        <v>3.1695584711958881E-3</v>
      </c>
      <c r="U11">
        <v>2.6341227371230514E-3</v>
      </c>
      <c r="V11">
        <v>2.1297985791289909E-3</v>
      </c>
      <c r="W11">
        <v>1.6303489769963317E-3</v>
      </c>
      <c r="X11">
        <v>1.0173788879770784E-3</v>
      </c>
      <c r="Y11">
        <v>5.0443197864007551E-4</v>
      </c>
      <c r="Z11">
        <v>2.9885918205939632E-4</v>
      </c>
      <c r="AA11">
        <v>1.6923637797550942E-4</v>
      </c>
      <c r="AB11">
        <v>3.4343764020138144E-5</v>
      </c>
    </row>
    <row r="12" spans="1:28" x14ac:dyDescent="0.25">
      <c r="A12">
        <v>0.43865300000000002</v>
      </c>
      <c r="B12">
        <v>1.2711103367337292E-3</v>
      </c>
      <c r="C12">
        <v>1.3875544622937623E-3</v>
      </c>
      <c r="D12">
        <v>1.5096567413156689E-3</v>
      </c>
      <c r="E12">
        <v>1.7905327205370413E-3</v>
      </c>
      <c r="F12">
        <v>2.0930103920366169E-3</v>
      </c>
      <c r="G12">
        <v>2.4127452908496629E-3</v>
      </c>
      <c r="H12">
        <v>2.9607803321940766E-3</v>
      </c>
      <c r="I12">
        <v>3.7008195528572324E-3</v>
      </c>
      <c r="J12">
        <v>4.1539499827213987E-3</v>
      </c>
      <c r="K12">
        <v>4.4841209906131135E-3</v>
      </c>
      <c r="L12">
        <v>4.5793320627839258E-3</v>
      </c>
      <c r="M12">
        <v>4.2416169634926712E-3</v>
      </c>
      <c r="N12">
        <v>3.1507556799234377E-3</v>
      </c>
      <c r="O12">
        <v>2.5579383294583148E-3</v>
      </c>
      <c r="P12">
        <v>2.0602384988864251E-3</v>
      </c>
      <c r="Q12">
        <v>1.6228005685172248E-3</v>
      </c>
      <c r="R12">
        <v>1.3027610969147251E-3</v>
      </c>
      <c r="S12">
        <v>1.1763615484329251E-3</v>
      </c>
      <c r="T12">
        <v>1.0791445211352751E-3</v>
      </c>
      <c r="U12">
        <v>8.8904761693142501E-4</v>
      </c>
      <c r="V12">
        <v>7.0945000403592495E-4</v>
      </c>
      <c r="W12">
        <v>5.2939873639228996E-4</v>
      </c>
      <c r="X12">
        <v>3.0156935456440476E-4</v>
      </c>
      <c r="Y12">
        <v>1.2083559869265844E-4</v>
      </c>
      <c r="Z12">
        <v>5.8949399596572507E-5</v>
      </c>
      <c r="AA12">
        <v>2.7040077406744099E-5</v>
      </c>
      <c r="AB12">
        <v>3.8067023672633939E-6</v>
      </c>
    </row>
    <row r="13" spans="1:28" x14ac:dyDescent="0.25">
      <c r="A13">
        <v>0.80599699999999996</v>
      </c>
      <c r="B13">
        <v>2.7058283031018579E-4</v>
      </c>
      <c r="C13">
        <v>2.9907934244590773E-4</v>
      </c>
      <c r="D13">
        <v>3.2987233635685983E-4</v>
      </c>
      <c r="E13">
        <v>4.0637601391678365E-4</v>
      </c>
      <c r="F13">
        <v>4.9245373490152506E-4</v>
      </c>
      <c r="G13">
        <v>5.8756754147611047E-4</v>
      </c>
      <c r="H13">
        <v>7.6707066721047026E-4</v>
      </c>
      <c r="I13">
        <v>1.0253641140716072E-3</v>
      </c>
      <c r="J13">
        <v>1.2003924064879642E-3</v>
      </c>
      <c r="K13">
        <v>1.330982058842644E-3</v>
      </c>
      <c r="L13">
        <v>1.4108032956846096E-3</v>
      </c>
      <c r="M13">
        <v>1.299451793729724E-3</v>
      </c>
      <c r="N13">
        <v>9.4215928076251711E-4</v>
      </c>
      <c r="O13">
        <v>7.6282600716135742E-4</v>
      </c>
      <c r="P13">
        <v>6.0165270204820564E-4</v>
      </c>
      <c r="Q13">
        <v>4.5953963100488877E-4</v>
      </c>
      <c r="R13">
        <v>3.6713112689190554E-4</v>
      </c>
      <c r="S13">
        <v>3.314525320597271E-4</v>
      </c>
      <c r="T13">
        <v>3.0243489910438922E-4</v>
      </c>
      <c r="U13">
        <v>2.4430109378237416E-4</v>
      </c>
      <c r="V13">
        <v>1.8945936299079137E-4</v>
      </c>
      <c r="W13">
        <v>1.3283011277091263E-4</v>
      </c>
      <c r="X13">
        <v>6.2441156388274259E-5</v>
      </c>
      <c r="Y13">
        <v>1.95959547130938E-5</v>
      </c>
      <c r="Z13">
        <v>7.3971833719988009E-6</v>
      </c>
      <c r="AA13">
        <v>2.6896305251897846E-6</v>
      </c>
      <c r="AB13">
        <v>4.1026160673802671E-7</v>
      </c>
    </row>
    <row r="14" spans="1:28" x14ac:dyDescent="0.25">
      <c r="A14">
        <v>1.4809699999999999</v>
      </c>
      <c r="B14">
        <v>4.209035456101376E-5</v>
      </c>
      <c r="C14">
        <v>4.6882080915915572E-5</v>
      </c>
      <c r="D14">
        <v>5.2224292247538324E-5</v>
      </c>
      <c r="E14">
        <v>6.6934035687062158E-5</v>
      </c>
      <c r="F14">
        <v>8.4245787377757846E-5</v>
      </c>
      <c r="G14">
        <v>1.0424860117703065E-4</v>
      </c>
      <c r="H14">
        <v>1.4406860866138016E-4</v>
      </c>
      <c r="I14">
        <v>2.1432189147092462E-4</v>
      </c>
      <c r="J14">
        <v>2.6837506269306597E-4</v>
      </c>
      <c r="K14">
        <v>3.107442107335407E-4</v>
      </c>
      <c r="L14">
        <v>3.5037022721657587E-4</v>
      </c>
      <c r="M14">
        <v>3.1427724306846739E-4</v>
      </c>
      <c r="N14">
        <v>2.2149747105636551E-4</v>
      </c>
      <c r="O14">
        <v>1.8436553894435933E-4</v>
      </c>
      <c r="P14">
        <v>1.4036410980745648E-4</v>
      </c>
      <c r="Q14">
        <v>1.0399894302133892E-4</v>
      </c>
      <c r="R14">
        <v>8.2997927073619659E-5</v>
      </c>
      <c r="S14">
        <v>7.4204355513916574E-5</v>
      </c>
      <c r="T14">
        <v>6.6575667967378491E-5</v>
      </c>
      <c r="U14">
        <v>5.1420910285100395E-5</v>
      </c>
      <c r="V14">
        <v>3.8269452044744067E-5</v>
      </c>
      <c r="W14">
        <v>2.3903353736113485E-5</v>
      </c>
      <c r="X14">
        <v>8.8078084372817085E-6</v>
      </c>
      <c r="Y14">
        <v>2.2010624036560982E-6</v>
      </c>
      <c r="Z14">
        <v>6.5561337208388541E-7</v>
      </c>
      <c r="AA14">
        <v>1.9362627668754777E-7</v>
      </c>
      <c r="AB14">
        <v>3.8843849828841249E-8</v>
      </c>
    </row>
    <row r="15" spans="1:28" x14ac:dyDescent="0.25">
      <c r="A15">
        <v>2.7211799999999999</v>
      </c>
      <c r="B15">
        <v>4.4673160399801254E-6</v>
      </c>
      <c r="C15">
        <v>5.0161299588670201E-6</v>
      </c>
      <c r="D15">
        <v>5.6512801746441752E-6</v>
      </c>
      <c r="E15">
        <v>7.6077650947474702E-6</v>
      </c>
      <c r="F15">
        <v>1.0037196124851301E-5</v>
      </c>
      <c r="G15">
        <v>1.2992968713446587E-5</v>
      </c>
      <c r="H15">
        <v>1.9544112529261169E-5</v>
      </c>
      <c r="I15">
        <v>3.3187788341532339E-5</v>
      </c>
      <c r="J15">
        <v>4.5587150594900051E-5</v>
      </c>
      <c r="K15">
        <v>5.619942960403277E-5</v>
      </c>
      <c r="L15">
        <v>6.8905415876023795E-5</v>
      </c>
      <c r="M15">
        <v>5.9062643550473936E-5</v>
      </c>
      <c r="N15">
        <v>4.0488907450115995E-5</v>
      </c>
      <c r="O15">
        <v>3.5332705638205751E-5</v>
      </c>
      <c r="P15">
        <v>2.5525348299959001E-5</v>
      </c>
      <c r="Q15">
        <v>1.8196938366426249E-5</v>
      </c>
      <c r="R15">
        <v>1.416072887865071E-5</v>
      </c>
      <c r="S15">
        <v>1.2398424606525713E-5</v>
      </c>
      <c r="T15">
        <v>1.0842645624553564E-5</v>
      </c>
      <c r="U15">
        <v>7.9083182194127357E-6</v>
      </c>
      <c r="V15">
        <v>5.5444301128992218E-6</v>
      </c>
      <c r="W15">
        <v>2.9899021418472002E-6</v>
      </c>
      <c r="X15">
        <v>8.3301943503001566E-7</v>
      </c>
      <c r="Y15">
        <v>1.52858603227203E-7</v>
      </c>
      <c r="Z15">
        <v>3.6602156100923455E-8</v>
      </c>
      <c r="AA15">
        <v>9.187228588889841E-9</v>
      </c>
      <c r="AB15">
        <v>3.067931939794016E-9</v>
      </c>
    </row>
    <row r="16" spans="1:28" x14ac:dyDescent="0.25">
      <c r="A16">
        <v>5</v>
      </c>
      <c r="B16">
        <v>3.0350866757161069E-7</v>
      </c>
      <c r="C16">
        <v>3.4476627618729436E-7</v>
      </c>
      <c r="D16">
        <v>3.944805833578699E-7</v>
      </c>
      <c r="E16">
        <v>5.6254381318612799E-7</v>
      </c>
      <c r="F16">
        <v>7.8431049750238457E-7</v>
      </c>
      <c r="G16">
        <v>1.0703683469123901E-6</v>
      </c>
      <c r="H16">
        <v>1.7745057317394651E-6</v>
      </c>
      <c r="I16">
        <v>3.4851220107591998E-6</v>
      </c>
      <c r="J16">
        <v>5.3619978150059511E-6</v>
      </c>
      <c r="K16">
        <v>7.1703749286430493E-6</v>
      </c>
      <c r="L16">
        <v>9.704202436362199E-6</v>
      </c>
      <c r="M16">
        <v>7.8781381315572329E-6</v>
      </c>
      <c r="N16">
        <v>5.2080373196755142E-6</v>
      </c>
      <c r="O16">
        <v>4.7797939792886195E-6</v>
      </c>
      <c r="P16">
        <v>3.2203384644681954E-6</v>
      </c>
      <c r="Q16">
        <v>2.1583307601271773E-6</v>
      </c>
      <c r="R16">
        <v>1.5893729025977157E-6</v>
      </c>
      <c r="S16">
        <v>1.3476542770577082E-6</v>
      </c>
      <c r="T16">
        <v>1.1399057655984406E-6</v>
      </c>
      <c r="U16">
        <v>7.7645246029628177E-7</v>
      </c>
      <c r="V16">
        <v>5.0300416662388229E-7</v>
      </c>
      <c r="W16">
        <v>2.2990863929521537E-7</v>
      </c>
      <c r="X16">
        <v>4.7233502018912927E-8</v>
      </c>
      <c r="Y16">
        <v>6.2911131645983949E-9</v>
      </c>
      <c r="Z16">
        <v>1.3297567105226485E-9</v>
      </c>
      <c r="AA16">
        <v>3.2871649071285201E-10</v>
      </c>
      <c r="AB16">
        <v>1.9286170908100002E-10</v>
      </c>
    </row>
    <row r="19" spans="1:28" x14ac:dyDescent="0.25">
      <c r="A19" s="45" t="s">
        <v>86</v>
      </c>
      <c r="B19" s="45">
        <v>1.85</v>
      </c>
    </row>
    <row r="20" spans="1:28" x14ac:dyDescent="0.25">
      <c r="A20" s="46" t="s">
        <v>87</v>
      </c>
      <c r="B20" s="46"/>
    </row>
    <row r="21" spans="1:28" x14ac:dyDescent="0.25">
      <c r="A21" s="50" t="s">
        <v>0</v>
      </c>
      <c r="B21" s="50" t="s">
        <v>2</v>
      </c>
      <c r="C21" s="50" t="s">
        <v>3</v>
      </c>
      <c r="D21" s="50" t="s">
        <v>4</v>
      </c>
      <c r="E21" s="50" t="s">
        <v>5</v>
      </c>
      <c r="F21" s="50" t="s">
        <v>6</v>
      </c>
      <c r="G21" s="50" t="s">
        <v>7</v>
      </c>
      <c r="H21" s="50" t="s">
        <v>8</v>
      </c>
      <c r="I21" s="50" t="s">
        <v>74</v>
      </c>
      <c r="J21" s="50" t="s">
        <v>11</v>
      </c>
      <c r="K21" s="50" t="s">
        <v>12</v>
      </c>
      <c r="L21" s="50" t="s">
        <v>13</v>
      </c>
      <c r="M21" s="50" t="s">
        <v>14</v>
      </c>
      <c r="N21" s="50" t="s">
        <v>16</v>
      </c>
      <c r="O21" s="50" t="s">
        <v>17</v>
      </c>
      <c r="P21" s="50" t="s">
        <v>75</v>
      </c>
      <c r="Q21" s="50" t="s">
        <v>18</v>
      </c>
      <c r="R21" s="50" t="s">
        <v>76</v>
      </c>
      <c r="S21" s="50" t="s">
        <v>77</v>
      </c>
      <c r="T21" s="50" t="s">
        <v>19</v>
      </c>
      <c r="U21" s="50" t="s">
        <v>78</v>
      </c>
      <c r="V21" s="50" t="s">
        <v>79</v>
      </c>
      <c r="W21" s="50" t="s">
        <v>80</v>
      </c>
      <c r="X21" s="50" t="s">
        <v>21</v>
      </c>
      <c r="Y21" s="50" t="s">
        <v>81</v>
      </c>
      <c r="Z21" s="50" t="s">
        <v>82</v>
      </c>
      <c r="AA21" s="50" t="s">
        <v>83</v>
      </c>
      <c r="AB21" s="50" t="s">
        <v>84</v>
      </c>
    </row>
    <row r="22" spans="1:28" x14ac:dyDescent="0.25">
      <c r="A22">
        <v>1E-3</v>
      </c>
      <c r="B22">
        <f>($B$19*B2)</f>
        <v>2.1312701615552503</v>
      </c>
      <c r="C22">
        <f t="shared" ref="C22:AB32" si="0">($B$19*C2)</f>
        <v>2.1449780353025001</v>
      </c>
      <c r="D22">
        <f t="shared" si="0"/>
        <v>2.1578532907145003</v>
      </c>
      <c r="E22">
        <f t="shared" si="0"/>
        <v>2.1959154286245002</v>
      </c>
      <c r="F22">
        <f t="shared" si="0"/>
        <v>2.2332910751482498</v>
      </c>
      <c r="G22">
        <f t="shared" si="0"/>
        <v>2.2815277129939999</v>
      </c>
      <c r="H22">
        <f t="shared" si="0"/>
        <v>2.3443837832270003</v>
      </c>
      <c r="I22">
        <f t="shared" si="0"/>
        <v>2.4321815155165001</v>
      </c>
      <c r="J22">
        <f t="shared" si="0"/>
        <v>2.5013132713467501</v>
      </c>
      <c r="K22">
        <f t="shared" si="0"/>
        <v>2.5414773737715004</v>
      </c>
      <c r="L22">
        <f t="shared" si="0"/>
        <v>2.6277589961607499</v>
      </c>
      <c r="M22">
        <f t="shared" si="0"/>
        <v>2.6452237572507502</v>
      </c>
      <c r="N22">
        <f t="shared" si="0"/>
        <v>2.6107848269600007</v>
      </c>
      <c r="O22">
        <f t="shared" si="0"/>
        <v>2.5136490705050001</v>
      </c>
      <c r="P22">
        <f t="shared" si="0"/>
        <v>2.3759428602999999</v>
      </c>
      <c r="Q22">
        <f t="shared" si="0"/>
        <v>2.2070948257775007</v>
      </c>
      <c r="R22">
        <f t="shared" si="0"/>
        <v>2.0504526033175003</v>
      </c>
      <c r="S22">
        <f t="shared" si="0"/>
        <v>1.9698817468625001</v>
      </c>
      <c r="T22">
        <f t="shared" si="0"/>
        <v>1.9027859458450003</v>
      </c>
      <c r="U22">
        <f t="shared" si="0"/>
        <v>1.7665208629775002</v>
      </c>
      <c r="V22">
        <f t="shared" si="0"/>
        <v>1.6099690386400001</v>
      </c>
      <c r="W22">
        <f t="shared" si="0"/>
        <v>1.4175762508650001</v>
      </c>
      <c r="X22">
        <f t="shared" si="0"/>
        <v>1.1283892528949999</v>
      </c>
      <c r="Y22">
        <f t="shared" si="0"/>
        <v>0.8252682126467501</v>
      </c>
      <c r="Z22">
        <f t="shared" si="0"/>
        <v>0.65924588121299998</v>
      </c>
      <c r="AA22">
        <f t="shared" si="0"/>
        <v>0.50227841453575006</v>
      </c>
      <c r="AB22">
        <f t="shared" si="0"/>
        <v>0.32648066991149999</v>
      </c>
    </row>
    <row r="23" spans="1:28" x14ac:dyDescent="0.25">
      <c r="A23">
        <v>1.8374400000000001E-3</v>
      </c>
      <c r="B23">
        <f t="shared" ref="B23:Q36" si="1">($B$19*B3)</f>
        <v>1.6199987672975</v>
      </c>
      <c r="C23">
        <f t="shared" si="1"/>
        <v>1.6377636844772501</v>
      </c>
      <c r="D23">
        <f t="shared" si="1"/>
        <v>1.6547463643347502</v>
      </c>
      <c r="E23">
        <f t="shared" si="1"/>
        <v>1.6994928441470001</v>
      </c>
      <c r="F23">
        <f t="shared" si="1"/>
        <v>1.7429577505608751</v>
      </c>
      <c r="G23">
        <f t="shared" si="1"/>
        <v>1.7890982219953753</v>
      </c>
      <c r="H23">
        <f t="shared" si="1"/>
        <v>1.8571669534650004</v>
      </c>
      <c r="I23">
        <f t="shared" si="1"/>
        <v>1.94180574198075</v>
      </c>
      <c r="J23">
        <f t="shared" si="1"/>
        <v>2.0140521849135005</v>
      </c>
      <c r="K23">
        <f t="shared" si="1"/>
        <v>2.0592788557947501</v>
      </c>
      <c r="L23">
        <f t="shared" si="1"/>
        <v>2.1298303303185002</v>
      </c>
      <c r="M23">
        <f t="shared" si="1"/>
        <v>2.1328178769294999</v>
      </c>
      <c r="N23">
        <f t="shared" si="1"/>
        <v>2.0793733501580003</v>
      </c>
      <c r="O23">
        <f t="shared" si="1"/>
        <v>1.9688114425159999</v>
      </c>
      <c r="P23">
        <f t="shared" si="1"/>
        <v>1.8177334935830003</v>
      </c>
      <c r="Q23">
        <f t="shared" si="1"/>
        <v>1.65034419603</v>
      </c>
      <c r="R23">
        <f t="shared" si="0"/>
        <v>1.5037854779350002</v>
      </c>
      <c r="S23">
        <f t="shared" si="0"/>
        <v>1.4317084403625002</v>
      </c>
      <c r="T23">
        <f t="shared" si="0"/>
        <v>1.36995885648</v>
      </c>
      <c r="U23">
        <f t="shared" si="0"/>
        <v>1.2475485366104999</v>
      </c>
      <c r="V23">
        <f t="shared" si="0"/>
        <v>1.1155710164070001</v>
      </c>
      <c r="W23">
        <f t="shared" si="0"/>
        <v>0.96196645118424995</v>
      </c>
      <c r="X23">
        <f t="shared" si="0"/>
        <v>0.74094042503174995</v>
      </c>
      <c r="Y23">
        <f t="shared" si="0"/>
        <v>0.52237100018924998</v>
      </c>
      <c r="Z23">
        <f t="shared" si="0"/>
        <v>0.40752055836500001</v>
      </c>
      <c r="AA23">
        <f t="shared" si="0"/>
        <v>0.30138834200500003</v>
      </c>
      <c r="AB23">
        <f t="shared" si="0"/>
        <v>0.19136608617100001</v>
      </c>
    </row>
    <row r="24" spans="1:28" x14ac:dyDescent="0.25">
      <c r="A24">
        <v>3.37617E-3</v>
      </c>
      <c r="B24">
        <f t="shared" si="1"/>
        <v>1.1306651352853749</v>
      </c>
      <c r="C24">
        <f t="shared" si="0"/>
        <v>1.1490021126378749</v>
      </c>
      <c r="D24">
        <f t="shared" si="0"/>
        <v>1.166727596466375</v>
      </c>
      <c r="E24">
        <f t="shared" si="0"/>
        <v>1.2110039677975002</v>
      </c>
      <c r="F24">
        <f t="shared" si="0"/>
        <v>1.2539116824146253</v>
      </c>
      <c r="G24">
        <f t="shared" si="0"/>
        <v>1.2964682484623753</v>
      </c>
      <c r="H24">
        <f t="shared" si="0"/>
        <v>1.3661915822105002</v>
      </c>
      <c r="I24">
        <f t="shared" si="0"/>
        <v>1.4468735686002503</v>
      </c>
      <c r="J24">
        <f t="shared" si="0"/>
        <v>1.51433900156025</v>
      </c>
      <c r="K24">
        <f t="shared" si="0"/>
        <v>1.557398420922625</v>
      </c>
      <c r="L24">
        <f t="shared" si="0"/>
        <v>1.6096007330642501</v>
      </c>
      <c r="M24">
        <f t="shared" si="0"/>
        <v>1.6004339186565004</v>
      </c>
      <c r="N24">
        <f t="shared" si="0"/>
        <v>1.5251079806070003</v>
      </c>
      <c r="O24">
        <f t="shared" si="0"/>
        <v>1.4077784905440001</v>
      </c>
      <c r="P24">
        <f t="shared" si="0"/>
        <v>1.2670870719430001</v>
      </c>
      <c r="Q24">
        <f t="shared" si="0"/>
        <v>1.128193966155</v>
      </c>
      <c r="R24">
        <f t="shared" si="0"/>
        <v>1.0084845815077501</v>
      </c>
      <c r="S24">
        <f t="shared" si="0"/>
        <v>0.95188313343800013</v>
      </c>
      <c r="T24">
        <f t="shared" si="0"/>
        <v>0.90425091304200012</v>
      </c>
      <c r="U24">
        <f t="shared" si="0"/>
        <v>0.81181772848375011</v>
      </c>
      <c r="V24">
        <f t="shared" si="0"/>
        <v>0.71548380472675011</v>
      </c>
      <c r="W24">
        <f t="shared" si="0"/>
        <v>0.60623135202275003</v>
      </c>
      <c r="X24">
        <f t="shared" si="0"/>
        <v>0.45335419077900002</v>
      </c>
      <c r="Y24">
        <f t="shared" si="0"/>
        <v>0.30897280516275005</v>
      </c>
      <c r="Z24">
        <f t="shared" si="0"/>
        <v>0.2355402779645</v>
      </c>
      <c r="AA24">
        <f t="shared" si="0"/>
        <v>0.16918954946200002</v>
      </c>
      <c r="AB24">
        <f t="shared" si="0"/>
        <v>0.104917014481075</v>
      </c>
    </row>
    <row r="25" spans="1:28" x14ac:dyDescent="0.25">
      <c r="A25">
        <v>6.2034899999999999E-3</v>
      </c>
      <c r="B25">
        <f t="shared" si="1"/>
        <v>0.72412785882087505</v>
      </c>
      <c r="C25">
        <f t="shared" si="0"/>
        <v>0.74010667545295006</v>
      </c>
      <c r="D25">
        <f t="shared" si="0"/>
        <v>0.75567758894000003</v>
      </c>
      <c r="E25">
        <f t="shared" si="0"/>
        <v>0.79318124194950002</v>
      </c>
      <c r="F25">
        <f t="shared" si="0"/>
        <v>0.8297552688009</v>
      </c>
      <c r="G25">
        <f t="shared" si="0"/>
        <v>0.86546130940740007</v>
      </c>
      <c r="H25">
        <f t="shared" si="0"/>
        <v>0.92826762883545011</v>
      </c>
      <c r="I25">
        <f t="shared" si="0"/>
        <v>0.99955757271776258</v>
      </c>
      <c r="J25">
        <f t="shared" si="0"/>
        <v>1.0572022563090999</v>
      </c>
      <c r="K25">
        <f t="shared" si="0"/>
        <v>1.093979863889875</v>
      </c>
      <c r="L25">
        <f t="shared" si="0"/>
        <v>1.1265062951311251</v>
      </c>
      <c r="M25">
        <f t="shared" si="0"/>
        <v>1.1064947402796002</v>
      </c>
      <c r="N25">
        <f t="shared" si="0"/>
        <v>1.0200039350955001</v>
      </c>
      <c r="O25">
        <f t="shared" si="0"/>
        <v>0.91687854796125012</v>
      </c>
      <c r="P25">
        <f t="shared" si="0"/>
        <v>0.80777391999750003</v>
      </c>
      <c r="Q25">
        <f t="shared" si="0"/>
        <v>0.70777909257725014</v>
      </c>
      <c r="R25">
        <f t="shared" si="0"/>
        <v>0.62241324196250014</v>
      </c>
      <c r="S25">
        <f t="shared" si="0"/>
        <v>0.58278588814074994</v>
      </c>
      <c r="T25">
        <f t="shared" si="0"/>
        <v>0.55042489062425004</v>
      </c>
      <c r="U25">
        <f t="shared" si="0"/>
        <v>0.48822987083649999</v>
      </c>
      <c r="V25">
        <f t="shared" si="0"/>
        <v>0.42452426546310001</v>
      </c>
      <c r="W25">
        <f t="shared" si="0"/>
        <v>0.35426696132080004</v>
      </c>
      <c r="X25">
        <f t="shared" si="0"/>
        <v>0.25822650812725001</v>
      </c>
      <c r="Y25">
        <f t="shared" si="0"/>
        <v>0.17009741181772497</v>
      </c>
      <c r="Z25">
        <f t="shared" si="0"/>
        <v>0.12689419204044999</v>
      </c>
      <c r="AA25">
        <f t="shared" si="0"/>
        <v>8.8695702772000007E-2</v>
      </c>
      <c r="AB25">
        <f t="shared" si="0"/>
        <v>5.3667448957650001E-2</v>
      </c>
    </row>
    <row r="26" spans="1:28" x14ac:dyDescent="0.25">
      <c r="A26">
        <v>1.1398500000000001E-2</v>
      </c>
      <c r="B26">
        <f t="shared" si="1"/>
        <v>0.42673315898874753</v>
      </c>
      <c r="C26">
        <f t="shared" si="0"/>
        <v>0.43895295642576249</v>
      </c>
      <c r="D26">
        <f t="shared" si="0"/>
        <v>0.45094894356359255</v>
      </c>
      <c r="E26">
        <f t="shared" si="0"/>
        <v>0.47896596240690759</v>
      </c>
      <c r="F26">
        <f t="shared" si="0"/>
        <v>0.50656876043308252</v>
      </c>
      <c r="G26">
        <f t="shared" si="0"/>
        <v>0.53354621297006999</v>
      </c>
      <c r="H26">
        <f t="shared" si="0"/>
        <v>0.58256409208234505</v>
      </c>
      <c r="I26">
        <f t="shared" si="0"/>
        <v>0.63923668451337001</v>
      </c>
      <c r="J26">
        <f t="shared" si="0"/>
        <v>0.6836071833346351</v>
      </c>
      <c r="K26">
        <f t="shared" si="0"/>
        <v>0.71192227522662255</v>
      </c>
      <c r="L26">
        <f t="shared" si="0"/>
        <v>0.72828699717496015</v>
      </c>
      <c r="M26">
        <f t="shared" si="0"/>
        <v>0.70382722212279003</v>
      </c>
      <c r="N26">
        <f t="shared" si="0"/>
        <v>0.62415656122595009</v>
      </c>
      <c r="O26">
        <f t="shared" si="0"/>
        <v>0.54735041306547505</v>
      </c>
      <c r="P26">
        <f t="shared" si="0"/>
        <v>0.47413868388707503</v>
      </c>
      <c r="Q26">
        <f t="shared" si="0"/>
        <v>0.40993813048492506</v>
      </c>
      <c r="R26">
        <f t="shared" si="0"/>
        <v>0.35521372464310003</v>
      </c>
      <c r="S26">
        <f t="shared" si="0"/>
        <v>0.33000580690325004</v>
      </c>
      <c r="T26">
        <f t="shared" si="0"/>
        <v>0.310110754758325</v>
      </c>
      <c r="U26">
        <f t="shared" si="0"/>
        <v>0.27186743951442505</v>
      </c>
      <c r="V26">
        <f t="shared" si="0"/>
        <v>0.23316827791115</v>
      </c>
      <c r="W26">
        <f t="shared" si="0"/>
        <v>0.19183455478992503</v>
      </c>
      <c r="X26">
        <f t="shared" si="0"/>
        <v>0.13664076125657501</v>
      </c>
      <c r="Y26">
        <f t="shared" si="0"/>
        <v>8.7087099928760028E-2</v>
      </c>
      <c r="Z26">
        <f t="shared" si="0"/>
        <v>6.3521223020874998E-2</v>
      </c>
      <c r="AA26">
        <f t="shared" si="0"/>
        <v>4.3315795565835001E-2</v>
      </c>
      <c r="AB26">
        <f t="shared" si="0"/>
        <v>2.5497052413159995E-2</v>
      </c>
    </row>
    <row r="27" spans="1:28" x14ac:dyDescent="0.25">
      <c r="A27">
        <v>2.09441E-2</v>
      </c>
      <c r="B27">
        <f t="shared" si="1"/>
        <v>0.23222993279245127</v>
      </c>
      <c r="C27">
        <f t="shared" si="0"/>
        <v>0.24047331114347581</v>
      </c>
      <c r="D27">
        <f t="shared" si="0"/>
        <v>0.24863623300137869</v>
      </c>
      <c r="E27">
        <f t="shared" si="0"/>
        <v>0.26722711493790252</v>
      </c>
      <c r="F27">
        <f t="shared" si="0"/>
        <v>0.28580245403297816</v>
      </c>
      <c r="G27">
        <f t="shared" si="0"/>
        <v>0.30412979896560494</v>
      </c>
      <c r="H27">
        <f t="shared" si="0"/>
        <v>0.33757230329799037</v>
      </c>
      <c r="I27">
        <f t="shared" si="0"/>
        <v>0.37752178228147543</v>
      </c>
      <c r="J27">
        <f t="shared" si="0"/>
        <v>0.40780511923249058</v>
      </c>
      <c r="K27">
        <f t="shared" si="0"/>
        <v>0.42733682714357579</v>
      </c>
      <c r="L27">
        <f t="shared" si="0"/>
        <v>0.43347390277434106</v>
      </c>
      <c r="M27">
        <f t="shared" si="0"/>
        <v>0.41185573417367605</v>
      </c>
      <c r="N27">
        <f t="shared" si="0"/>
        <v>0.35097641538094998</v>
      </c>
      <c r="O27">
        <f t="shared" si="0"/>
        <v>0.30165538163602496</v>
      </c>
      <c r="P27">
        <f t="shared" si="0"/>
        <v>0.25808931470578</v>
      </c>
      <c r="Q27">
        <f t="shared" si="0"/>
        <v>0.220442323607665</v>
      </c>
      <c r="R27">
        <f t="shared" si="0"/>
        <v>0.18825766532042004</v>
      </c>
      <c r="S27">
        <f t="shared" si="0"/>
        <v>0.17351780753559498</v>
      </c>
      <c r="T27">
        <f t="shared" si="0"/>
        <v>0.16224413583873004</v>
      </c>
      <c r="U27">
        <f t="shared" si="0"/>
        <v>0.14055440575174</v>
      </c>
      <c r="V27">
        <f t="shared" si="0"/>
        <v>0.11890037484668502</v>
      </c>
      <c r="W27">
        <f t="shared" si="0"/>
        <v>9.6538727426839999E-2</v>
      </c>
      <c r="X27">
        <f t="shared" si="0"/>
        <v>6.7253646898984998E-2</v>
      </c>
      <c r="Y27">
        <f t="shared" si="0"/>
        <v>4.1584398988727005E-2</v>
      </c>
      <c r="Z27">
        <f t="shared" si="0"/>
        <v>2.9634287971003006E-2</v>
      </c>
      <c r="AA27">
        <f t="shared" si="0"/>
        <v>1.9783026657161504E-2</v>
      </c>
      <c r="AB27">
        <f t="shared" si="0"/>
        <v>1.1178542018675502E-2</v>
      </c>
    </row>
    <row r="28" spans="1:28" x14ac:dyDescent="0.25">
      <c r="A28">
        <v>3.8483299999999998E-2</v>
      </c>
      <c r="B28">
        <f t="shared" si="1"/>
        <v>0.11738344911526809</v>
      </c>
      <c r="C28">
        <f t="shared" si="0"/>
        <v>0.12240040537704483</v>
      </c>
      <c r="D28">
        <f t="shared" si="0"/>
        <v>0.12739594047190728</v>
      </c>
      <c r="E28">
        <f t="shared" si="0"/>
        <v>0.13849039412380823</v>
      </c>
      <c r="F28">
        <f t="shared" si="0"/>
        <v>0.14968165930289823</v>
      </c>
      <c r="G28">
        <f t="shared" si="0"/>
        <v>0.16081228573862477</v>
      </c>
      <c r="H28">
        <f t="shared" si="0"/>
        <v>0.18064069583305445</v>
      </c>
      <c r="I28">
        <f t="shared" si="0"/>
        <v>0.20544684780515632</v>
      </c>
      <c r="J28">
        <f t="shared" si="0"/>
        <v>0.22354672241479773</v>
      </c>
      <c r="K28">
        <f t="shared" si="0"/>
        <v>0.23545457895357536</v>
      </c>
      <c r="L28">
        <f t="shared" si="0"/>
        <v>0.23680345766270422</v>
      </c>
      <c r="M28">
        <f t="shared" si="0"/>
        <v>0.2218929246349145</v>
      </c>
      <c r="N28">
        <f t="shared" si="0"/>
        <v>0.1826535382777735</v>
      </c>
      <c r="O28">
        <f t="shared" si="0"/>
        <v>0.15465939166498102</v>
      </c>
      <c r="P28">
        <f t="shared" si="0"/>
        <v>0.13098682143499601</v>
      </c>
      <c r="Q28">
        <f t="shared" si="0"/>
        <v>0.11051928119472752</v>
      </c>
      <c r="R28">
        <f t="shared" si="0"/>
        <v>9.3010966793839009E-2</v>
      </c>
      <c r="S28">
        <f t="shared" si="0"/>
        <v>8.5083808943634015E-2</v>
      </c>
      <c r="T28">
        <f t="shared" si="0"/>
        <v>7.9167696866948495E-2</v>
      </c>
      <c r="U28">
        <f t="shared" si="0"/>
        <v>6.7800166864933495E-2</v>
      </c>
      <c r="V28">
        <f t="shared" si="0"/>
        <v>5.6602317957639502E-2</v>
      </c>
      <c r="W28">
        <f t="shared" si="0"/>
        <v>4.5378957156077204E-2</v>
      </c>
      <c r="X28">
        <f t="shared" si="0"/>
        <v>3.0952278962506751E-2</v>
      </c>
      <c r="Y28">
        <f t="shared" si="0"/>
        <v>1.8538856397435053E-2</v>
      </c>
      <c r="Z28">
        <f t="shared" si="0"/>
        <v>1.29058321178942E-2</v>
      </c>
      <c r="AA28">
        <f t="shared" si="0"/>
        <v>8.4677112133732992E-3</v>
      </c>
      <c r="AB28">
        <f t="shared" si="0"/>
        <v>4.3905689122634897E-3</v>
      </c>
    </row>
    <row r="29" spans="1:28" x14ac:dyDescent="0.25">
      <c r="A29">
        <v>7.0710700000000001E-2</v>
      </c>
      <c r="B29">
        <f t="shared" si="1"/>
        <v>5.4654558448240555E-2</v>
      </c>
      <c r="C29">
        <f t="shared" si="0"/>
        <v>5.7469395621747826E-2</v>
      </c>
      <c r="D29">
        <f t="shared" si="0"/>
        <v>6.02883995745307E-2</v>
      </c>
      <c r="E29">
        <f t="shared" si="0"/>
        <v>6.6439186654430937E-2</v>
      </c>
      <c r="F29">
        <f t="shared" si="0"/>
        <v>7.2680534592571122E-2</v>
      </c>
      <c r="G29">
        <f t="shared" si="0"/>
        <v>7.8913221359105307E-2</v>
      </c>
      <c r="H29">
        <f t="shared" si="0"/>
        <v>8.9510809941408503E-2</v>
      </c>
      <c r="I29">
        <f t="shared" si="0"/>
        <v>0.10325040520245787</v>
      </c>
      <c r="J29">
        <f t="shared" si="0"/>
        <v>0.11266217262984149</v>
      </c>
      <c r="K29">
        <f t="shared" si="0"/>
        <v>0.11903836168386743</v>
      </c>
      <c r="L29">
        <f t="shared" si="0"/>
        <v>0.11907688478097439</v>
      </c>
      <c r="M29">
        <f t="shared" si="0"/>
        <v>0.11071854265318612</v>
      </c>
      <c r="N29">
        <f t="shared" si="0"/>
        <v>8.8476107646640476E-2</v>
      </c>
      <c r="O29">
        <f t="shared" si="0"/>
        <v>7.3983099182058462E-2</v>
      </c>
      <c r="P29">
        <f t="shared" si="0"/>
        <v>6.202276948160295E-2</v>
      </c>
      <c r="Q29">
        <f t="shared" si="0"/>
        <v>5.163102941649176E-2</v>
      </c>
      <c r="R29">
        <f t="shared" si="0"/>
        <v>4.2825779806960701E-2</v>
      </c>
      <c r="S29">
        <f t="shared" si="0"/>
        <v>3.8918231451069554E-2</v>
      </c>
      <c r="T29">
        <f t="shared" si="0"/>
        <v>3.6043829810728997E-2</v>
      </c>
      <c r="U29">
        <f t="shared" si="0"/>
        <v>3.0537114481687628E-2</v>
      </c>
      <c r="V29">
        <f t="shared" si="0"/>
        <v>2.5186231159456458E-2</v>
      </c>
      <c r="W29">
        <f t="shared" si="0"/>
        <v>1.9915076492325615E-2</v>
      </c>
      <c r="X29">
        <f t="shared" si="0"/>
        <v>1.328473910985894E-2</v>
      </c>
      <c r="Y29">
        <f t="shared" si="0"/>
        <v>7.6525984743297899E-3</v>
      </c>
      <c r="Z29">
        <f t="shared" si="0"/>
        <v>5.1723974202503471E-3</v>
      </c>
      <c r="AA29">
        <f t="shared" si="0"/>
        <v>3.3299796963689667E-3</v>
      </c>
      <c r="AB29">
        <f t="shared" si="0"/>
        <v>1.4696333507219434E-3</v>
      </c>
    </row>
    <row r="30" spans="1:28" x14ac:dyDescent="0.25">
      <c r="A30">
        <v>0.12992600000000001</v>
      </c>
      <c r="B30">
        <f t="shared" si="1"/>
        <v>2.2812588272380176E-2</v>
      </c>
      <c r="C30">
        <f t="shared" si="0"/>
        <v>2.4239028009231691E-2</v>
      </c>
      <c r="D30">
        <f t="shared" si="0"/>
        <v>2.5680893276554081E-2</v>
      </c>
      <c r="E30">
        <f t="shared" si="0"/>
        <v>2.8818286231371677E-2</v>
      </c>
      <c r="F30">
        <f t="shared" si="0"/>
        <v>3.2034042079946999E-2</v>
      </c>
      <c r="G30">
        <f t="shared" si="0"/>
        <v>3.5269893479312614E-2</v>
      </c>
      <c r="H30">
        <f t="shared" si="0"/>
        <v>4.0561721017425958E-2</v>
      </c>
      <c r="I30">
        <f t="shared" si="0"/>
        <v>4.7576037910885251E-2</v>
      </c>
      <c r="J30">
        <f t="shared" si="0"/>
        <v>5.2009931452155232E-2</v>
      </c>
      <c r="K30">
        <f t="shared" si="0"/>
        <v>5.5101809920674032E-2</v>
      </c>
      <c r="L30">
        <f t="shared" si="0"/>
        <v>5.5051184388956204E-2</v>
      </c>
      <c r="M30">
        <f t="shared" si="0"/>
        <v>5.1018648256284709E-2</v>
      </c>
      <c r="N30">
        <f t="shared" si="0"/>
        <v>3.9689756175777698E-2</v>
      </c>
      <c r="O30">
        <f t="shared" si="0"/>
        <v>3.2809494501107164E-2</v>
      </c>
      <c r="P30">
        <f t="shared" si="0"/>
        <v>2.7185642163896045E-2</v>
      </c>
      <c r="Q30">
        <f t="shared" si="0"/>
        <v>2.2289743680470531E-2</v>
      </c>
      <c r="R30">
        <f t="shared" si="0"/>
        <v>1.8244824006098656E-2</v>
      </c>
      <c r="S30">
        <f t="shared" si="0"/>
        <v>1.6500016124844322E-2</v>
      </c>
      <c r="T30">
        <f t="shared" si="0"/>
        <v>1.521722482320806E-2</v>
      </c>
      <c r="U30">
        <f t="shared" si="0"/>
        <v>1.276084939420208E-2</v>
      </c>
      <c r="V30">
        <f t="shared" si="0"/>
        <v>1.0413836413408775E-2</v>
      </c>
      <c r="W30">
        <f t="shared" si="0"/>
        <v>8.1065034953286732E-3</v>
      </c>
      <c r="X30">
        <f t="shared" si="0"/>
        <v>5.2627893132981057E-3</v>
      </c>
      <c r="Y30">
        <f t="shared" si="0"/>
        <v>2.8781335806520886E-3</v>
      </c>
      <c r="Z30">
        <f t="shared" si="0"/>
        <v>1.8626510349070181E-3</v>
      </c>
      <c r="AA30">
        <f t="shared" si="0"/>
        <v>1.1573332855657112E-3</v>
      </c>
      <c r="AB30">
        <f t="shared" si="0"/>
        <v>3.8725175624495313E-4</v>
      </c>
    </row>
    <row r="31" spans="1:28" x14ac:dyDescent="0.25">
      <c r="A31">
        <v>0.238731</v>
      </c>
      <c r="B31">
        <f t="shared" si="1"/>
        <v>8.1814487195800614E-3</v>
      </c>
      <c r="C31">
        <f t="shared" si="0"/>
        <v>8.8015920994965226E-3</v>
      </c>
      <c r="D31">
        <f t="shared" si="0"/>
        <v>9.4378508699440138E-3</v>
      </c>
      <c r="E31">
        <f t="shared" si="0"/>
        <v>1.0844167734963096E-2</v>
      </c>
      <c r="F31">
        <f t="shared" si="0"/>
        <v>1.2313677897556368E-2</v>
      </c>
      <c r="G31">
        <f t="shared" si="0"/>
        <v>1.3819512403335222E-2</v>
      </c>
      <c r="H31">
        <f t="shared" si="0"/>
        <v>1.6266988013919546E-2</v>
      </c>
      <c r="I31">
        <f t="shared" si="0"/>
        <v>1.9555836061558522E-2</v>
      </c>
      <c r="J31">
        <f t="shared" si="0"/>
        <v>2.1526649806720262E-2</v>
      </c>
      <c r="K31">
        <f t="shared" si="0"/>
        <v>2.293332009068531E-2</v>
      </c>
      <c r="L31">
        <f t="shared" si="0"/>
        <v>2.3031098445303374E-2</v>
      </c>
      <c r="M31">
        <f t="shared" si="0"/>
        <v>2.1330977461511191E-2</v>
      </c>
      <c r="N31">
        <f t="shared" si="0"/>
        <v>1.6199476110019415E-2</v>
      </c>
      <c r="O31">
        <f t="shared" si="0"/>
        <v>1.3260887435381093E-2</v>
      </c>
      <c r="P31">
        <f t="shared" si="0"/>
        <v>1.0842914572805916E-2</v>
      </c>
      <c r="Q31">
        <f t="shared" si="0"/>
        <v>8.7355100875648722E-3</v>
      </c>
      <c r="R31">
        <f t="shared" si="0"/>
        <v>7.0712193226722371E-3</v>
      </c>
      <c r="S31">
        <f t="shared" si="0"/>
        <v>6.3796077413850565E-3</v>
      </c>
      <c r="T31">
        <f t="shared" si="0"/>
        <v>5.8636831717123932E-3</v>
      </c>
      <c r="U31">
        <f t="shared" si="0"/>
        <v>4.8731270636776453E-3</v>
      </c>
      <c r="V31">
        <f t="shared" si="0"/>
        <v>3.9401273713886333E-3</v>
      </c>
      <c r="W31">
        <f t="shared" si="0"/>
        <v>3.0161456074432138E-3</v>
      </c>
      <c r="X31">
        <f t="shared" si="0"/>
        <v>1.882150942757595E-3</v>
      </c>
      <c r="Y31">
        <f t="shared" si="0"/>
        <v>9.3319916048413977E-4</v>
      </c>
      <c r="Z31">
        <f t="shared" si="0"/>
        <v>5.5288948680988319E-4</v>
      </c>
      <c r="AA31">
        <f t="shared" si="0"/>
        <v>3.1308729925469246E-4</v>
      </c>
      <c r="AB31">
        <f t="shared" si="0"/>
        <v>6.3535963437255573E-5</v>
      </c>
    </row>
    <row r="32" spans="1:28" x14ac:dyDescent="0.25">
      <c r="A32">
        <v>0.43865300000000002</v>
      </c>
      <c r="B32">
        <f t="shared" si="1"/>
        <v>2.3515541229573991E-3</v>
      </c>
      <c r="C32">
        <f t="shared" si="0"/>
        <v>2.5669757552434606E-3</v>
      </c>
      <c r="D32">
        <f t="shared" si="0"/>
        <v>2.7928649714339874E-3</v>
      </c>
      <c r="E32">
        <f t="shared" si="0"/>
        <v>3.3124855329935265E-3</v>
      </c>
      <c r="F32">
        <f t="shared" si="0"/>
        <v>3.8720692252677416E-3</v>
      </c>
      <c r="G32">
        <f t="shared" si="0"/>
        <v>4.463578788071877E-3</v>
      </c>
      <c r="H32">
        <f t="shared" si="0"/>
        <v>5.4774436145590419E-3</v>
      </c>
      <c r="I32">
        <f t="shared" si="0"/>
        <v>6.8465161727858806E-3</v>
      </c>
      <c r="J32">
        <f t="shared" si="0"/>
        <v>7.6848074680345877E-3</v>
      </c>
      <c r="K32">
        <f t="shared" si="0"/>
        <v>8.2956238326342604E-3</v>
      </c>
      <c r="L32">
        <f t="shared" si="0"/>
        <v>8.4717643161502636E-3</v>
      </c>
      <c r="M32">
        <f t="shared" ref="C32:AB36" si="2">($B$19*M12)</f>
        <v>7.8469913824614421E-3</v>
      </c>
      <c r="N32">
        <f t="shared" si="2"/>
        <v>5.8288980078583597E-3</v>
      </c>
      <c r="O32">
        <f t="shared" si="2"/>
        <v>4.7321859094978831E-3</v>
      </c>
      <c r="P32">
        <f t="shared" si="2"/>
        <v>3.8114412229398867E-3</v>
      </c>
      <c r="Q32">
        <f t="shared" si="2"/>
        <v>3.0021810517568662E-3</v>
      </c>
      <c r="R32">
        <f t="shared" si="2"/>
        <v>2.4101080292922416E-3</v>
      </c>
      <c r="S32">
        <f t="shared" si="2"/>
        <v>2.1762688646009116E-3</v>
      </c>
      <c r="T32">
        <f t="shared" si="2"/>
        <v>1.996417364100259E-3</v>
      </c>
      <c r="U32">
        <f t="shared" si="2"/>
        <v>1.6447380913231363E-3</v>
      </c>
      <c r="V32">
        <f t="shared" si="2"/>
        <v>1.3124825074664612E-3</v>
      </c>
      <c r="W32">
        <f t="shared" si="2"/>
        <v>9.7938766232573654E-4</v>
      </c>
      <c r="X32">
        <f t="shared" si="2"/>
        <v>5.5790330594414881E-4</v>
      </c>
      <c r="Y32">
        <f t="shared" si="2"/>
        <v>2.2354585758141814E-4</v>
      </c>
      <c r="Z32">
        <f t="shared" si="2"/>
        <v>1.0905638925365914E-4</v>
      </c>
      <c r="AA32">
        <f t="shared" si="2"/>
        <v>5.0024143202476584E-5</v>
      </c>
      <c r="AB32">
        <f t="shared" si="2"/>
        <v>7.0423993794372792E-6</v>
      </c>
    </row>
    <row r="33" spans="1:28" x14ac:dyDescent="0.25">
      <c r="A33">
        <v>0.80599699999999996</v>
      </c>
      <c r="B33">
        <f t="shared" si="1"/>
        <v>5.0057823607384375E-4</v>
      </c>
      <c r="C33">
        <f t="shared" si="2"/>
        <v>5.5329678352492929E-4</v>
      </c>
      <c r="D33">
        <f t="shared" si="2"/>
        <v>6.102638222601907E-4</v>
      </c>
      <c r="E33">
        <f t="shared" si="2"/>
        <v>7.5179562574604979E-4</v>
      </c>
      <c r="F33">
        <f t="shared" si="2"/>
        <v>9.1103940956782138E-4</v>
      </c>
      <c r="G33">
        <f t="shared" si="2"/>
        <v>1.0869999517308044E-3</v>
      </c>
      <c r="H33">
        <f t="shared" si="2"/>
        <v>1.41908073433937E-3</v>
      </c>
      <c r="I33">
        <f t="shared" si="2"/>
        <v>1.8969236110324733E-3</v>
      </c>
      <c r="J33">
        <f t="shared" si="2"/>
        <v>2.2207259520027338E-3</v>
      </c>
      <c r="K33">
        <f t="shared" si="2"/>
        <v>2.4623168088588913E-3</v>
      </c>
      <c r="L33">
        <f t="shared" si="2"/>
        <v>2.609986097016528E-3</v>
      </c>
      <c r="M33">
        <f t="shared" si="2"/>
        <v>2.4039858183999892E-3</v>
      </c>
      <c r="N33">
        <f t="shared" si="2"/>
        <v>1.7429946694106568E-3</v>
      </c>
      <c r="O33">
        <f t="shared" si="2"/>
        <v>1.4112281132485113E-3</v>
      </c>
      <c r="P33">
        <f t="shared" si="2"/>
        <v>1.1130574987891805E-3</v>
      </c>
      <c r="Q33">
        <f t="shared" si="2"/>
        <v>8.5014831735904422E-4</v>
      </c>
      <c r="R33">
        <f t="shared" si="2"/>
        <v>6.7919258475002532E-4</v>
      </c>
      <c r="S33">
        <f t="shared" si="2"/>
        <v>6.1318718431049521E-4</v>
      </c>
      <c r="T33">
        <f t="shared" si="2"/>
        <v>5.5950456334312004E-4</v>
      </c>
      <c r="U33">
        <f t="shared" si="2"/>
        <v>4.5195702349739225E-4</v>
      </c>
      <c r="V33">
        <f t="shared" si="2"/>
        <v>3.5049982153296405E-4</v>
      </c>
      <c r="W33">
        <f t="shared" si="2"/>
        <v>2.457357086261884E-4</v>
      </c>
      <c r="X33">
        <f t="shared" si="2"/>
        <v>1.1551613931830739E-4</v>
      </c>
      <c r="Y33">
        <f t="shared" si="2"/>
        <v>3.6252516219223534E-5</v>
      </c>
      <c r="Z33">
        <f t="shared" si="2"/>
        <v>1.3684789238197782E-5</v>
      </c>
      <c r="AA33">
        <f t="shared" si="2"/>
        <v>4.975816471601102E-6</v>
      </c>
      <c r="AB33">
        <f t="shared" si="2"/>
        <v>7.5898397246534947E-7</v>
      </c>
    </row>
    <row r="34" spans="1:28" x14ac:dyDescent="0.25">
      <c r="A34">
        <v>1.4809699999999999</v>
      </c>
      <c r="B34">
        <f t="shared" si="1"/>
        <v>7.7867155937875465E-5</v>
      </c>
      <c r="C34">
        <f t="shared" si="2"/>
        <v>8.6731849694443813E-5</v>
      </c>
      <c r="D34">
        <f t="shared" si="2"/>
        <v>9.6614940657945898E-5</v>
      </c>
      <c r="E34">
        <f t="shared" si="2"/>
        <v>1.23827966021065E-4</v>
      </c>
      <c r="F34">
        <f t="shared" si="2"/>
        <v>1.5585470664885201E-4</v>
      </c>
      <c r="G34">
        <f t="shared" si="2"/>
        <v>1.9285991217750671E-4</v>
      </c>
      <c r="H34">
        <f t="shared" si="2"/>
        <v>2.6652692602355331E-4</v>
      </c>
      <c r="I34">
        <f t="shared" si="2"/>
        <v>3.9649549922121056E-4</v>
      </c>
      <c r="J34">
        <f t="shared" si="2"/>
        <v>4.9649386598217202E-4</v>
      </c>
      <c r="K34">
        <f t="shared" si="2"/>
        <v>5.7487678985705031E-4</v>
      </c>
      <c r="L34">
        <f t="shared" si="2"/>
        <v>6.4818492035066536E-4</v>
      </c>
      <c r="M34">
        <f t="shared" si="2"/>
        <v>5.8141289967666467E-4</v>
      </c>
      <c r="N34">
        <f t="shared" si="2"/>
        <v>4.0977032145427623E-4</v>
      </c>
      <c r="O34">
        <f t="shared" si="2"/>
        <v>3.4107624704706477E-4</v>
      </c>
      <c r="P34">
        <f t="shared" si="2"/>
        <v>2.5967360314379449E-4</v>
      </c>
      <c r="Q34">
        <f t="shared" si="2"/>
        <v>1.92398044589477E-4</v>
      </c>
      <c r="R34">
        <f t="shared" si="2"/>
        <v>1.5354616508619638E-4</v>
      </c>
      <c r="S34">
        <f t="shared" si="2"/>
        <v>1.3727805770074567E-4</v>
      </c>
      <c r="T34">
        <f t="shared" si="2"/>
        <v>1.2316498573965021E-4</v>
      </c>
      <c r="U34">
        <f t="shared" si="2"/>
        <v>9.5128684027435742E-5</v>
      </c>
      <c r="V34">
        <f t="shared" si="2"/>
        <v>7.0798486282776533E-5</v>
      </c>
      <c r="W34">
        <f t="shared" si="2"/>
        <v>4.422120441180995E-5</v>
      </c>
      <c r="X34">
        <f t="shared" si="2"/>
        <v>1.629444560897116E-5</v>
      </c>
      <c r="Y34">
        <f t="shared" si="2"/>
        <v>4.0719654467637818E-6</v>
      </c>
      <c r="Z34">
        <f t="shared" si="2"/>
        <v>1.212884738355188E-6</v>
      </c>
      <c r="AA34">
        <f t="shared" si="2"/>
        <v>3.5820861187196337E-7</v>
      </c>
      <c r="AB34">
        <f t="shared" si="2"/>
        <v>7.1861122183356312E-8</v>
      </c>
    </row>
    <row r="35" spans="1:28" x14ac:dyDescent="0.25">
      <c r="A35">
        <v>2.7211799999999999</v>
      </c>
      <c r="B35">
        <f t="shared" si="1"/>
        <v>8.2645346739632316E-6</v>
      </c>
      <c r="C35">
        <f t="shared" si="2"/>
        <v>9.2798404239039877E-6</v>
      </c>
      <c r="D35">
        <f t="shared" si="2"/>
        <v>1.0454868323091725E-5</v>
      </c>
      <c r="E35">
        <f t="shared" si="2"/>
        <v>1.407436542528282E-5</v>
      </c>
      <c r="F35">
        <f t="shared" si="2"/>
        <v>1.8568812830974907E-5</v>
      </c>
      <c r="G35">
        <f t="shared" si="2"/>
        <v>2.4036992119876187E-5</v>
      </c>
      <c r="H35">
        <f t="shared" si="2"/>
        <v>3.6156608179133164E-5</v>
      </c>
      <c r="I35">
        <f t="shared" si="2"/>
        <v>6.139740843183483E-5</v>
      </c>
      <c r="J35">
        <f t="shared" si="2"/>
        <v>8.43362286005651E-5</v>
      </c>
      <c r="K35">
        <f t="shared" si="2"/>
        <v>1.0396894476746063E-4</v>
      </c>
      <c r="L35">
        <f t="shared" si="2"/>
        <v>1.2747501937064403E-4</v>
      </c>
      <c r="M35">
        <f t="shared" si="2"/>
        <v>1.0926589056837679E-4</v>
      </c>
      <c r="N35">
        <f t="shared" si="2"/>
        <v>7.4904478782714592E-5</v>
      </c>
      <c r="O35">
        <f t="shared" si="2"/>
        <v>6.5365505430680648E-5</v>
      </c>
      <c r="P35">
        <f t="shared" si="2"/>
        <v>4.7221894354924152E-5</v>
      </c>
      <c r="Q35">
        <f t="shared" si="2"/>
        <v>3.3664335977888565E-5</v>
      </c>
      <c r="R35">
        <f t="shared" si="2"/>
        <v>2.6197348425503815E-5</v>
      </c>
      <c r="S35">
        <f t="shared" si="2"/>
        <v>2.2937085522072569E-5</v>
      </c>
      <c r="T35">
        <f t="shared" si="2"/>
        <v>2.0058894405424093E-5</v>
      </c>
      <c r="U35">
        <f t="shared" si="2"/>
        <v>1.4630388705913562E-5</v>
      </c>
      <c r="V35">
        <f t="shared" si="2"/>
        <v>1.0257195708863561E-5</v>
      </c>
      <c r="W35">
        <f t="shared" si="2"/>
        <v>5.5313189624173203E-6</v>
      </c>
      <c r="X35">
        <f t="shared" si="2"/>
        <v>1.541085954805529E-6</v>
      </c>
      <c r="Y35">
        <f t="shared" si="2"/>
        <v>2.8278841597032556E-7</v>
      </c>
      <c r="Z35">
        <f t="shared" si="2"/>
        <v>6.7713988786708402E-8</v>
      </c>
      <c r="AA35">
        <f t="shared" si="2"/>
        <v>1.6996372889446208E-8</v>
      </c>
      <c r="AB35">
        <f t="shared" si="2"/>
        <v>5.6756740886189297E-9</v>
      </c>
    </row>
    <row r="36" spans="1:28" x14ac:dyDescent="0.25">
      <c r="A36">
        <v>5</v>
      </c>
      <c r="B36">
        <f t="shared" si="1"/>
        <v>5.6149103500747975E-7</v>
      </c>
      <c r="C36">
        <f t="shared" si="2"/>
        <v>6.3781761094649462E-7</v>
      </c>
      <c r="D36">
        <f t="shared" si="2"/>
        <v>7.2978907921205932E-7</v>
      </c>
      <c r="E36">
        <f t="shared" si="2"/>
        <v>1.0407060543943368E-6</v>
      </c>
      <c r="F36">
        <f t="shared" si="2"/>
        <v>1.4509744203794116E-6</v>
      </c>
      <c r="G36">
        <f t="shared" si="2"/>
        <v>1.9801814417879219E-6</v>
      </c>
      <c r="H36">
        <f t="shared" si="2"/>
        <v>3.2828356037180106E-6</v>
      </c>
      <c r="I36">
        <f t="shared" si="2"/>
        <v>6.4474757199045196E-6</v>
      </c>
      <c r="J36">
        <f t="shared" si="2"/>
        <v>9.9196959577610097E-6</v>
      </c>
      <c r="K36">
        <f t="shared" si="2"/>
        <v>1.3265193617989642E-5</v>
      </c>
      <c r="L36">
        <f t="shared" si="2"/>
        <v>1.7952774507270069E-5</v>
      </c>
      <c r="M36">
        <f t="shared" si="2"/>
        <v>1.4574555543380881E-5</v>
      </c>
      <c r="N36">
        <f t="shared" si="2"/>
        <v>9.634869041399701E-6</v>
      </c>
      <c r="O36">
        <f t="shared" si="2"/>
        <v>8.8426188616839473E-6</v>
      </c>
      <c r="P36">
        <f t="shared" si="2"/>
        <v>5.9576261592661615E-6</v>
      </c>
      <c r="Q36">
        <f t="shared" si="2"/>
        <v>3.9929119062352779E-6</v>
      </c>
      <c r="R36">
        <f t="shared" si="2"/>
        <v>2.9403398698057741E-6</v>
      </c>
      <c r="S36">
        <f t="shared" si="2"/>
        <v>2.4931604125567603E-6</v>
      </c>
      <c r="T36">
        <f t="shared" si="2"/>
        <v>2.1088256663571152E-6</v>
      </c>
      <c r="U36">
        <f t="shared" si="2"/>
        <v>1.4364370515481213E-6</v>
      </c>
      <c r="V36">
        <f t="shared" si="2"/>
        <v>9.3055770825418224E-7</v>
      </c>
      <c r="W36">
        <f t="shared" si="2"/>
        <v>4.2533098269614845E-7</v>
      </c>
      <c r="X36">
        <f t="shared" si="2"/>
        <v>8.7381978734988919E-8</v>
      </c>
      <c r="Y36">
        <f t="shared" si="2"/>
        <v>1.1638559354507031E-8</v>
      </c>
      <c r="Z36">
        <f t="shared" si="2"/>
        <v>2.4600499144668996E-9</v>
      </c>
      <c r="AA36">
        <f t="shared" si="2"/>
        <v>6.0812550781877622E-10</v>
      </c>
      <c r="AB36">
        <f t="shared" si="2"/>
        <v>3.5679416179985008E-10</v>
      </c>
    </row>
    <row r="42" spans="1:28" x14ac:dyDescent="0.25">
      <c r="A42" s="46" t="s">
        <v>45</v>
      </c>
    </row>
    <row r="43" spans="1:28" x14ac:dyDescent="0.25">
      <c r="A43" s="76" t="s">
        <v>39</v>
      </c>
      <c r="B43" s="76" t="s">
        <v>44</v>
      </c>
      <c r="C43" s="76" t="s">
        <v>36</v>
      </c>
      <c r="D43" s="92" t="s">
        <v>41</v>
      </c>
      <c r="E43" s="93"/>
      <c r="F43" s="93"/>
      <c r="G43" s="93"/>
    </row>
    <row r="44" spans="1:28" x14ac:dyDescent="0.25">
      <c r="A44" s="76"/>
      <c r="B44" s="76"/>
      <c r="C44" s="76"/>
      <c r="D44" s="76" t="s">
        <v>37</v>
      </c>
      <c r="E44" s="76" t="s">
        <v>40</v>
      </c>
      <c r="F44" s="76" t="s">
        <v>93</v>
      </c>
      <c r="G44" s="76" t="s">
        <v>94</v>
      </c>
    </row>
    <row r="45" spans="1:28" x14ac:dyDescent="0.25">
      <c r="A45" s="3">
        <v>175</v>
      </c>
      <c r="B45" s="3">
        <v>5.7142857142857143E-3</v>
      </c>
      <c r="C45" s="5">
        <v>0.375</v>
      </c>
      <c r="D45" s="5">
        <f>(C45*$D$60)</f>
        <v>0.375</v>
      </c>
      <c r="E45" s="5">
        <f>(C45*$E$60)</f>
        <v>0.375</v>
      </c>
      <c r="F45" s="5">
        <f>(C45*$F$60)</f>
        <v>0.25</v>
      </c>
      <c r="G45" s="5">
        <f>(C45*$G$60)</f>
        <v>0.1875</v>
      </c>
    </row>
    <row r="46" spans="1:28" x14ac:dyDescent="0.25">
      <c r="A46" s="3">
        <v>275</v>
      </c>
      <c r="B46" s="3">
        <v>3.6363636363636364E-3</v>
      </c>
      <c r="C46" s="5">
        <v>0.45</v>
      </c>
      <c r="D46" s="5">
        <f t="shared" ref="D46:D52" si="3">(C46*$D$60)</f>
        <v>0.45</v>
      </c>
      <c r="E46" s="5">
        <f t="shared" ref="E46:E52" si="4">(C46*$E$60)</f>
        <v>0.45</v>
      </c>
      <c r="F46" s="5">
        <f t="shared" ref="F46:F52" si="5">(C46*$F$60)</f>
        <v>0.3</v>
      </c>
      <c r="G46" s="5">
        <f t="shared" ref="G46:G52" si="6">(C46*$G$60)</f>
        <v>0.22500000000000001</v>
      </c>
    </row>
    <row r="47" spans="1:28" x14ac:dyDescent="0.25">
      <c r="A47" s="48">
        <v>475</v>
      </c>
      <c r="B47" s="48">
        <v>2.1052631578947368E-3</v>
      </c>
      <c r="C47" s="49">
        <v>0.5</v>
      </c>
      <c r="D47" s="49">
        <f t="shared" si="3"/>
        <v>0.5</v>
      </c>
      <c r="E47" s="49">
        <f t="shared" si="4"/>
        <v>0.5</v>
      </c>
      <c r="F47" s="49">
        <f t="shared" si="5"/>
        <v>0.33333333333333331</v>
      </c>
      <c r="G47" s="49">
        <f t="shared" si="6"/>
        <v>0.25</v>
      </c>
    </row>
    <row r="48" spans="1:28" x14ac:dyDescent="0.25">
      <c r="A48" s="3">
        <v>975</v>
      </c>
      <c r="B48" s="3">
        <v>1.0256410256410256E-3</v>
      </c>
      <c r="C48" s="5">
        <v>0.6</v>
      </c>
      <c r="D48" s="5">
        <f t="shared" si="3"/>
        <v>0.6</v>
      </c>
      <c r="E48" s="5">
        <f t="shared" si="4"/>
        <v>0.6</v>
      </c>
      <c r="F48" s="5">
        <f t="shared" si="5"/>
        <v>0.39999999999999997</v>
      </c>
      <c r="G48" s="5">
        <f t="shared" si="6"/>
        <v>0.3</v>
      </c>
    </row>
    <row r="49" spans="1:7" x14ac:dyDescent="0.25">
      <c r="A49" s="3">
        <v>1275</v>
      </c>
      <c r="B49" s="3">
        <v>7.8431372549019605E-4</v>
      </c>
      <c r="C49" s="5">
        <v>0.625</v>
      </c>
      <c r="D49" s="5">
        <f t="shared" si="3"/>
        <v>0.625</v>
      </c>
      <c r="E49" s="5">
        <f t="shared" si="4"/>
        <v>0.625</v>
      </c>
      <c r="F49" s="5">
        <f t="shared" si="5"/>
        <v>0.41666666666666663</v>
      </c>
      <c r="G49" s="5">
        <f t="shared" si="6"/>
        <v>0.3125</v>
      </c>
    </row>
    <row r="50" spans="1:7" x14ac:dyDescent="0.25">
      <c r="A50" s="48">
        <v>2475</v>
      </c>
      <c r="B50" s="48">
        <v>4.0404040404040404E-4</v>
      </c>
      <c r="C50" s="49">
        <v>0.75</v>
      </c>
      <c r="D50" s="49">
        <f t="shared" si="3"/>
        <v>0.75</v>
      </c>
      <c r="E50" s="49">
        <f t="shared" si="4"/>
        <v>0.75</v>
      </c>
      <c r="F50" s="49">
        <f t="shared" si="5"/>
        <v>0.5</v>
      </c>
      <c r="G50" s="49">
        <f t="shared" si="6"/>
        <v>0.375</v>
      </c>
    </row>
    <row r="51" spans="1:7" x14ac:dyDescent="0.25">
      <c r="A51" s="3">
        <v>4975</v>
      </c>
      <c r="B51" s="3">
        <v>2.0100502512562814E-4</v>
      </c>
      <c r="C51" s="5">
        <v>0.94</v>
      </c>
      <c r="D51" s="5">
        <f t="shared" si="3"/>
        <v>0.94</v>
      </c>
      <c r="E51" s="5">
        <f t="shared" si="4"/>
        <v>0.94</v>
      </c>
      <c r="F51" s="5">
        <f t="shared" si="5"/>
        <v>0.62666666666666659</v>
      </c>
      <c r="G51" s="5">
        <f t="shared" si="6"/>
        <v>0.47</v>
      </c>
    </row>
    <row r="52" spans="1:7" x14ac:dyDescent="0.25">
      <c r="A52" s="3">
        <v>9975</v>
      </c>
      <c r="B52" s="3">
        <v>1.0025062656641604E-4</v>
      </c>
      <c r="C52" s="5">
        <v>1.125</v>
      </c>
      <c r="D52" s="5">
        <f t="shared" si="3"/>
        <v>1.125</v>
      </c>
      <c r="E52" s="5">
        <f t="shared" si="4"/>
        <v>1.125</v>
      </c>
      <c r="F52" s="5">
        <f t="shared" si="5"/>
        <v>0.75</v>
      </c>
      <c r="G52" s="5">
        <f t="shared" si="6"/>
        <v>0.5625</v>
      </c>
    </row>
    <row r="53" spans="1:7" ht="15.75" thickBot="1" x14ac:dyDescent="0.3"/>
    <row r="54" spans="1:7" x14ac:dyDescent="0.25">
      <c r="A54" s="66" t="s">
        <v>92</v>
      </c>
      <c r="B54" s="67" t="s">
        <v>90</v>
      </c>
      <c r="C54" s="68" t="s">
        <v>91</v>
      </c>
    </row>
    <row r="55" spans="1:7" x14ac:dyDescent="0.25">
      <c r="A55" s="69">
        <v>1E-3</v>
      </c>
      <c r="B55" s="71">
        <f>1/475</f>
        <v>2.1052631578947368E-3</v>
      </c>
      <c r="C55" s="72">
        <f>1/2475</f>
        <v>4.0404040404040404E-4</v>
      </c>
    </row>
    <row r="56" spans="1:7" ht="15.75" thickBot="1" x14ac:dyDescent="0.3">
      <c r="A56" s="70">
        <v>4</v>
      </c>
      <c r="B56" s="73">
        <f>B55</f>
        <v>2.1052631578947368E-3</v>
      </c>
      <c r="C56" s="74">
        <f>C55</f>
        <v>4.0404040404040404E-4</v>
      </c>
    </row>
    <row r="58" spans="1:7" x14ac:dyDescent="0.25">
      <c r="C58" s="3" t="s">
        <v>88</v>
      </c>
      <c r="D58" s="3">
        <v>0</v>
      </c>
      <c r="E58" s="3">
        <v>1</v>
      </c>
      <c r="F58" s="3">
        <v>1.5</v>
      </c>
      <c r="G58" s="3">
        <v>2</v>
      </c>
    </row>
    <row r="59" spans="1:7" x14ac:dyDescent="0.25">
      <c r="C59" s="3"/>
      <c r="D59" s="47" t="s">
        <v>37</v>
      </c>
      <c r="E59" s="47" t="s">
        <v>40</v>
      </c>
      <c r="F59" s="47" t="s">
        <v>93</v>
      </c>
      <c r="G59" s="47" t="s">
        <v>94</v>
      </c>
    </row>
    <row r="60" spans="1:7" x14ac:dyDescent="0.25">
      <c r="C60" s="3" t="s">
        <v>89</v>
      </c>
      <c r="D60" s="75">
        <v>1</v>
      </c>
      <c r="E60" s="75">
        <f>(1/E58)</f>
        <v>1</v>
      </c>
      <c r="F60" s="75">
        <f t="shared" ref="F60:G60" si="7">(1/F58)</f>
        <v>0.66666666666666663</v>
      </c>
      <c r="G60" s="75">
        <f t="shared" si="7"/>
        <v>0.5</v>
      </c>
    </row>
    <row r="82" spans="1:10" ht="21.75" thickBot="1" x14ac:dyDescent="0.4">
      <c r="A82" s="52" t="s">
        <v>1</v>
      </c>
    </row>
    <row r="83" spans="1:10" x14ac:dyDescent="0.25">
      <c r="A83" s="60" t="s">
        <v>59</v>
      </c>
      <c r="B83" s="53">
        <v>75</v>
      </c>
      <c r="C83" s="53">
        <v>175</v>
      </c>
      <c r="D83" s="53">
        <v>275</v>
      </c>
      <c r="E83" s="61">
        <v>475</v>
      </c>
      <c r="F83" s="53">
        <v>975</v>
      </c>
      <c r="G83" s="53">
        <v>1275</v>
      </c>
      <c r="H83" s="61">
        <v>2475</v>
      </c>
      <c r="I83" s="53">
        <v>4975</v>
      </c>
      <c r="J83" s="54">
        <v>9975</v>
      </c>
    </row>
    <row r="84" spans="1:10" ht="15.75" thickBot="1" x14ac:dyDescent="0.3">
      <c r="A84" s="62" t="s">
        <v>60</v>
      </c>
      <c r="B84" s="63">
        <f>1/B83</f>
        <v>1.3333333333333334E-2</v>
      </c>
      <c r="C84" s="63">
        <f t="shared" ref="C84:J84" si="8">1/C83</f>
        <v>5.7142857142857143E-3</v>
      </c>
      <c r="D84" s="63">
        <f t="shared" si="8"/>
        <v>3.6363636363636364E-3</v>
      </c>
      <c r="E84" s="64">
        <f t="shared" si="8"/>
        <v>2.1052631578947368E-3</v>
      </c>
      <c r="F84" s="63">
        <f t="shared" si="8"/>
        <v>1.0256410256410256E-3</v>
      </c>
      <c r="G84" s="63">
        <f t="shared" si="8"/>
        <v>7.8431372549019605E-4</v>
      </c>
      <c r="H84" s="64">
        <f t="shared" si="8"/>
        <v>4.0404040404040404E-4</v>
      </c>
      <c r="I84" s="63">
        <f t="shared" si="8"/>
        <v>2.0100502512562814E-4</v>
      </c>
      <c r="J84" s="65">
        <f t="shared" si="8"/>
        <v>1.0025062656641604E-4</v>
      </c>
    </row>
    <row r="85" spans="1:10" x14ac:dyDescent="0.25">
      <c r="A85" s="16" t="s">
        <v>56</v>
      </c>
      <c r="B85" s="53">
        <v>2.1899999999999999E-2</v>
      </c>
      <c r="C85" s="53">
        <v>3.4599999999999999E-2</v>
      </c>
      <c r="D85" s="53">
        <v>4.36E-2</v>
      </c>
      <c r="E85" s="53">
        <v>5.6899999999999999E-2</v>
      </c>
      <c r="F85" s="53">
        <v>7.8299999999999995E-2</v>
      </c>
      <c r="G85" s="53">
        <v>8.6900000000000005E-2</v>
      </c>
      <c r="H85" s="53">
        <v>0.11119999999999999</v>
      </c>
      <c r="I85" s="53">
        <v>0.14269999999999999</v>
      </c>
      <c r="J85" s="54">
        <v>0.1822</v>
      </c>
    </row>
    <row r="86" spans="1:10" x14ac:dyDescent="0.25">
      <c r="A86" s="20" t="s">
        <v>57</v>
      </c>
      <c r="B86" s="55">
        <v>4.0500000000000001E-2</v>
      </c>
      <c r="C86" s="55">
        <v>7.2300000000000003E-2</v>
      </c>
      <c r="D86" s="55">
        <v>9.6799999999999997E-2</v>
      </c>
      <c r="E86" s="55">
        <v>0.1353</v>
      </c>
      <c r="F86" s="55">
        <v>0.2049</v>
      </c>
      <c r="G86" s="55">
        <v>0.23699999999999999</v>
      </c>
      <c r="H86" s="55">
        <v>0.33300000000000002</v>
      </c>
      <c r="I86" s="55">
        <v>0.46029999999999999</v>
      </c>
      <c r="J86" s="56">
        <v>0.61229999999999996</v>
      </c>
    </row>
    <row r="87" spans="1:10" ht="15.75" thickBot="1" x14ac:dyDescent="0.3">
      <c r="A87" s="57" t="s">
        <v>58</v>
      </c>
      <c r="B87" s="58">
        <v>7.6499999999999999E-2</v>
      </c>
      <c r="C87" s="58">
        <v>0.13089999999999999</v>
      </c>
      <c r="D87" s="58">
        <v>0.1736</v>
      </c>
      <c r="E87" s="58">
        <v>0.2392</v>
      </c>
      <c r="F87" s="58">
        <v>0.34949999999999998</v>
      </c>
      <c r="G87" s="58">
        <v>0.39689999999999998</v>
      </c>
      <c r="H87" s="58">
        <v>0.52990000000000004</v>
      </c>
      <c r="I87" s="58">
        <v>0.69689999999999996</v>
      </c>
      <c r="J87" s="59">
        <v>0.89090000000000003</v>
      </c>
    </row>
    <row r="90" spans="1:10" ht="21" x14ac:dyDescent="0.35">
      <c r="A90" s="52" t="s">
        <v>96</v>
      </c>
    </row>
    <row r="91" spans="1:10" ht="15.75" thickBot="1" x14ac:dyDescent="0.3">
      <c r="A91" s="57" t="s">
        <v>58</v>
      </c>
      <c r="B91">
        <v>5.2293892505633002E-2</v>
      </c>
      <c r="C91">
        <v>9.1064584612919997E-2</v>
      </c>
      <c r="D91">
        <v>0.12191817478853099</v>
      </c>
      <c r="E91">
        <v>0.172158491209953</v>
      </c>
      <c r="F91">
        <v>0.26363969697801198</v>
      </c>
      <c r="G91">
        <v>0.305479555921292</v>
      </c>
      <c r="H91">
        <v>0.426834471978288</v>
      </c>
      <c r="I91">
        <v>0.57765356581347205</v>
      </c>
      <c r="J91">
        <v>0.74716675566533297</v>
      </c>
    </row>
    <row r="93" spans="1:10" ht="21" x14ac:dyDescent="0.35">
      <c r="A93" s="52" t="s">
        <v>95</v>
      </c>
    </row>
    <row r="94" spans="1:10" ht="15.75" thickBot="1" x14ac:dyDescent="0.3">
      <c r="A94" s="57" t="s">
        <v>58</v>
      </c>
      <c r="B94">
        <v>3.3486886000579003E-2</v>
      </c>
      <c r="C94">
        <v>5.9594458260840998E-2</v>
      </c>
      <c r="D94">
        <v>8.0547131615930995E-2</v>
      </c>
      <c r="E94">
        <v>0.11528852544931099</v>
      </c>
      <c r="F94">
        <v>0.181452564394496</v>
      </c>
      <c r="G94">
        <v>0.213195345470754</v>
      </c>
      <c r="H94">
        <v>0.30794023513923302</v>
      </c>
      <c r="I94">
        <v>0.43256041752329799</v>
      </c>
      <c r="J94">
        <v>0.57806747652811596</v>
      </c>
    </row>
    <row r="96" spans="1:10" ht="21" x14ac:dyDescent="0.35">
      <c r="A96" s="52" t="s">
        <v>97</v>
      </c>
    </row>
    <row r="97" spans="1:10" ht="15.75" thickBot="1" x14ac:dyDescent="0.3">
      <c r="A97" s="57" t="s">
        <v>58</v>
      </c>
      <c r="B97">
        <v>2.4702999504088E-2</v>
      </c>
      <c r="C97">
        <v>4.4748869882656001E-2</v>
      </c>
      <c r="D97">
        <v>6.1009352382924001E-2</v>
      </c>
      <c r="E97">
        <v>8.7903875669160997E-2</v>
      </c>
      <c r="F97">
        <v>0.137771126536268</v>
      </c>
      <c r="G97">
        <v>0.161164194566945</v>
      </c>
      <c r="H97">
        <v>0.230078042282644</v>
      </c>
      <c r="I97">
        <v>0.31776596549538499</v>
      </c>
      <c r="J97">
        <v>0.41572709488854198</v>
      </c>
    </row>
  </sheetData>
  <mergeCells count="1">
    <mergeCell ref="D43:G4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topLeftCell="A28" zoomScale="70" zoomScaleNormal="70" workbookViewId="0">
      <selection activeCell="C53" sqref="C53"/>
    </sheetView>
  </sheetViews>
  <sheetFormatPr defaultRowHeight="15" x14ac:dyDescent="0.25"/>
  <cols>
    <col min="1" max="1" width="12.42578125" customWidth="1"/>
    <col min="2" max="16" width="15.7109375" customWidth="1"/>
    <col min="17" max="17" width="15.5703125" customWidth="1"/>
    <col min="18" max="21" width="15.7109375" customWidth="1"/>
    <col min="22" max="22" width="15.5703125" customWidth="1"/>
    <col min="23" max="28" width="15.7109375" customWidth="1"/>
  </cols>
  <sheetData>
    <row r="1" spans="1:28" x14ac:dyDescent="0.25">
      <c r="A1" s="45" t="s">
        <v>0</v>
      </c>
      <c r="B1" s="45" t="s">
        <v>2</v>
      </c>
      <c r="C1" s="45" t="s">
        <v>3</v>
      </c>
      <c r="D1" s="45" t="s">
        <v>4</v>
      </c>
      <c r="E1" s="45" t="s">
        <v>5</v>
      </c>
      <c r="F1" s="45" t="s">
        <v>6</v>
      </c>
      <c r="G1" s="45" t="s">
        <v>7</v>
      </c>
      <c r="H1" s="45" t="s">
        <v>8</v>
      </c>
      <c r="I1" s="45" t="s">
        <v>74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16</v>
      </c>
      <c r="O1" s="45" t="s">
        <v>17</v>
      </c>
      <c r="P1" s="45" t="s">
        <v>75</v>
      </c>
      <c r="Q1" s="45" t="s">
        <v>18</v>
      </c>
      <c r="R1" s="45" t="s">
        <v>76</v>
      </c>
      <c r="S1" s="45" t="s">
        <v>77</v>
      </c>
      <c r="T1" s="45" t="s">
        <v>19</v>
      </c>
      <c r="U1" s="45" t="s">
        <v>78</v>
      </c>
      <c r="V1" s="45" t="s">
        <v>79</v>
      </c>
      <c r="W1" s="45" t="s">
        <v>80</v>
      </c>
      <c r="X1" s="45" t="s">
        <v>21</v>
      </c>
      <c r="Y1" s="45" t="s">
        <v>81</v>
      </c>
      <c r="Z1" s="45" t="s">
        <v>82</v>
      </c>
      <c r="AA1" s="45" t="s">
        <v>83</v>
      </c>
      <c r="AB1" s="45" t="s">
        <v>84</v>
      </c>
    </row>
    <row r="2" spans="1:28" x14ac:dyDescent="0.25">
      <c r="A2">
        <v>1E-3</v>
      </c>
      <c r="B2">
        <v>0.62895619882499998</v>
      </c>
      <c r="C2">
        <v>0.63233946477500003</v>
      </c>
      <c r="D2">
        <v>0.63559518879999999</v>
      </c>
      <c r="E2">
        <v>0.65580938577500003</v>
      </c>
      <c r="F2">
        <v>0.67538236289999998</v>
      </c>
      <c r="G2">
        <v>0.72986493895000004</v>
      </c>
      <c r="H2">
        <v>0.76913570902500006</v>
      </c>
      <c r="I2">
        <v>0.81336740510000005</v>
      </c>
      <c r="J2">
        <v>0.83916115797500002</v>
      </c>
      <c r="K2">
        <v>0.85350880374999993</v>
      </c>
      <c r="L2">
        <v>0.89074438225000008</v>
      </c>
      <c r="M2">
        <v>0.91709981200000001</v>
      </c>
      <c r="N2">
        <v>0.93039720400000003</v>
      </c>
      <c r="O2">
        <v>0.86494634775000012</v>
      </c>
      <c r="P2">
        <v>0.77054938725</v>
      </c>
      <c r="Q2">
        <v>0.66623615174999995</v>
      </c>
      <c r="R2">
        <v>0.58147152050000006</v>
      </c>
      <c r="S2">
        <v>0.53614275249999999</v>
      </c>
      <c r="T2">
        <v>0.50243003225000005</v>
      </c>
      <c r="U2">
        <v>0.45129026799999999</v>
      </c>
      <c r="V2">
        <v>0.39717595425000002</v>
      </c>
      <c r="W2">
        <v>0.34051802850000001</v>
      </c>
      <c r="X2">
        <v>0.25698516582499997</v>
      </c>
      <c r="Y2">
        <v>0.17950517729999999</v>
      </c>
      <c r="Z2">
        <v>0.143276017325</v>
      </c>
      <c r="AA2">
        <v>0.109322565575</v>
      </c>
      <c r="AB2">
        <v>6.0438943949999997E-2</v>
      </c>
    </row>
    <row r="3" spans="1:28" x14ac:dyDescent="0.25">
      <c r="A3">
        <v>1.8374400000000001E-3</v>
      </c>
      <c r="B3">
        <v>0.39151487600000001</v>
      </c>
      <c r="C3">
        <v>0.39500273604999997</v>
      </c>
      <c r="D3">
        <v>0.39841814089999994</v>
      </c>
      <c r="E3">
        <v>0.41551573777500006</v>
      </c>
      <c r="F3">
        <v>0.43447469227500002</v>
      </c>
      <c r="G3">
        <v>0.47875349517499999</v>
      </c>
      <c r="H3">
        <v>0.51829463980000001</v>
      </c>
      <c r="I3">
        <v>0.57658184895000009</v>
      </c>
      <c r="J3">
        <v>0.61842563314999999</v>
      </c>
      <c r="K3">
        <v>0.64050258989999986</v>
      </c>
      <c r="L3">
        <v>0.67898657585</v>
      </c>
      <c r="M3">
        <v>0.68673458339999993</v>
      </c>
      <c r="N3">
        <v>0.66404047924999987</v>
      </c>
      <c r="O3">
        <v>0.58775561200000004</v>
      </c>
      <c r="P3">
        <v>0.50716612724999999</v>
      </c>
      <c r="Q3">
        <v>0.42716795000000002</v>
      </c>
      <c r="R3">
        <v>0.36799312637500003</v>
      </c>
      <c r="S3">
        <v>0.33751199337499999</v>
      </c>
      <c r="T3">
        <v>0.31571630300000003</v>
      </c>
      <c r="U3">
        <v>0.27974240797500005</v>
      </c>
      <c r="V3">
        <v>0.24287415877499996</v>
      </c>
      <c r="W3">
        <v>0.20574309629999998</v>
      </c>
      <c r="X3">
        <v>0.15482876925</v>
      </c>
      <c r="Y3">
        <v>0.1055033229</v>
      </c>
      <c r="Z3">
        <v>8.2014701500000009E-2</v>
      </c>
      <c r="AA3">
        <v>6.1554349212499998E-2</v>
      </c>
      <c r="AB3">
        <v>3.214029827875E-2</v>
      </c>
    </row>
    <row r="4" spans="1:28" x14ac:dyDescent="0.25">
      <c r="A4">
        <v>3.37617E-3</v>
      </c>
      <c r="B4">
        <v>0.23031760242500002</v>
      </c>
      <c r="C4">
        <v>0.23321927741249998</v>
      </c>
      <c r="D4">
        <v>0.23609443560000001</v>
      </c>
      <c r="E4">
        <v>0.24976683451250004</v>
      </c>
      <c r="F4">
        <v>0.26583368830000004</v>
      </c>
      <c r="G4">
        <v>0.29119434512499998</v>
      </c>
      <c r="H4">
        <v>0.31537125779999997</v>
      </c>
      <c r="I4">
        <v>0.35507521976249995</v>
      </c>
      <c r="J4">
        <v>0.38998426691249999</v>
      </c>
      <c r="K4">
        <v>0.41193626231250002</v>
      </c>
      <c r="L4">
        <v>0.45387594775000001</v>
      </c>
      <c r="M4">
        <v>0.4535548774</v>
      </c>
      <c r="N4">
        <v>0.41988081172500002</v>
      </c>
      <c r="O4">
        <v>0.36017257674999997</v>
      </c>
      <c r="P4">
        <v>0.30404757112500003</v>
      </c>
      <c r="Q4">
        <v>0.25391455415000003</v>
      </c>
      <c r="R4">
        <v>0.21636582724999998</v>
      </c>
      <c r="S4">
        <v>0.19741905837500001</v>
      </c>
      <c r="T4">
        <v>0.18416050307499998</v>
      </c>
      <c r="U4">
        <v>0.16211692707499997</v>
      </c>
      <c r="V4">
        <v>0.14023626757499999</v>
      </c>
      <c r="W4">
        <v>0.11784373938750001</v>
      </c>
      <c r="X4">
        <v>8.7239708249999992E-2</v>
      </c>
      <c r="Y4">
        <v>5.8185217687499999E-2</v>
      </c>
      <c r="Z4">
        <v>4.4105708162500007E-2</v>
      </c>
      <c r="AA4">
        <v>3.2070830704999997E-2</v>
      </c>
      <c r="AB4">
        <v>1.5852025527499997E-2</v>
      </c>
    </row>
    <row r="5" spans="1:28" x14ac:dyDescent="0.25">
      <c r="A5">
        <v>6.2034899999999999E-3</v>
      </c>
      <c r="B5">
        <v>0.13021499759374999</v>
      </c>
      <c r="C5">
        <v>0.13219292628625001</v>
      </c>
      <c r="D5">
        <v>0.1341731507475</v>
      </c>
      <c r="E5">
        <v>0.14406865896499998</v>
      </c>
      <c r="F5">
        <v>0.15611476208</v>
      </c>
      <c r="G5">
        <v>0.17045991130499999</v>
      </c>
      <c r="H5">
        <v>0.18338925463125</v>
      </c>
      <c r="I5">
        <v>0.20479932809250001</v>
      </c>
      <c r="J5">
        <v>0.22373258924125</v>
      </c>
      <c r="K5">
        <v>0.23664982719999997</v>
      </c>
      <c r="L5">
        <v>0.26478825023750008</v>
      </c>
      <c r="M5">
        <v>0.26510340930000004</v>
      </c>
      <c r="N5">
        <v>0.23943310595000003</v>
      </c>
      <c r="O5">
        <v>0.20264657454999999</v>
      </c>
      <c r="P5">
        <v>0.16888911294999998</v>
      </c>
      <c r="Q5">
        <v>0.14063267085</v>
      </c>
      <c r="R5">
        <v>0.11938101003749998</v>
      </c>
      <c r="S5">
        <v>0.10882068222499999</v>
      </c>
      <c r="T5">
        <v>0.10138449013749999</v>
      </c>
      <c r="U5">
        <v>8.8566760049999999E-2</v>
      </c>
      <c r="V5">
        <v>7.6014487287500002E-2</v>
      </c>
      <c r="W5">
        <v>6.322533990000001E-2</v>
      </c>
      <c r="X5">
        <v>4.6137476262499991E-2</v>
      </c>
      <c r="Y5">
        <v>2.9688888518749998E-2</v>
      </c>
      <c r="Z5">
        <v>2.1952331786250001E-2</v>
      </c>
      <c r="AA5">
        <v>1.5587991411249998E-2</v>
      </c>
      <c r="AB5">
        <v>7.392612865875E-3</v>
      </c>
    </row>
    <row r="6" spans="1:28" x14ac:dyDescent="0.25">
      <c r="A6">
        <v>1.1398500000000001E-2</v>
      </c>
      <c r="B6">
        <v>7.0132479508749998E-2</v>
      </c>
      <c r="C6">
        <v>7.1287486963749994E-2</v>
      </c>
      <c r="D6">
        <v>7.2451759886250008E-2</v>
      </c>
      <c r="E6">
        <v>7.9004813261250001E-2</v>
      </c>
      <c r="F6">
        <v>8.7186510924999988E-2</v>
      </c>
      <c r="G6">
        <v>9.5841035766499993E-2</v>
      </c>
      <c r="H6">
        <v>0.10318920077437499</v>
      </c>
      <c r="I6">
        <v>0.1147647496685</v>
      </c>
      <c r="J6">
        <v>0.12388892919337499</v>
      </c>
      <c r="K6">
        <v>0.13023705335462499</v>
      </c>
      <c r="L6">
        <v>0.14296190990999999</v>
      </c>
      <c r="M6">
        <v>0.14254546426125</v>
      </c>
      <c r="N6">
        <v>0.12713933261749999</v>
      </c>
      <c r="O6">
        <v>0.10671708369999999</v>
      </c>
      <c r="P6">
        <v>8.8399009774999981E-2</v>
      </c>
      <c r="Q6">
        <v>7.3775530275000001E-2</v>
      </c>
      <c r="R6">
        <v>6.2257490400000004E-2</v>
      </c>
      <c r="S6">
        <v>5.6636096922500004E-2</v>
      </c>
      <c r="T6">
        <v>5.2687065285000008E-2</v>
      </c>
      <c r="U6">
        <v>4.5565450567499999E-2</v>
      </c>
      <c r="V6">
        <v>3.8632276202499996E-2</v>
      </c>
      <c r="W6">
        <v>3.1610819234999997E-2</v>
      </c>
      <c r="X6">
        <v>2.25534720625E-2</v>
      </c>
      <c r="Y6">
        <v>1.4084682751250001E-2</v>
      </c>
      <c r="Z6">
        <v>1.0048148524125E-2</v>
      </c>
      <c r="AA6">
        <v>6.9222798885000001E-3</v>
      </c>
      <c r="AB6">
        <v>3.15799599107625E-3</v>
      </c>
    </row>
    <row r="7" spans="1:28" x14ac:dyDescent="0.25">
      <c r="A7">
        <v>2.09441E-2</v>
      </c>
      <c r="B7">
        <v>3.5647570108700004E-2</v>
      </c>
      <c r="C7">
        <v>3.62630045541125E-2</v>
      </c>
      <c r="D7">
        <v>3.6884803153937495E-2</v>
      </c>
      <c r="E7">
        <v>4.0917773116362501E-2</v>
      </c>
      <c r="F7">
        <v>4.6065948731424999E-2</v>
      </c>
      <c r="G7">
        <v>5.1378272536537498E-2</v>
      </c>
      <c r="H7">
        <v>5.5750732736850002E-2</v>
      </c>
      <c r="I7">
        <v>6.2355424416062497E-2</v>
      </c>
      <c r="J7">
        <v>6.6827867493387511E-2</v>
      </c>
      <c r="K7">
        <v>6.9879073309012496E-2</v>
      </c>
      <c r="L7">
        <v>7.4666832875587508E-2</v>
      </c>
      <c r="M7">
        <v>7.3268154041624997E-2</v>
      </c>
      <c r="N7">
        <v>6.4358404892499999E-2</v>
      </c>
      <c r="O7">
        <v>5.3328484447500005E-2</v>
      </c>
      <c r="P7">
        <v>4.3862142273750002E-2</v>
      </c>
      <c r="Q7">
        <v>3.6562483605000001E-2</v>
      </c>
      <c r="R7">
        <v>3.0538810875000003E-2</v>
      </c>
      <c r="S7">
        <v>2.7648188683749998E-2</v>
      </c>
      <c r="T7">
        <v>2.5624608933749998E-2</v>
      </c>
      <c r="U7">
        <v>2.1877639188749999E-2</v>
      </c>
      <c r="V7">
        <v>1.82785635725E-2</v>
      </c>
      <c r="W7">
        <v>1.47059243475E-2</v>
      </c>
      <c r="X7">
        <v>1.0184102786500001E-2</v>
      </c>
      <c r="Y7">
        <v>6.1822878828750004E-3</v>
      </c>
      <c r="Z7">
        <v>4.2567787756499992E-3</v>
      </c>
      <c r="AA7">
        <v>2.8141848547E-3</v>
      </c>
      <c r="AB7">
        <v>1.2488634354563862E-3</v>
      </c>
    </row>
    <row r="8" spans="1:28" x14ac:dyDescent="0.25">
      <c r="A8">
        <v>3.8483299999999998E-2</v>
      </c>
      <c r="B8">
        <v>1.6854862909638002E-2</v>
      </c>
      <c r="C8">
        <v>1.7163679915940002E-2</v>
      </c>
      <c r="D8">
        <v>1.7475928047866247E-2</v>
      </c>
      <c r="E8">
        <v>1.9777774155739249E-2</v>
      </c>
      <c r="F8">
        <v>2.2775673829547375E-2</v>
      </c>
      <c r="G8">
        <v>2.5920040644783496E-2</v>
      </c>
      <c r="H8">
        <v>2.8516948686945674E-2</v>
      </c>
      <c r="I8">
        <v>3.2383240788646871E-2</v>
      </c>
      <c r="J8">
        <v>3.4711787737927748E-2</v>
      </c>
      <c r="K8">
        <v>3.6247208859679143E-2</v>
      </c>
      <c r="L8">
        <v>3.7995051019414881E-2</v>
      </c>
      <c r="M8">
        <v>3.639848877597375E-2</v>
      </c>
      <c r="N8">
        <v>3.11367737441E-2</v>
      </c>
      <c r="O8">
        <v>2.5197261392374999E-2</v>
      </c>
      <c r="P8">
        <v>2.0478679106E-2</v>
      </c>
      <c r="Q8">
        <v>1.7004567976124998E-2</v>
      </c>
      <c r="R8">
        <v>1.4041167029624999E-2</v>
      </c>
      <c r="S8">
        <v>1.2635468142624999E-2</v>
      </c>
      <c r="T8">
        <v>1.166119640675E-2</v>
      </c>
      <c r="U8">
        <v>9.8105925133750004E-3</v>
      </c>
      <c r="V8">
        <v>8.0619317728749997E-3</v>
      </c>
      <c r="W8">
        <v>6.3614389198874983E-3</v>
      </c>
      <c r="X8">
        <v>4.2746145784500001E-3</v>
      </c>
      <c r="Y8">
        <v>2.5090692463775005E-3</v>
      </c>
      <c r="Z8">
        <v>1.6477921914312497E-3</v>
      </c>
      <c r="AA8">
        <v>1.0463432465707499E-3</v>
      </c>
      <c r="AB8">
        <v>4.601140517498175E-4</v>
      </c>
    </row>
    <row r="9" spans="1:28" x14ac:dyDescent="0.25">
      <c r="A9">
        <v>7.0710700000000001E-2</v>
      </c>
      <c r="B9">
        <v>7.2977983982423968E-3</v>
      </c>
      <c r="C9">
        <v>7.4437631985154202E-3</v>
      </c>
      <c r="D9">
        <v>7.5914531210998937E-3</v>
      </c>
      <c r="E9">
        <v>8.7833084184496361E-3</v>
      </c>
      <c r="F9">
        <v>1.036615932053659E-2</v>
      </c>
      <c r="G9">
        <v>1.2078856273283065E-2</v>
      </c>
      <c r="H9">
        <v>1.3531725169095263E-2</v>
      </c>
      <c r="I9">
        <v>1.5713136545213193E-2</v>
      </c>
      <c r="J9">
        <v>1.6964145814493001E-2</v>
      </c>
      <c r="K9">
        <v>1.7774821249774E-2</v>
      </c>
      <c r="L9">
        <v>1.8553139426726008E-2</v>
      </c>
      <c r="M9">
        <v>1.7341224242764894E-2</v>
      </c>
      <c r="N9">
        <v>1.4283615558109825E-2</v>
      </c>
      <c r="O9">
        <v>1.1183149417971251E-2</v>
      </c>
      <c r="P9">
        <v>8.9474671189499998E-3</v>
      </c>
      <c r="Q9">
        <v>7.3841398717237492E-3</v>
      </c>
      <c r="R9">
        <v>6.0188710474725002E-3</v>
      </c>
      <c r="S9">
        <v>5.3765236049575001E-3</v>
      </c>
      <c r="T9">
        <v>4.9439683660587493E-3</v>
      </c>
      <c r="U9">
        <v>4.0989910607337494E-3</v>
      </c>
      <c r="V9">
        <v>3.31330107806125E-3</v>
      </c>
      <c r="W9">
        <v>2.5485055940987502E-3</v>
      </c>
      <c r="X9">
        <v>1.6561986391708753E-3</v>
      </c>
      <c r="Y9">
        <v>9.3817358328850001E-4</v>
      </c>
      <c r="Z9">
        <v>5.7175414417221253E-4</v>
      </c>
      <c r="AA9">
        <v>3.5105291234422255E-4</v>
      </c>
      <c r="AB9">
        <v>1.5311240579986632E-4</v>
      </c>
    </row>
    <row r="10" spans="1:28" x14ac:dyDescent="0.25">
      <c r="A10">
        <v>0.12992600000000001</v>
      </c>
      <c r="B10">
        <v>2.8492364654759549E-3</v>
      </c>
      <c r="C10">
        <v>2.9136820533448102E-3</v>
      </c>
      <c r="D10">
        <v>2.9789385372928768E-3</v>
      </c>
      <c r="E10">
        <v>3.5287643157197401E-3</v>
      </c>
      <c r="F10">
        <v>4.271594895537475E-3</v>
      </c>
      <c r="G10">
        <v>5.1052198496605895E-3</v>
      </c>
      <c r="H10">
        <v>5.84265437082984E-3</v>
      </c>
      <c r="I10">
        <v>6.9724652261593401E-3</v>
      </c>
      <c r="J10">
        <v>7.6188066936648917E-3</v>
      </c>
      <c r="K10">
        <v>8.0376973095893402E-3</v>
      </c>
      <c r="L10">
        <v>8.4762359530079802E-3</v>
      </c>
      <c r="M10">
        <v>7.7996843795261998E-3</v>
      </c>
      <c r="N10">
        <v>6.1340252274300813E-3</v>
      </c>
      <c r="O10">
        <v>4.608611914140576E-3</v>
      </c>
      <c r="P10">
        <v>3.6177003795929245E-3</v>
      </c>
      <c r="Q10">
        <v>2.9599230287115749E-3</v>
      </c>
      <c r="R10">
        <v>2.3738614641126065E-3</v>
      </c>
      <c r="S10">
        <v>2.0995666974270924E-3</v>
      </c>
      <c r="T10">
        <v>1.9248926957428274E-3</v>
      </c>
      <c r="U10">
        <v>1.573404333328214E-3</v>
      </c>
      <c r="V10">
        <v>1.2525816520441899E-3</v>
      </c>
      <c r="W10">
        <v>9.2748483603299209E-4</v>
      </c>
      <c r="X10">
        <v>5.766760730457817E-4</v>
      </c>
      <c r="Y10">
        <v>3.191845237099301E-4</v>
      </c>
      <c r="Z10">
        <v>1.8539034295948602E-4</v>
      </c>
      <c r="AA10">
        <v>1.1893646460803283E-4</v>
      </c>
      <c r="AB10">
        <v>5.9649067170549997E-5</v>
      </c>
    </row>
    <row r="11" spans="1:28" x14ac:dyDescent="0.25">
      <c r="A11">
        <v>0.238731</v>
      </c>
      <c r="B11">
        <v>9.7771603843247075E-4</v>
      </c>
      <c r="C11">
        <v>1.00357083635751E-3</v>
      </c>
      <c r="D11">
        <v>1.0298145220518577E-3</v>
      </c>
      <c r="E11">
        <v>1.2516515168452948E-3</v>
      </c>
      <c r="F11">
        <v>1.556924014906866E-3</v>
      </c>
      <c r="G11">
        <v>1.913759327779046E-3</v>
      </c>
      <c r="H11">
        <v>2.2466507417427842E-3</v>
      </c>
      <c r="I11">
        <v>2.7706829601295366E-3</v>
      </c>
      <c r="J11">
        <v>3.0788433750217011E-3</v>
      </c>
      <c r="K11">
        <v>3.2802747001869697E-3</v>
      </c>
      <c r="L11">
        <v>3.534613228477001E-3</v>
      </c>
      <c r="M11">
        <v>3.2322569013168668E-3</v>
      </c>
      <c r="N11">
        <v>2.431890192395E-3</v>
      </c>
      <c r="O11">
        <v>1.7540590292239751E-3</v>
      </c>
      <c r="P11">
        <v>1.3490578870460261E-3</v>
      </c>
      <c r="Q11">
        <v>1.0894446066947025E-3</v>
      </c>
      <c r="R11">
        <v>8.5041983586977492E-4</v>
      </c>
      <c r="S11">
        <v>7.38087256457325E-4</v>
      </c>
      <c r="T11">
        <v>6.7297180196636253E-4</v>
      </c>
      <c r="U11">
        <v>5.4495039562879371E-4</v>
      </c>
      <c r="V11">
        <v>4.3134504448386502E-4</v>
      </c>
      <c r="W11">
        <v>3.0329428990566562E-4</v>
      </c>
      <c r="X11">
        <v>1.8594749393349935E-4</v>
      </c>
      <c r="Y11">
        <v>1.0758000707867391E-4</v>
      </c>
      <c r="Z11">
        <v>5.963685175652E-5</v>
      </c>
      <c r="AA11">
        <v>3.9995406376256998E-5</v>
      </c>
      <c r="AB11">
        <v>2.5031778224918699E-5</v>
      </c>
    </row>
    <row r="12" spans="1:28" x14ac:dyDescent="0.25">
      <c r="A12">
        <v>0.43865300000000002</v>
      </c>
      <c r="B12">
        <v>2.8403969463420702E-4</v>
      </c>
      <c r="C12">
        <v>2.9280109165131515E-4</v>
      </c>
      <c r="D12">
        <v>3.0174355071678781E-4</v>
      </c>
      <c r="E12">
        <v>3.7465109561079032E-4</v>
      </c>
      <c r="F12">
        <v>4.7899714996334008E-4</v>
      </c>
      <c r="G12">
        <v>6.0875441638846156E-4</v>
      </c>
      <c r="H12">
        <v>7.3911478230171519E-4</v>
      </c>
      <c r="I12">
        <v>9.5219125754346693E-4</v>
      </c>
      <c r="J12">
        <v>1.0849045098567307E-3</v>
      </c>
      <c r="K12">
        <v>1.1728742363873381E-3</v>
      </c>
      <c r="L12">
        <v>1.3118263548546377E-3</v>
      </c>
      <c r="M12">
        <v>1.2015752467326251E-3</v>
      </c>
      <c r="N12">
        <v>8.6920130406115343E-4</v>
      </c>
      <c r="O12">
        <v>6.1046407342926247E-4</v>
      </c>
      <c r="P12">
        <v>4.6663692491981748E-4</v>
      </c>
      <c r="Q12">
        <v>3.7612470475646053E-4</v>
      </c>
      <c r="R12">
        <v>2.8280782993743891E-4</v>
      </c>
      <c r="S12">
        <v>2.3785273635347438E-4</v>
      </c>
      <c r="T12">
        <v>2.1616059520723039E-4</v>
      </c>
      <c r="U12">
        <v>1.7620854441816888E-4</v>
      </c>
      <c r="V12">
        <v>1.4182617764834775E-4</v>
      </c>
      <c r="W12">
        <v>9.1527539101010232E-5</v>
      </c>
      <c r="X12">
        <v>5.6886110641691905E-5</v>
      </c>
      <c r="Y12">
        <v>3.5484510523874228E-5</v>
      </c>
      <c r="Z12">
        <v>1.8094118028979256E-5</v>
      </c>
      <c r="AA12">
        <v>1.2464884302947648E-5</v>
      </c>
      <c r="AB12">
        <v>9.6693549182040742E-6</v>
      </c>
    </row>
    <row r="13" spans="1:28" x14ac:dyDescent="0.25">
      <c r="A13">
        <v>0.80599699999999996</v>
      </c>
      <c r="B13">
        <v>6.913113741951301E-5</v>
      </c>
      <c r="C13">
        <v>7.1502501146962003E-5</v>
      </c>
      <c r="D13">
        <v>7.3935195401717501E-5</v>
      </c>
      <c r="E13">
        <v>9.12920453777175E-5</v>
      </c>
      <c r="F13">
        <v>1.1760375675065538E-4</v>
      </c>
      <c r="G13">
        <v>1.5388385278363077E-4</v>
      </c>
      <c r="H13">
        <v>1.9450811612897365E-4</v>
      </c>
      <c r="I13">
        <v>2.6544781474043775E-4</v>
      </c>
      <c r="J13">
        <v>3.1461103475779713E-4</v>
      </c>
      <c r="K13">
        <v>3.479510921383668E-4</v>
      </c>
      <c r="L13">
        <v>4.1481417453395099E-4</v>
      </c>
      <c r="M13">
        <v>3.8510029580225653E-4</v>
      </c>
      <c r="N13">
        <v>2.6983510382797699E-4</v>
      </c>
      <c r="O13">
        <v>1.8754415857644762E-4</v>
      </c>
      <c r="P13">
        <v>1.4714892283540211E-4</v>
      </c>
      <c r="Q13">
        <v>1.2207082350011717E-4</v>
      </c>
      <c r="R13">
        <v>8.6190223910196523E-5</v>
      </c>
      <c r="S13">
        <v>6.8481715566091729E-5</v>
      </c>
      <c r="T13">
        <v>6.26839628251153E-5</v>
      </c>
      <c r="U13">
        <v>5.2545546523420262E-5</v>
      </c>
      <c r="V13">
        <v>4.4271433996280052E-5</v>
      </c>
      <c r="W13">
        <v>2.4311258760074414E-5</v>
      </c>
      <c r="X13">
        <v>1.5724124954888403E-5</v>
      </c>
      <c r="Y13">
        <v>1.1092141272831569E-5</v>
      </c>
      <c r="Z13">
        <v>4.8981540746380886E-6</v>
      </c>
      <c r="AA13">
        <v>3.3567494976423503E-6</v>
      </c>
      <c r="AB13">
        <v>3.1161257738953502E-6</v>
      </c>
    </row>
    <row r="14" spans="1:28" x14ac:dyDescent="0.25">
      <c r="A14">
        <v>1.4809699999999999</v>
      </c>
      <c r="B14">
        <v>1.4802845531204761E-5</v>
      </c>
      <c r="C14">
        <v>1.5352823047046008E-5</v>
      </c>
      <c r="D14">
        <v>1.591734948525445E-5</v>
      </c>
      <c r="E14">
        <v>1.8770401671223675E-5</v>
      </c>
      <c r="F14">
        <v>2.3178355226122247E-5</v>
      </c>
      <c r="G14">
        <v>3.0093230081652005E-5</v>
      </c>
      <c r="H14">
        <v>3.88255305480665E-5</v>
      </c>
      <c r="I14">
        <v>5.5737674578716507E-5</v>
      </c>
      <c r="J14">
        <v>6.950468519438153E-5</v>
      </c>
      <c r="K14">
        <v>7.9192822331163243E-5</v>
      </c>
      <c r="L14">
        <v>1.0405582619933759E-4</v>
      </c>
      <c r="M14">
        <v>9.9438718666965245E-5</v>
      </c>
      <c r="N14">
        <v>6.7965922188930515E-5</v>
      </c>
      <c r="O14">
        <v>4.8093686539405155E-5</v>
      </c>
      <c r="P14">
        <v>4.1728931305066903E-5</v>
      </c>
      <c r="Q14">
        <v>3.7856046392236005E-5</v>
      </c>
      <c r="R14">
        <v>2.355444381302325E-5</v>
      </c>
      <c r="S14">
        <v>1.6841810497417252E-5</v>
      </c>
      <c r="T14">
        <v>1.5819072812022252E-5</v>
      </c>
      <c r="U14">
        <v>1.4160905324871375E-5</v>
      </c>
      <c r="V14">
        <v>1.2964556750221853E-5</v>
      </c>
      <c r="W14">
        <v>5.4870185339353975E-6</v>
      </c>
      <c r="X14">
        <v>3.766594059597147E-6</v>
      </c>
      <c r="Y14">
        <v>3.100141620092515E-6</v>
      </c>
      <c r="Z14">
        <v>1.0896123130978226E-6</v>
      </c>
      <c r="AA14">
        <v>7.204376619423926E-7</v>
      </c>
      <c r="AB14">
        <v>7.5433344123851134E-7</v>
      </c>
    </row>
    <row r="15" spans="1:28" x14ac:dyDescent="0.25">
      <c r="A15">
        <v>2.7211799999999999</v>
      </c>
      <c r="B15">
        <v>2.7155729759079806E-6</v>
      </c>
      <c r="C15">
        <v>2.8359942049685146E-6</v>
      </c>
      <c r="D15">
        <v>2.9598165783509103E-6</v>
      </c>
      <c r="E15">
        <v>3.3413775167221617E-6</v>
      </c>
      <c r="F15">
        <v>3.8723472738328875E-6</v>
      </c>
      <c r="G15">
        <v>4.7574945964027371E-6</v>
      </c>
      <c r="H15">
        <v>5.9583269765667402E-6</v>
      </c>
      <c r="I15">
        <v>8.5529070176691004E-6</v>
      </c>
      <c r="J15">
        <v>1.1068611514991251E-5</v>
      </c>
      <c r="K15">
        <v>1.2911251839997748E-5</v>
      </c>
      <c r="L15">
        <v>1.8974163319380248E-5</v>
      </c>
      <c r="M15">
        <v>1.8901671770024828E-5</v>
      </c>
      <c r="N15">
        <v>1.2942785657624074E-5</v>
      </c>
      <c r="O15">
        <v>1.0017688046663117E-5</v>
      </c>
      <c r="P15">
        <v>1.074958001650116E-5</v>
      </c>
      <c r="Q15">
        <v>1.1278981106121818E-5</v>
      </c>
      <c r="R15">
        <v>5.7200440414152912E-6</v>
      </c>
      <c r="S15">
        <v>3.4904284249457752E-6</v>
      </c>
      <c r="T15">
        <v>3.4320176838452324E-6</v>
      </c>
      <c r="U15">
        <v>3.3813606969133375E-6</v>
      </c>
      <c r="V15">
        <v>3.4083496804242651E-6</v>
      </c>
      <c r="W15">
        <v>1.0220495260428906E-6</v>
      </c>
      <c r="X15">
        <v>7.2439296048416243E-7</v>
      </c>
      <c r="Y15">
        <v>6.9553201199566131E-7</v>
      </c>
      <c r="Z15">
        <v>1.800558410003794E-7</v>
      </c>
      <c r="AA15">
        <v>1.1318907713349674E-7</v>
      </c>
      <c r="AB15">
        <v>1.2509962994881005E-7</v>
      </c>
    </row>
    <row r="16" spans="1:28" x14ac:dyDescent="0.25">
      <c r="A16">
        <v>5</v>
      </c>
      <c r="B16">
        <v>3.4901867549027744E-7</v>
      </c>
      <c r="C16">
        <v>3.6971350872335101E-7</v>
      </c>
      <c r="D16">
        <v>3.9123801111377806E-7</v>
      </c>
      <c r="E16">
        <v>4.4132181652082998E-7</v>
      </c>
      <c r="F16">
        <v>5.0103467451755994E-7</v>
      </c>
      <c r="G16">
        <v>5.8899905225138947E-7</v>
      </c>
      <c r="H16">
        <v>7.0527890656562253E-7</v>
      </c>
      <c r="I16">
        <v>9.6800142655811273E-7</v>
      </c>
      <c r="J16">
        <v>1.2570965227016485E-6</v>
      </c>
      <c r="K16">
        <v>1.4719394448042942E-6</v>
      </c>
      <c r="L16">
        <v>2.349118642666577E-6</v>
      </c>
      <c r="M16">
        <v>2.5067312845318389E-6</v>
      </c>
      <c r="N16">
        <v>1.877192457253606E-6</v>
      </c>
      <c r="O16">
        <v>1.7175708899013839E-6</v>
      </c>
      <c r="P16">
        <v>2.3845087215249719E-6</v>
      </c>
      <c r="Q16">
        <v>2.8427823667553801E-6</v>
      </c>
      <c r="R16">
        <v>1.1429335203988965E-6</v>
      </c>
      <c r="S16">
        <v>5.8409313828626573E-7</v>
      </c>
      <c r="T16">
        <v>6.036669162455415E-7</v>
      </c>
      <c r="U16">
        <v>6.5227341040863176E-7</v>
      </c>
      <c r="V16">
        <v>7.1317965361588708E-7</v>
      </c>
      <c r="W16">
        <v>1.4516325225549754E-7</v>
      </c>
      <c r="X16">
        <v>1.000876857173599E-7</v>
      </c>
      <c r="Y16">
        <v>1.1267250358923437E-7</v>
      </c>
      <c r="Z16">
        <v>2.0272250767797278E-8</v>
      </c>
      <c r="AA16">
        <v>1.2098331825780325E-8</v>
      </c>
      <c r="AB16">
        <v>1.3387669962E-8</v>
      </c>
    </row>
    <row r="19" spans="1:28" x14ac:dyDescent="0.25">
      <c r="A19" s="45" t="s">
        <v>85</v>
      </c>
      <c r="B19" s="45">
        <v>1.85</v>
      </c>
    </row>
    <row r="20" spans="1:28" x14ac:dyDescent="0.25">
      <c r="A20" s="46" t="s">
        <v>87</v>
      </c>
      <c r="B20" s="46"/>
    </row>
    <row r="21" spans="1:28" x14ac:dyDescent="0.25">
      <c r="A21" s="45" t="s">
        <v>0</v>
      </c>
      <c r="B21" s="45" t="s">
        <v>2</v>
      </c>
      <c r="C21" s="45" t="s">
        <v>3</v>
      </c>
      <c r="D21" s="45" t="s">
        <v>4</v>
      </c>
      <c r="E21" s="45" t="s">
        <v>5</v>
      </c>
      <c r="F21" s="45" t="s">
        <v>6</v>
      </c>
      <c r="G21" s="45" t="s">
        <v>7</v>
      </c>
      <c r="H21" s="45" t="s">
        <v>8</v>
      </c>
      <c r="I21" s="45" t="s">
        <v>74</v>
      </c>
      <c r="J21" s="45" t="s">
        <v>11</v>
      </c>
      <c r="K21" s="45" t="s">
        <v>12</v>
      </c>
      <c r="L21" s="45" t="s">
        <v>13</v>
      </c>
      <c r="M21" s="45" t="s">
        <v>14</v>
      </c>
      <c r="N21" s="45" t="s">
        <v>16</v>
      </c>
      <c r="O21" s="45" t="s">
        <v>17</v>
      </c>
      <c r="P21" s="45" t="s">
        <v>75</v>
      </c>
      <c r="Q21" s="45" t="s">
        <v>18</v>
      </c>
      <c r="R21" s="45" t="s">
        <v>76</v>
      </c>
      <c r="S21" s="45" t="s">
        <v>77</v>
      </c>
      <c r="T21" s="45" t="s">
        <v>19</v>
      </c>
      <c r="U21" s="45" t="s">
        <v>78</v>
      </c>
      <c r="V21" s="45" t="s">
        <v>79</v>
      </c>
      <c r="W21" s="45" t="s">
        <v>80</v>
      </c>
      <c r="X21" s="45" t="s">
        <v>21</v>
      </c>
      <c r="Y21" s="45" t="s">
        <v>81</v>
      </c>
      <c r="Z21" s="45" t="s">
        <v>82</v>
      </c>
      <c r="AA21" s="45" t="s">
        <v>83</v>
      </c>
      <c r="AB21" s="45" t="s">
        <v>84</v>
      </c>
    </row>
    <row r="22" spans="1:28" x14ac:dyDescent="0.25">
      <c r="A22">
        <v>1E-3</v>
      </c>
      <c r="B22">
        <f>($B$19*B2)</f>
        <v>1.16356896782625</v>
      </c>
      <c r="C22">
        <f t="shared" ref="C22:AB32" si="0">($B$19*C2)</f>
        <v>1.1698280098337501</v>
      </c>
      <c r="D22">
        <f t="shared" si="0"/>
        <v>1.17585109928</v>
      </c>
      <c r="E22">
        <f t="shared" si="0"/>
        <v>1.2132473636837502</v>
      </c>
      <c r="F22">
        <f t="shared" si="0"/>
        <v>1.2494573713650001</v>
      </c>
      <c r="G22">
        <f t="shared" si="0"/>
        <v>1.3502501370575002</v>
      </c>
      <c r="H22">
        <f t="shared" si="0"/>
        <v>1.4229010616962501</v>
      </c>
      <c r="I22">
        <f t="shared" si="0"/>
        <v>1.5047296994350001</v>
      </c>
      <c r="J22">
        <f t="shared" si="0"/>
        <v>1.5524481422537502</v>
      </c>
      <c r="K22">
        <f t="shared" si="0"/>
        <v>1.5789912869375</v>
      </c>
      <c r="L22">
        <f t="shared" si="0"/>
        <v>1.6478771071625002</v>
      </c>
      <c r="M22">
        <f t="shared" si="0"/>
        <v>1.6966346522000002</v>
      </c>
      <c r="N22">
        <f t="shared" si="0"/>
        <v>1.7212348274000002</v>
      </c>
      <c r="O22">
        <f t="shared" si="0"/>
        <v>1.6001507433375004</v>
      </c>
      <c r="P22">
        <f t="shared" si="0"/>
        <v>1.4255163664125001</v>
      </c>
      <c r="Q22">
        <f t="shared" si="0"/>
        <v>1.2325368807374999</v>
      </c>
      <c r="R22">
        <f t="shared" si="0"/>
        <v>1.0757223129250002</v>
      </c>
      <c r="S22">
        <f t="shared" si="0"/>
        <v>0.99186409212500004</v>
      </c>
      <c r="T22">
        <f t="shared" si="0"/>
        <v>0.92949555966250008</v>
      </c>
      <c r="U22">
        <f t="shared" si="0"/>
        <v>0.83488699580000003</v>
      </c>
      <c r="V22">
        <f t="shared" si="0"/>
        <v>0.73477551536250008</v>
      </c>
      <c r="W22">
        <f t="shared" si="0"/>
        <v>0.629958352725</v>
      </c>
      <c r="X22">
        <f t="shared" si="0"/>
        <v>0.47542255677624995</v>
      </c>
      <c r="Y22">
        <f t="shared" si="0"/>
        <v>0.33208457800499996</v>
      </c>
      <c r="Z22">
        <f t="shared" si="0"/>
        <v>0.26506063205125002</v>
      </c>
      <c r="AA22">
        <f t="shared" si="0"/>
        <v>0.20224674631375</v>
      </c>
      <c r="AB22">
        <f t="shared" si="0"/>
        <v>0.1118120463075</v>
      </c>
    </row>
    <row r="23" spans="1:28" x14ac:dyDescent="0.25">
      <c r="A23">
        <v>1.8374400000000001E-3</v>
      </c>
      <c r="B23">
        <f t="shared" ref="B23:Q36" si="1">($B$19*B3)</f>
        <v>0.72430252060000011</v>
      </c>
      <c r="C23">
        <f t="shared" si="1"/>
        <v>0.73075506169249993</v>
      </c>
      <c r="D23">
        <f t="shared" si="1"/>
        <v>0.73707356066499996</v>
      </c>
      <c r="E23">
        <f t="shared" si="1"/>
        <v>0.76870411488375012</v>
      </c>
      <c r="F23">
        <f t="shared" si="1"/>
        <v>0.80377818070875007</v>
      </c>
      <c r="G23">
        <f t="shared" si="1"/>
        <v>0.88569396607375006</v>
      </c>
      <c r="H23">
        <f t="shared" si="1"/>
        <v>0.95884508363000009</v>
      </c>
      <c r="I23">
        <f t="shared" si="1"/>
        <v>1.0666764205575001</v>
      </c>
      <c r="J23">
        <f t="shared" si="1"/>
        <v>1.1440874213275001</v>
      </c>
      <c r="K23">
        <f t="shared" si="1"/>
        <v>1.1849297913149999</v>
      </c>
      <c r="L23">
        <f t="shared" si="1"/>
        <v>1.2561251653225001</v>
      </c>
      <c r="M23">
        <f t="shared" si="1"/>
        <v>1.2704589792899998</v>
      </c>
      <c r="N23">
        <f t="shared" si="1"/>
        <v>1.2284748866124999</v>
      </c>
      <c r="O23">
        <f t="shared" si="1"/>
        <v>1.0873478822000002</v>
      </c>
      <c r="P23">
        <f t="shared" si="1"/>
        <v>0.9382573354125</v>
      </c>
      <c r="Q23">
        <f t="shared" si="1"/>
        <v>0.7902607075000001</v>
      </c>
      <c r="R23">
        <f t="shared" si="0"/>
        <v>0.68078728379375009</v>
      </c>
      <c r="S23">
        <f t="shared" si="0"/>
        <v>0.62439718774374997</v>
      </c>
      <c r="T23">
        <f t="shared" si="0"/>
        <v>0.58407516055000008</v>
      </c>
      <c r="U23">
        <f t="shared" si="0"/>
        <v>0.51752345475375017</v>
      </c>
      <c r="V23">
        <f t="shared" si="0"/>
        <v>0.44931719373374995</v>
      </c>
      <c r="W23">
        <f t="shared" si="0"/>
        <v>0.38062472815499998</v>
      </c>
      <c r="X23">
        <f t="shared" si="0"/>
        <v>0.28643322311250002</v>
      </c>
      <c r="Y23">
        <f t="shared" si="0"/>
        <v>0.195181147365</v>
      </c>
      <c r="Z23">
        <f t="shared" si="0"/>
        <v>0.15172719777500002</v>
      </c>
      <c r="AA23">
        <f t="shared" si="0"/>
        <v>0.113875546043125</v>
      </c>
      <c r="AB23">
        <f t="shared" si="0"/>
        <v>5.9459551815687503E-2</v>
      </c>
    </row>
    <row r="24" spans="1:28" x14ac:dyDescent="0.25">
      <c r="A24">
        <v>3.37617E-3</v>
      </c>
      <c r="B24">
        <f t="shared" si="1"/>
        <v>0.42608756448625007</v>
      </c>
      <c r="C24">
        <f t="shared" si="0"/>
        <v>0.43145566321312501</v>
      </c>
      <c r="D24">
        <f t="shared" si="0"/>
        <v>0.43677470586000006</v>
      </c>
      <c r="E24">
        <f t="shared" si="0"/>
        <v>0.46206864384812507</v>
      </c>
      <c r="F24">
        <f t="shared" si="0"/>
        <v>0.49179232335500012</v>
      </c>
      <c r="G24">
        <f t="shared" si="0"/>
        <v>0.53870953848125003</v>
      </c>
      <c r="H24">
        <f t="shared" si="0"/>
        <v>0.58343682692999999</v>
      </c>
      <c r="I24">
        <f t="shared" si="0"/>
        <v>0.65688915656062496</v>
      </c>
      <c r="J24">
        <f t="shared" si="0"/>
        <v>0.72147089378812501</v>
      </c>
      <c r="K24">
        <f t="shared" si="0"/>
        <v>0.76208208527812504</v>
      </c>
      <c r="L24">
        <f t="shared" si="0"/>
        <v>0.83967050333750004</v>
      </c>
      <c r="M24">
        <f t="shared" si="0"/>
        <v>0.83907652319000003</v>
      </c>
      <c r="N24">
        <f t="shared" si="0"/>
        <v>0.7767795016912501</v>
      </c>
      <c r="O24">
        <f t="shared" si="0"/>
        <v>0.66631926698749999</v>
      </c>
      <c r="P24">
        <f t="shared" si="0"/>
        <v>0.56248800658125009</v>
      </c>
      <c r="Q24">
        <f t="shared" si="0"/>
        <v>0.46974192517750007</v>
      </c>
      <c r="R24">
        <f t="shared" si="0"/>
        <v>0.40027678041249998</v>
      </c>
      <c r="S24">
        <f t="shared" si="0"/>
        <v>0.36522525799375005</v>
      </c>
      <c r="T24">
        <f t="shared" si="0"/>
        <v>0.34069693068874995</v>
      </c>
      <c r="U24">
        <f t="shared" si="0"/>
        <v>0.29991631508874994</v>
      </c>
      <c r="V24">
        <f t="shared" si="0"/>
        <v>0.25943709501375001</v>
      </c>
      <c r="W24">
        <f t="shared" si="0"/>
        <v>0.21801091786687501</v>
      </c>
      <c r="X24">
        <f t="shared" si="0"/>
        <v>0.16139346026249998</v>
      </c>
      <c r="Y24">
        <f t="shared" si="0"/>
        <v>0.10764265272187501</v>
      </c>
      <c r="Z24">
        <f t="shared" si="0"/>
        <v>8.159556010062502E-2</v>
      </c>
      <c r="AA24">
        <f t="shared" si="0"/>
        <v>5.9331036804249997E-2</v>
      </c>
      <c r="AB24">
        <f t="shared" si="0"/>
        <v>2.9326247225874996E-2</v>
      </c>
    </row>
    <row r="25" spans="1:28" x14ac:dyDescent="0.25">
      <c r="A25">
        <v>6.2034899999999999E-3</v>
      </c>
      <c r="B25">
        <f t="shared" si="1"/>
        <v>0.24089774554843749</v>
      </c>
      <c r="C25">
        <f t="shared" si="0"/>
        <v>0.24455691362956253</v>
      </c>
      <c r="D25">
        <f t="shared" si="0"/>
        <v>0.24822032888287501</v>
      </c>
      <c r="E25">
        <f t="shared" si="0"/>
        <v>0.26652701908525001</v>
      </c>
      <c r="F25">
        <f t="shared" si="0"/>
        <v>0.28881230984799999</v>
      </c>
      <c r="G25">
        <f t="shared" si="0"/>
        <v>0.31535083591425001</v>
      </c>
      <c r="H25">
        <f t="shared" si="0"/>
        <v>0.33927012106781251</v>
      </c>
      <c r="I25">
        <f t="shared" si="0"/>
        <v>0.37887875697112505</v>
      </c>
      <c r="J25">
        <f t="shared" si="0"/>
        <v>0.41390529009631255</v>
      </c>
      <c r="K25">
        <f t="shared" si="0"/>
        <v>0.43780218031999996</v>
      </c>
      <c r="L25">
        <f t="shared" si="0"/>
        <v>0.48985826293937518</v>
      </c>
      <c r="M25">
        <f t="shared" si="0"/>
        <v>0.49044130720500007</v>
      </c>
      <c r="N25">
        <f t="shared" si="0"/>
        <v>0.44295124600750008</v>
      </c>
      <c r="O25">
        <f t="shared" si="0"/>
        <v>0.3748961629175</v>
      </c>
      <c r="P25">
        <f t="shared" si="0"/>
        <v>0.31244485895749996</v>
      </c>
      <c r="Q25">
        <f t="shared" si="0"/>
        <v>0.26017044107250004</v>
      </c>
      <c r="R25">
        <f t="shared" si="0"/>
        <v>0.22085486856937497</v>
      </c>
      <c r="S25">
        <f t="shared" si="0"/>
        <v>0.20131826211625001</v>
      </c>
      <c r="T25">
        <f t="shared" si="0"/>
        <v>0.18756130675437499</v>
      </c>
      <c r="U25">
        <f t="shared" si="0"/>
        <v>0.16384850609250001</v>
      </c>
      <c r="V25">
        <f t="shared" si="0"/>
        <v>0.14062680148187501</v>
      </c>
      <c r="W25">
        <f t="shared" si="0"/>
        <v>0.11696687881500002</v>
      </c>
      <c r="X25">
        <f t="shared" si="0"/>
        <v>8.5354331085624985E-2</v>
      </c>
      <c r="Y25">
        <f t="shared" si="0"/>
        <v>5.4924443759687497E-2</v>
      </c>
      <c r="Z25">
        <f t="shared" si="0"/>
        <v>4.0611813804562504E-2</v>
      </c>
      <c r="AA25">
        <f t="shared" si="0"/>
        <v>2.88377841108125E-2</v>
      </c>
      <c r="AB25">
        <f t="shared" si="0"/>
        <v>1.3676333801868751E-2</v>
      </c>
    </row>
    <row r="26" spans="1:28" x14ac:dyDescent="0.25">
      <c r="A26">
        <v>1.1398500000000001E-2</v>
      </c>
      <c r="B26">
        <f t="shared" si="1"/>
        <v>0.12974508709118751</v>
      </c>
      <c r="C26">
        <f t="shared" si="0"/>
        <v>0.1318818508829375</v>
      </c>
      <c r="D26">
        <f t="shared" si="0"/>
        <v>0.13403575578956253</v>
      </c>
      <c r="E26">
        <f t="shared" si="0"/>
        <v>0.14615890453331251</v>
      </c>
      <c r="F26">
        <f t="shared" si="0"/>
        <v>0.16129504521124999</v>
      </c>
      <c r="G26">
        <f t="shared" si="0"/>
        <v>0.17730591616802499</v>
      </c>
      <c r="H26">
        <f t="shared" si="0"/>
        <v>0.19090002143259374</v>
      </c>
      <c r="I26">
        <f t="shared" si="0"/>
        <v>0.21231478688672503</v>
      </c>
      <c r="J26">
        <f t="shared" si="0"/>
        <v>0.22919451900774374</v>
      </c>
      <c r="K26">
        <f t="shared" si="0"/>
        <v>0.24093854870605624</v>
      </c>
      <c r="L26">
        <f t="shared" si="0"/>
        <v>0.26447953333349999</v>
      </c>
      <c r="M26">
        <f t="shared" si="0"/>
        <v>0.2637091088833125</v>
      </c>
      <c r="N26">
        <f t="shared" si="0"/>
        <v>0.235207765342375</v>
      </c>
      <c r="O26">
        <f t="shared" si="0"/>
        <v>0.19742660484499999</v>
      </c>
      <c r="P26">
        <f t="shared" si="0"/>
        <v>0.16353816808374996</v>
      </c>
      <c r="Q26">
        <f t="shared" si="0"/>
        <v>0.13648473100875</v>
      </c>
      <c r="R26">
        <f t="shared" si="0"/>
        <v>0.11517635724000001</v>
      </c>
      <c r="S26">
        <f t="shared" si="0"/>
        <v>0.10477677930662502</v>
      </c>
      <c r="T26">
        <f t="shared" si="0"/>
        <v>9.7471070777250021E-2</v>
      </c>
      <c r="U26">
        <f t="shared" si="0"/>
        <v>8.4296083549875001E-2</v>
      </c>
      <c r="V26">
        <f t="shared" si="0"/>
        <v>7.1469710974624998E-2</v>
      </c>
      <c r="W26">
        <f t="shared" si="0"/>
        <v>5.8480015584749995E-2</v>
      </c>
      <c r="X26">
        <f t="shared" si="0"/>
        <v>4.1723923315625001E-2</v>
      </c>
      <c r="Y26">
        <f t="shared" si="0"/>
        <v>2.6056663089812502E-2</v>
      </c>
      <c r="Z26">
        <f t="shared" si="0"/>
        <v>1.8589074769631252E-2</v>
      </c>
      <c r="AA26">
        <f t="shared" si="0"/>
        <v>1.2806217793725001E-2</v>
      </c>
      <c r="AB26">
        <f t="shared" si="0"/>
        <v>5.8422925834910626E-3</v>
      </c>
    </row>
    <row r="27" spans="1:28" x14ac:dyDescent="0.25">
      <c r="A27">
        <v>2.09441E-2</v>
      </c>
      <c r="B27">
        <f t="shared" si="1"/>
        <v>6.5948004701095006E-2</v>
      </c>
      <c r="C27">
        <f t="shared" si="0"/>
        <v>6.7086558425108134E-2</v>
      </c>
      <c r="D27">
        <f t="shared" si="0"/>
        <v>6.8236885834784364E-2</v>
      </c>
      <c r="E27">
        <f t="shared" si="0"/>
        <v>7.5697880265270634E-2</v>
      </c>
      <c r="F27">
        <f t="shared" si="0"/>
        <v>8.5222005153136257E-2</v>
      </c>
      <c r="G27">
        <f t="shared" si="0"/>
        <v>9.5049804192594373E-2</v>
      </c>
      <c r="H27">
        <f t="shared" si="0"/>
        <v>0.10313885556317251</v>
      </c>
      <c r="I27">
        <f t="shared" si="0"/>
        <v>0.11535753516971563</v>
      </c>
      <c r="J27">
        <f t="shared" si="0"/>
        <v>0.1236315548627669</v>
      </c>
      <c r="K27">
        <f t="shared" si="0"/>
        <v>0.12927628562167312</v>
      </c>
      <c r="L27">
        <f t="shared" si="0"/>
        <v>0.13813364081983689</v>
      </c>
      <c r="M27">
        <f t="shared" si="0"/>
        <v>0.13554608497700626</v>
      </c>
      <c r="N27">
        <f t="shared" si="0"/>
        <v>0.119063049051125</v>
      </c>
      <c r="O27">
        <f t="shared" si="0"/>
        <v>9.8657696227875014E-2</v>
      </c>
      <c r="P27">
        <f t="shared" si="0"/>
        <v>8.1144963206437506E-2</v>
      </c>
      <c r="Q27">
        <f t="shared" si="0"/>
        <v>6.7640594669250001E-2</v>
      </c>
      <c r="R27">
        <f t="shared" si="0"/>
        <v>5.649680011875001E-2</v>
      </c>
      <c r="S27">
        <f t="shared" si="0"/>
        <v>5.1149149064937498E-2</v>
      </c>
      <c r="T27">
        <f t="shared" si="0"/>
        <v>4.74055265274375E-2</v>
      </c>
      <c r="U27">
        <f t="shared" si="0"/>
        <v>4.0473632499187499E-2</v>
      </c>
      <c r="V27">
        <f t="shared" si="0"/>
        <v>3.3815342609124999E-2</v>
      </c>
      <c r="W27">
        <f t="shared" si="0"/>
        <v>2.7205960042875E-2</v>
      </c>
      <c r="X27">
        <f t="shared" si="0"/>
        <v>1.8840590155025004E-2</v>
      </c>
      <c r="Y27">
        <f t="shared" si="0"/>
        <v>1.1437232583318751E-2</v>
      </c>
      <c r="Z27">
        <f t="shared" si="0"/>
        <v>7.8750407349524997E-3</v>
      </c>
      <c r="AA27">
        <f t="shared" si="0"/>
        <v>5.2062419811950006E-3</v>
      </c>
      <c r="AB27">
        <f t="shared" si="0"/>
        <v>2.3103973555943145E-3</v>
      </c>
    </row>
    <row r="28" spans="1:28" x14ac:dyDescent="0.25">
      <c r="A28">
        <v>3.8483299999999998E-2</v>
      </c>
      <c r="B28">
        <f t="shared" si="1"/>
        <v>3.1181496382830305E-2</v>
      </c>
      <c r="C28">
        <f t="shared" si="0"/>
        <v>3.1752807844489007E-2</v>
      </c>
      <c r="D28">
        <f t="shared" si="0"/>
        <v>3.233046688855256E-2</v>
      </c>
      <c r="E28">
        <f t="shared" si="0"/>
        <v>3.6588882188117615E-2</v>
      </c>
      <c r="F28">
        <f t="shared" si="0"/>
        <v>4.2134996584662646E-2</v>
      </c>
      <c r="G28">
        <f t="shared" si="0"/>
        <v>4.7952075192849469E-2</v>
      </c>
      <c r="H28">
        <f t="shared" si="0"/>
        <v>5.2756355070849498E-2</v>
      </c>
      <c r="I28">
        <f t="shared" si="0"/>
        <v>5.9908995458996715E-2</v>
      </c>
      <c r="J28">
        <f t="shared" si="0"/>
        <v>6.4216807315166338E-2</v>
      </c>
      <c r="K28">
        <f t="shared" si="0"/>
        <v>6.7057336390406425E-2</v>
      </c>
      <c r="L28">
        <f t="shared" si="0"/>
        <v>7.0290844385917539E-2</v>
      </c>
      <c r="M28">
        <f t="shared" si="0"/>
        <v>6.7337204235551437E-2</v>
      </c>
      <c r="N28">
        <f t="shared" si="0"/>
        <v>5.7603031426585002E-2</v>
      </c>
      <c r="O28">
        <f t="shared" si="0"/>
        <v>4.6614933575893754E-2</v>
      </c>
      <c r="P28">
        <f t="shared" si="0"/>
        <v>3.7885556346100004E-2</v>
      </c>
      <c r="Q28">
        <f t="shared" si="0"/>
        <v>3.1458450755831251E-2</v>
      </c>
      <c r="R28">
        <f t="shared" si="0"/>
        <v>2.5976159004806248E-2</v>
      </c>
      <c r="S28">
        <f t="shared" si="0"/>
        <v>2.3375616063856249E-2</v>
      </c>
      <c r="T28">
        <f t="shared" si="0"/>
        <v>2.1573213352487502E-2</v>
      </c>
      <c r="U28">
        <f t="shared" si="0"/>
        <v>1.8149596149743753E-2</v>
      </c>
      <c r="V28">
        <f t="shared" si="0"/>
        <v>1.491457377981875E-2</v>
      </c>
      <c r="W28">
        <f t="shared" si="0"/>
        <v>1.1768662001791873E-2</v>
      </c>
      <c r="X28">
        <f t="shared" si="0"/>
        <v>7.9080369701325006E-3</v>
      </c>
      <c r="Y28">
        <f t="shared" si="0"/>
        <v>4.6417781057983762E-3</v>
      </c>
      <c r="Z28">
        <f t="shared" si="0"/>
        <v>3.0484155541478119E-3</v>
      </c>
      <c r="AA28">
        <f t="shared" si="0"/>
        <v>1.9357350061558873E-3</v>
      </c>
      <c r="AB28">
        <f t="shared" si="0"/>
        <v>8.5121099573716246E-4</v>
      </c>
    </row>
    <row r="29" spans="1:28" x14ac:dyDescent="0.25">
      <c r="A29">
        <v>7.0710700000000001E-2</v>
      </c>
      <c r="B29">
        <f t="shared" si="1"/>
        <v>1.3500927036748435E-2</v>
      </c>
      <c r="C29">
        <f t="shared" si="0"/>
        <v>1.3770961917253528E-2</v>
      </c>
      <c r="D29">
        <f t="shared" si="0"/>
        <v>1.4044188274034804E-2</v>
      </c>
      <c r="E29">
        <f t="shared" si="0"/>
        <v>1.6249120574131828E-2</v>
      </c>
      <c r="F29">
        <f t="shared" si="0"/>
        <v>1.9177394742992692E-2</v>
      </c>
      <c r="G29">
        <f t="shared" si="0"/>
        <v>2.2345884105573671E-2</v>
      </c>
      <c r="H29">
        <f t="shared" si="0"/>
        <v>2.5033691562826237E-2</v>
      </c>
      <c r="I29">
        <f t="shared" si="0"/>
        <v>2.9069302608644407E-2</v>
      </c>
      <c r="J29">
        <f t="shared" si="0"/>
        <v>3.1383669756812053E-2</v>
      </c>
      <c r="K29">
        <f t="shared" si="0"/>
        <v>3.2883419312081899E-2</v>
      </c>
      <c r="L29">
        <f t="shared" si="0"/>
        <v>3.4323307939443118E-2</v>
      </c>
      <c r="M29">
        <f t="shared" si="0"/>
        <v>3.2081264849115054E-2</v>
      </c>
      <c r="N29">
        <f t="shared" si="0"/>
        <v>2.6424688782503179E-2</v>
      </c>
      <c r="O29">
        <f t="shared" si="0"/>
        <v>2.0688826423246817E-2</v>
      </c>
      <c r="P29">
        <f t="shared" si="0"/>
        <v>1.6552814170057502E-2</v>
      </c>
      <c r="Q29">
        <f t="shared" si="0"/>
        <v>1.3660658762688937E-2</v>
      </c>
      <c r="R29">
        <f t="shared" si="0"/>
        <v>1.1134911437824127E-2</v>
      </c>
      <c r="S29">
        <f t="shared" si="0"/>
        <v>9.9465686691713757E-3</v>
      </c>
      <c r="T29">
        <f t="shared" si="0"/>
        <v>9.1463414772086863E-3</v>
      </c>
      <c r="U29">
        <f t="shared" si="0"/>
        <v>7.5831334623574368E-3</v>
      </c>
      <c r="V29">
        <f t="shared" si="0"/>
        <v>6.1296069944133131E-3</v>
      </c>
      <c r="W29">
        <f t="shared" si="0"/>
        <v>4.7147353490826884E-3</v>
      </c>
      <c r="X29">
        <f t="shared" si="0"/>
        <v>3.0639674824661195E-3</v>
      </c>
      <c r="Y29">
        <f t="shared" si="0"/>
        <v>1.7356211290837252E-3</v>
      </c>
      <c r="Z29">
        <f t="shared" si="0"/>
        <v>1.0577451667185933E-3</v>
      </c>
      <c r="AA29">
        <f t="shared" si="0"/>
        <v>6.4944788783681171E-4</v>
      </c>
      <c r="AB29">
        <f t="shared" si="0"/>
        <v>2.8325795072975271E-4</v>
      </c>
    </row>
    <row r="30" spans="1:28" x14ac:dyDescent="0.25">
      <c r="A30">
        <v>0.12992600000000001</v>
      </c>
      <c r="B30">
        <f t="shared" si="1"/>
        <v>5.2710874611305164E-3</v>
      </c>
      <c r="C30">
        <f t="shared" si="0"/>
        <v>5.3903117986878989E-3</v>
      </c>
      <c r="D30">
        <f t="shared" si="0"/>
        <v>5.5110362939918226E-3</v>
      </c>
      <c r="E30">
        <f t="shared" si="0"/>
        <v>6.5282139840815191E-3</v>
      </c>
      <c r="F30">
        <f t="shared" si="0"/>
        <v>7.9024505567443296E-3</v>
      </c>
      <c r="G30">
        <f t="shared" si="0"/>
        <v>9.4446567218720908E-3</v>
      </c>
      <c r="H30">
        <f t="shared" si="0"/>
        <v>1.0808910586035204E-2</v>
      </c>
      <c r="I30">
        <f t="shared" si="0"/>
        <v>1.2899060668394779E-2</v>
      </c>
      <c r="J30">
        <f t="shared" si="0"/>
        <v>1.409479238328005E-2</v>
      </c>
      <c r="K30">
        <f t="shared" si="0"/>
        <v>1.4869740022740279E-2</v>
      </c>
      <c r="L30">
        <f t="shared" si="0"/>
        <v>1.5681036513064763E-2</v>
      </c>
      <c r="M30">
        <f t="shared" si="0"/>
        <v>1.442941610212347E-2</v>
      </c>
      <c r="N30">
        <f t="shared" si="0"/>
        <v>1.1347946670745651E-2</v>
      </c>
      <c r="O30">
        <f t="shared" si="0"/>
        <v>8.5259320411600666E-3</v>
      </c>
      <c r="P30">
        <f t="shared" si="0"/>
        <v>6.6927457022469107E-3</v>
      </c>
      <c r="Q30">
        <f t="shared" si="0"/>
        <v>5.4758576031164142E-3</v>
      </c>
      <c r="R30">
        <f t="shared" si="0"/>
        <v>4.391643708608322E-3</v>
      </c>
      <c r="S30">
        <f t="shared" si="0"/>
        <v>3.8841983902401212E-3</v>
      </c>
      <c r="T30">
        <f t="shared" si="0"/>
        <v>3.5610514871242307E-3</v>
      </c>
      <c r="U30">
        <f t="shared" si="0"/>
        <v>2.9107980166571961E-3</v>
      </c>
      <c r="V30">
        <f t="shared" si="0"/>
        <v>2.3172760562817515E-3</v>
      </c>
      <c r="W30">
        <f t="shared" si="0"/>
        <v>1.7158469466610354E-3</v>
      </c>
      <c r="X30">
        <f t="shared" si="0"/>
        <v>1.0668507351346962E-3</v>
      </c>
      <c r="Y30">
        <f t="shared" si="0"/>
        <v>5.9049136886337068E-4</v>
      </c>
      <c r="Z30">
        <f t="shared" si="0"/>
        <v>3.4297213447504913E-4</v>
      </c>
      <c r="AA30">
        <f t="shared" si="0"/>
        <v>2.2003245952486076E-4</v>
      </c>
      <c r="AB30">
        <f t="shared" si="0"/>
        <v>1.103507742655175E-4</v>
      </c>
    </row>
    <row r="31" spans="1:28" x14ac:dyDescent="0.25">
      <c r="A31">
        <v>0.238731</v>
      </c>
      <c r="B31">
        <f t="shared" si="1"/>
        <v>1.8087746711000709E-3</v>
      </c>
      <c r="C31">
        <f t="shared" si="0"/>
        <v>1.8566060472613936E-3</v>
      </c>
      <c r="D31">
        <f t="shared" si="0"/>
        <v>1.9051568657959368E-3</v>
      </c>
      <c r="E31">
        <f t="shared" si="0"/>
        <v>2.3155553061637952E-3</v>
      </c>
      <c r="F31">
        <f t="shared" si="0"/>
        <v>2.8803094275777021E-3</v>
      </c>
      <c r="G31">
        <f t="shared" si="0"/>
        <v>3.5404547563912354E-3</v>
      </c>
      <c r="H31">
        <f t="shared" si="0"/>
        <v>4.1563038722241506E-3</v>
      </c>
      <c r="I31">
        <f t="shared" si="0"/>
        <v>5.1257634762396434E-3</v>
      </c>
      <c r="J31">
        <f t="shared" si="0"/>
        <v>5.6958602437901474E-3</v>
      </c>
      <c r="K31">
        <f t="shared" si="0"/>
        <v>6.0685081953458942E-3</v>
      </c>
      <c r="L31">
        <f t="shared" si="0"/>
        <v>6.5390344726824522E-3</v>
      </c>
      <c r="M31">
        <f t="shared" si="0"/>
        <v>5.9796752674362037E-3</v>
      </c>
      <c r="N31">
        <f t="shared" si="0"/>
        <v>4.4989968559307507E-3</v>
      </c>
      <c r="O31">
        <f t="shared" si="0"/>
        <v>3.245009204064354E-3</v>
      </c>
      <c r="P31">
        <f t="shared" si="0"/>
        <v>2.4957570910351485E-3</v>
      </c>
      <c r="Q31">
        <f t="shared" si="0"/>
        <v>2.0154725223851997E-3</v>
      </c>
      <c r="R31">
        <f t="shared" si="0"/>
        <v>1.5732766963590836E-3</v>
      </c>
      <c r="S31">
        <f t="shared" si="0"/>
        <v>1.3654614244460513E-3</v>
      </c>
      <c r="T31">
        <f t="shared" si="0"/>
        <v>1.2449978336377707E-3</v>
      </c>
      <c r="U31">
        <f t="shared" si="0"/>
        <v>1.0081582319132684E-3</v>
      </c>
      <c r="V31">
        <f t="shared" si="0"/>
        <v>7.9798833229515029E-4</v>
      </c>
      <c r="W31">
        <f t="shared" si="0"/>
        <v>5.6109443632548143E-4</v>
      </c>
      <c r="X31">
        <f t="shared" si="0"/>
        <v>3.4400286377697382E-4</v>
      </c>
      <c r="Y31">
        <f t="shared" si="0"/>
        <v>1.9902301309554675E-4</v>
      </c>
      <c r="Z31">
        <f t="shared" si="0"/>
        <v>1.10328175749562E-4</v>
      </c>
      <c r="AA31">
        <f t="shared" si="0"/>
        <v>7.3991501796075453E-5</v>
      </c>
      <c r="AB31">
        <f t="shared" si="0"/>
        <v>4.6308789716099593E-5</v>
      </c>
    </row>
    <row r="32" spans="1:28" x14ac:dyDescent="0.25">
      <c r="A32">
        <v>0.43865300000000002</v>
      </c>
      <c r="B32">
        <f t="shared" si="1"/>
        <v>5.25473435073283E-4</v>
      </c>
      <c r="C32">
        <f t="shared" si="0"/>
        <v>5.4168201955493301E-4</v>
      </c>
      <c r="D32">
        <f t="shared" si="0"/>
        <v>5.5822556882605752E-4</v>
      </c>
      <c r="E32">
        <f t="shared" si="0"/>
        <v>6.9310452687996213E-4</v>
      </c>
      <c r="F32">
        <f t="shared" si="0"/>
        <v>8.8614472743217922E-4</v>
      </c>
      <c r="G32">
        <f t="shared" si="0"/>
        <v>1.1261956703186539E-3</v>
      </c>
      <c r="H32">
        <f t="shared" si="0"/>
        <v>1.3673623472581732E-3</v>
      </c>
      <c r="I32">
        <f t="shared" si="0"/>
        <v>1.761553826455414E-3</v>
      </c>
      <c r="J32">
        <f t="shared" si="0"/>
        <v>2.0070733432349516E-3</v>
      </c>
      <c r="K32">
        <f t="shared" si="0"/>
        <v>2.1698173373165754E-3</v>
      </c>
      <c r="L32">
        <f t="shared" si="0"/>
        <v>2.42687875648108E-3</v>
      </c>
      <c r="M32">
        <f t="shared" ref="C32:AB36" si="2">($B$19*M12)</f>
        <v>2.2229142064553566E-3</v>
      </c>
      <c r="N32">
        <f t="shared" si="2"/>
        <v>1.6080224125131339E-3</v>
      </c>
      <c r="O32">
        <f t="shared" si="2"/>
        <v>1.1293585358441356E-3</v>
      </c>
      <c r="P32">
        <f t="shared" si="2"/>
        <v>8.6327831110166232E-4</v>
      </c>
      <c r="Q32">
        <f t="shared" si="2"/>
        <v>6.9583070379945202E-4</v>
      </c>
      <c r="R32">
        <f t="shared" si="2"/>
        <v>5.2319448538426202E-4</v>
      </c>
      <c r="S32">
        <f t="shared" si="2"/>
        <v>4.4002756225392761E-4</v>
      </c>
      <c r="T32">
        <f t="shared" si="2"/>
        <v>3.9989710113337622E-4</v>
      </c>
      <c r="U32">
        <f t="shared" si="2"/>
        <v>3.2598580717361244E-4</v>
      </c>
      <c r="V32">
        <f t="shared" si="2"/>
        <v>2.6237842864944337E-4</v>
      </c>
      <c r="W32">
        <f t="shared" si="2"/>
        <v>1.6932594733686893E-4</v>
      </c>
      <c r="X32">
        <f t="shared" si="2"/>
        <v>1.0523930468713003E-4</v>
      </c>
      <c r="Y32">
        <f t="shared" si="2"/>
        <v>6.564634446916733E-5</v>
      </c>
      <c r="Z32">
        <f t="shared" si="2"/>
        <v>3.3474118353611625E-5</v>
      </c>
      <c r="AA32">
        <f t="shared" si="2"/>
        <v>2.3060035960453151E-5</v>
      </c>
      <c r="AB32">
        <f t="shared" si="2"/>
        <v>1.788830659867754E-5</v>
      </c>
    </row>
    <row r="33" spans="1:28" x14ac:dyDescent="0.25">
      <c r="A33">
        <v>0.80599699999999996</v>
      </c>
      <c r="B33">
        <f t="shared" si="1"/>
        <v>1.2789260422609909E-4</v>
      </c>
      <c r="C33">
        <f t="shared" si="2"/>
        <v>1.3227962712187972E-4</v>
      </c>
      <c r="D33">
        <f t="shared" si="2"/>
        <v>1.3678011149317738E-4</v>
      </c>
      <c r="E33">
        <f t="shared" si="2"/>
        <v>1.6889028394877738E-4</v>
      </c>
      <c r="F33">
        <f t="shared" si="2"/>
        <v>2.1756694998871246E-4</v>
      </c>
      <c r="G33">
        <f t="shared" si="2"/>
        <v>2.8468512764971693E-4</v>
      </c>
      <c r="H33">
        <f t="shared" si="2"/>
        <v>3.5984001483860126E-4</v>
      </c>
      <c r="I33">
        <f t="shared" si="2"/>
        <v>4.9107845726980984E-4</v>
      </c>
      <c r="J33">
        <f t="shared" si="2"/>
        <v>5.8203041430192467E-4</v>
      </c>
      <c r="K33">
        <f t="shared" si="2"/>
        <v>6.4370952045597857E-4</v>
      </c>
      <c r="L33">
        <f t="shared" si="2"/>
        <v>7.6740622288780933E-4</v>
      </c>
      <c r="M33">
        <f t="shared" si="2"/>
        <v>7.1243554723417462E-4</v>
      </c>
      <c r="N33">
        <f t="shared" si="2"/>
        <v>4.9919494208175744E-4</v>
      </c>
      <c r="O33">
        <f t="shared" si="2"/>
        <v>3.4695669336642812E-4</v>
      </c>
      <c r="P33">
        <f t="shared" si="2"/>
        <v>2.7222550724549394E-4</v>
      </c>
      <c r="Q33">
        <f t="shared" si="2"/>
        <v>2.2583102347521677E-4</v>
      </c>
      <c r="R33">
        <f t="shared" si="2"/>
        <v>1.5945191423386357E-4</v>
      </c>
      <c r="S33">
        <f t="shared" si="2"/>
        <v>1.2669117379726969E-4</v>
      </c>
      <c r="T33">
        <f t="shared" si="2"/>
        <v>1.1596533122646331E-4</v>
      </c>
      <c r="U33">
        <f t="shared" si="2"/>
        <v>9.7209261068327489E-5</v>
      </c>
      <c r="V33">
        <f t="shared" si="2"/>
        <v>8.1902152893118104E-5</v>
      </c>
      <c r="W33">
        <f t="shared" si="2"/>
        <v>4.497582870613767E-5</v>
      </c>
      <c r="X33">
        <f t="shared" si="2"/>
        <v>2.9089631166543549E-5</v>
      </c>
      <c r="Y33">
        <f t="shared" si="2"/>
        <v>2.0520461354738406E-5</v>
      </c>
      <c r="Z33">
        <f t="shared" si="2"/>
        <v>9.0615850380804638E-6</v>
      </c>
      <c r="AA33">
        <f t="shared" si="2"/>
        <v>6.2099865706383486E-6</v>
      </c>
      <c r="AB33">
        <f t="shared" si="2"/>
        <v>5.7648326817063981E-6</v>
      </c>
    </row>
    <row r="34" spans="1:28" x14ac:dyDescent="0.25">
      <c r="A34">
        <v>1.4809699999999999</v>
      </c>
      <c r="B34">
        <f t="shared" si="1"/>
        <v>2.7385264232728809E-5</v>
      </c>
      <c r="C34">
        <f t="shared" si="2"/>
        <v>2.8402722637035118E-5</v>
      </c>
      <c r="D34">
        <f t="shared" si="2"/>
        <v>2.9447096547720734E-5</v>
      </c>
      <c r="E34">
        <f t="shared" si="2"/>
        <v>3.4725243091763797E-5</v>
      </c>
      <c r="F34">
        <f t="shared" si="2"/>
        <v>4.287995716832616E-5</v>
      </c>
      <c r="G34">
        <f t="shared" si="2"/>
        <v>5.5672475651056213E-5</v>
      </c>
      <c r="H34">
        <f t="shared" si="2"/>
        <v>7.1827231513923025E-5</v>
      </c>
      <c r="I34">
        <f t="shared" si="2"/>
        <v>1.0311469797062554E-4</v>
      </c>
      <c r="J34">
        <f t="shared" si="2"/>
        <v>1.2858366760960585E-4</v>
      </c>
      <c r="K34">
        <f t="shared" si="2"/>
        <v>1.4650672131265202E-4</v>
      </c>
      <c r="L34">
        <f t="shared" si="2"/>
        <v>1.9250327846877455E-4</v>
      </c>
      <c r="M34">
        <f t="shared" si="2"/>
        <v>1.8396162953388572E-4</v>
      </c>
      <c r="N34">
        <f t="shared" si="2"/>
        <v>1.2573695604952147E-4</v>
      </c>
      <c r="O34">
        <f t="shared" si="2"/>
        <v>8.8973320097899538E-5</v>
      </c>
      <c r="P34">
        <f t="shared" si="2"/>
        <v>7.7198522914373777E-5</v>
      </c>
      <c r="Q34">
        <f t="shared" si="2"/>
        <v>7.0033685825636609E-5</v>
      </c>
      <c r="R34">
        <f t="shared" si="2"/>
        <v>4.3575721054093016E-5</v>
      </c>
      <c r="S34">
        <f t="shared" si="2"/>
        <v>3.1157349420221917E-5</v>
      </c>
      <c r="T34">
        <f t="shared" si="2"/>
        <v>2.9265284702241168E-5</v>
      </c>
      <c r="U34">
        <f t="shared" si="2"/>
        <v>2.6197674851012044E-5</v>
      </c>
      <c r="V34">
        <f t="shared" si="2"/>
        <v>2.398442998791043E-5</v>
      </c>
      <c r="W34">
        <f t="shared" si="2"/>
        <v>1.0150984287780485E-5</v>
      </c>
      <c r="X34">
        <f t="shared" si="2"/>
        <v>6.9681990102547223E-6</v>
      </c>
      <c r="Y34">
        <f t="shared" si="2"/>
        <v>5.7352619971711532E-6</v>
      </c>
      <c r="Z34">
        <f t="shared" si="2"/>
        <v>2.0157827792309721E-6</v>
      </c>
      <c r="AA34">
        <f t="shared" si="2"/>
        <v>1.3328096745934263E-6</v>
      </c>
      <c r="AB34">
        <f t="shared" si="2"/>
        <v>1.3955168662912461E-6</v>
      </c>
    </row>
    <row r="35" spans="1:28" x14ac:dyDescent="0.25">
      <c r="A35">
        <v>2.7211799999999999</v>
      </c>
      <c r="B35">
        <f t="shared" si="1"/>
        <v>5.023810005429764E-6</v>
      </c>
      <c r="C35">
        <f t="shared" si="2"/>
        <v>5.2465892791917526E-6</v>
      </c>
      <c r="D35">
        <f t="shared" si="2"/>
        <v>5.4756606699491846E-6</v>
      </c>
      <c r="E35">
        <f t="shared" si="2"/>
        <v>6.1815484059359995E-6</v>
      </c>
      <c r="F35">
        <f t="shared" si="2"/>
        <v>7.1638424565908425E-6</v>
      </c>
      <c r="G35">
        <f t="shared" si="2"/>
        <v>8.8013650033450646E-6</v>
      </c>
      <c r="H35">
        <f t="shared" si="2"/>
        <v>1.102290490664847E-5</v>
      </c>
      <c r="I35">
        <f t="shared" si="2"/>
        <v>1.5822877982687836E-5</v>
      </c>
      <c r="J35">
        <f t="shared" si="2"/>
        <v>2.0476931302733816E-5</v>
      </c>
      <c r="K35">
        <f t="shared" si="2"/>
        <v>2.3885815903995834E-5</v>
      </c>
      <c r="L35">
        <f t="shared" si="2"/>
        <v>3.5102202140853464E-5</v>
      </c>
      <c r="M35">
        <f t="shared" si="2"/>
        <v>3.4968092774545934E-5</v>
      </c>
      <c r="N35">
        <f t="shared" si="2"/>
        <v>2.394415346660454E-5</v>
      </c>
      <c r="O35">
        <f t="shared" si="2"/>
        <v>1.8532722886326768E-5</v>
      </c>
      <c r="P35">
        <f t="shared" si="2"/>
        <v>1.9886723030527149E-5</v>
      </c>
      <c r="Q35">
        <f t="shared" si="2"/>
        <v>2.0866115046325365E-5</v>
      </c>
      <c r="R35">
        <f t="shared" si="2"/>
        <v>1.058208147661829E-5</v>
      </c>
      <c r="S35">
        <f t="shared" si="2"/>
        <v>6.4572925861496843E-6</v>
      </c>
      <c r="T35">
        <f t="shared" si="2"/>
        <v>6.3492327151136806E-6</v>
      </c>
      <c r="U35">
        <f t="shared" si="2"/>
        <v>6.2555172892896743E-6</v>
      </c>
      <c r="V35">
        <f t="shared" si="2"/>
        <v>6.3054469087848905E-6</v>
      </c>
      <c r="W35">
        <f t="shared" si="2"/>
        <v>1.8907916231793475E-6</v>
      </c>
      <c r="X35">
        <f t="shared" si="2"/>
        <v>1.3401269768957006E-6</v>
      </c>
      <c r="Y35">
        <f t="shared" si="2"/>
        <v>1.2867342221919734E-6</v>
      </c>
      <c r="Z35">
        <f t="shared" si="2"/>
        <v>3.3310330585070193E-7</v>
      </c>
      <c r="AA35">
        <f t="shared" si="2"/>
        <v>2.0939979269696899E-7</v>
      </c>
      <c r="AB35">
        <f t="shared" si="2"/>
        <v>2.3143431540529861E-7</v>
      </c>
    </row>
    <row r="36" spans="1:28" x14ac:dyDescent="0.25">
      <c r="A36">
        <v>5</v>
      </c>
      <c r="B36">
        <f t="shared" si="1"/>
        <v>6.4568454965701326E-7</v>
      </c>
      <c r="C36">
        <f t="shared" si="2"/>
        <v>6.8396999113819938E-7</v>
      </c>
      <c r="D36">
        <f t="shared" si="2"/>
        <v>7.2379032056048942E-7</v>
      </c>
      <c r="E36">
        <f t="shared" si="2"/>
        <v>8.164453605635355E-7</v>
      </c>
      <c r="F36">
        <f t="shared" si="2"/>
        <v>9.269141478574859E-7</v>
      </c>
      <c r="G36">
        <f t="shared" si="2"/>
        <v>1.0896482466650706E-6</v>
      </c>
      <c r="H36">
        <f t="shared" si="2"/>
        <v>1.3047659771464017E-6</v>
      </c>
      <c r="I36">
        <f t="shared" si="2"/>
        <v>1.7908026391325086E-6</v>
      </c>
      <c r="J36">
        <f t="shared" si="2"/>
        <v>2.3256285669980499E-6</v>
      </c>
      <c r="K36">
        <f t="shared" si="2"/>
        <v>2.7230879728879444E-6</v>
      </c>
      <c r="L36">
        <f t="shared" si="2"/>
        <v>4.3458694889331673E-6</v>
      </c>
      <c r="M36">
        <f t="shared" si="2"/>
        <v>4.6374528763839022E-6</v>
      </c>
      <c r="N36">
        <f t="shared" si="2"/>
        <v>3.4728060459191712E-6</v>
      </c>
      <c r="O36">
        <f t="shared" si="2"/>
        <v>3.1775061463175604E-6</v>
      </c>
      <c r="P36">
        <f t="shared" si="2"/>
        <v>4.4113411348211984E-6</v>
      </c>
      <c r="Q36">
        <f t="shared" si="2"/>
        <v>5.259147378497453E-6</v>
      </c>
      <c r="R36">
        <f t="shared" si="2"/>
        <v>2.1144270127379586E-6</v>
      </c>
      <c r="S36">
        <f t="shared" si="2"/>
        <v>1.0805723058295916E-6</v>
      </c>
      <c r="T36">
        <f t="shared" si="2"/>
        <v>1.1167837950542519E-6</v>
      </c>
      <c r="U36">
        <f t="shared" si="2"/>
        <v>1.2067058092559687E-6</v>
      </c>
      <c r="V36">
        <f t="shared" si="2"/>
        <v>1.3193823591893911E-6</v>
      </c>
      <c r="W36">
        <f t="shared" si="2"/>
        <v>2.6855201667267043E-7</v>
      </c>
      <c r="X36">
        <f t="shared" si="2"/>
        <v>1.8516221857711584E-7</v>
      </c>
      <c r="Y36">
        <f t="shared" si="2"/>
        <v>2.0844413164008359E-7</v>
      </c>
      <c r="Z36">
        <f t="shared" si="2"/>
        <v>3.7503663920424969E-8</v>
      </c>
      <c r="AA36">
        <f t="shared" si="2"/>
        <v>2.2381913877693601E-8</v>
      </c>
      <c r="AB36">
        <f t="shared" si="2"/>
        <v>2.4767189429700003E-8</v>
      </c>
    </row>
    <row r="42" spans="1:28" x14ac:dyDescent="0.25">
      <c r="A42" s="46" t="s">
        <v>45</v>
      </c>
    </row>
    <row r="43" spans="1:28" x14ac:dyDescent="0.25">
      <c r="A43" s="76" t="s">
        <v>39</v>
      </c>
      <c r="B43" s="76" t="s">
        <v>44</v>
      </c>
      <c r="C43" s="76" t="s">
        <v>99</v>
      </c>
      <c r="D43" s="94" t="s">
        <v>41</v>
      </c>
      <c r="E43" s="95"/>
      <c r="F43" s="95"/>
      <c r="G43" s="95"/>
    </row>
    <row r="44" spans="1:28" x14ac:dyDescent="0.25">
      <c r="A44" s="47"/>
      <c r="B44" s="47"/>
      <c r="C44" s="47"/>
      <c r="D44" s="76" t="s">
        <v>37</v>
      </c>
      <c r="E44" s="76" t="s">
        <v>40</v>
      </c>
      <c r="F44" s="76" t="s">
        <v>93</v>
      </c>
      <c r="G44" s="76" t="s">
        <v>94</v>
      </c>
    </row>
    <row r="45" spans="1:28" x14ac:dyDescent="0.25">
      <c r="A45" s="3">
        <v>175</v>
      </c>
      <c r="B45" s="3">
        <v>5.7142857142857143E-3</v>
      </c>
      <c r="C45" s="5">
        <v>0.17499999999999999</v>
      </c>
      <c r="D45" s="5">
        <f t="shared" ref="D45:D52" si="3">(C45*$D$62)</f>
        <v>0.17499999999999999</v>
      </c>
      <c r="E45" s="5">
        <f t="shared" ref="E45:E52" si="4">(C45*$E$62)</f>
        <v>0.17499999999999999</v>
      </c>
      <c r="F45" s="5">
        <f t="shared" ref="F45:F52" si="5">(C45*$F$62)</f>
        <v>0.11666666666666665</v>
      </c>
      <c r="G45" s="5">
        <f t="shared" ref="G45:G52" si="6">(C45*$G$62)</f>
        <v>8.7499999999999994E-2</v>
      </c>
    </row>
    <row r="46" spans="1:28" x14ac:dyDescent="0.25">
      <c r="A46" s="3">
        <v>275</v>
      </c>
      <c r="B46" s="3">
        <v>3.6363636363636364E-3</v>
      </c>
      <c r="C46" s="5">
        <v>0.21</v>
      </c>
      <c r="D46" s="5">
        <f t="shared" si="3"/>
        <v>0.21</v>
      </c>
      <c r="E46" s="5">
        <f t="shared" si="4"/>
        <v>0.21</v>
      </c>
      <c r="F46" s="5">
        <f t="shared" si="5"/>
        <v>0.13999999999999999</v>
      </c>
      <c r="G46" s="5">
        <f t="shared" si="6"/>
        <v>0.105</v>
      </c>
    </row>
    <row r="47" spans="1:28" x14ac:dyDescent="0.25">
      <c r="A47" s="48">
        <v>475</v>
      </c>
      <c r="B47" s="48">
        <v>2.1052631578947368E-3</v>
      </c>
      <c r="C47" s="49">
        <v>0.23300000000000001</v>
      </c>
      <c r="D47" s="49">
        <f t="shared" si="3"/>
        <v>0.23300000000000001</v>
      </c>
      <c r="E47" s="49">
        <f t="shared" si="4"/>
        <v>0.23300000000000001</v>
      </c>
      <c r="F47" s="49">
        <f t="shared" si="5"/>
        <v>0.15533333333333332</v>
      </c>
      <c r="G47" s="49">
        <f t="shared" si="6"/>
        <v>0.11650000000000001</v>
      </c>
    </row>
    <row r="48" spans="1:28" x14ac:dyDescent="0.25">
      <c r="A48" s="3">
        <v>975</v>
      </c>
      <c r="B48" s="3">
        <v>1.0256410256410256E-3</v>
      </c>
      <c r="C48" s="5">
        <v>0.28000000000000003</v>
      </c>
      <c r="D48" s="5">
        <f t="shared" si="3"/>
        <v>0.28000000000000003</v>
      </c>
      <c r="E48" s="5">
        <f t="shared" si="4"/>
        <v>0.28000000000000003</v>
      </c>
      <c r="F48" s="5">
        <f t="shared" si="5"/>
        <v>0.18666666666666668</v>
      </c>
      <c r="G48" s="5">
        <f t="shared" si="6"/>
        <v>0.14000000000000001</v>
      </c>
    </row>
    <row r="49" spans="1:7" x14ac:dyDescent="0.25">
      <c r="A49" s="3">
        <v>1275</v>
      </c>
      <c r="B49" s="3">
        <v>7.8431372549019605E-4</v>
      </c>
      <c r="C49" s="5">
        <v>0.29170000000000001</v>
      </c>
      <c r="D49" s="5">
        <f t="shared" si="3"/>
        <v>0.29170000000000001</v>
      </c>
      <c r="E49" s="5">
        <f t="shared" si="4"/>
        <v>0.29170000000000001</v>
      </c>
      <c r="F49" s="5">
        <f t="shared" si="5"/>
        <v>0.19446666666666668</v>
      </c>
      <c r="G49" s="5">
        <f t="shared" si="6"/>
        <v>0.14585000000000001</v>
      </c>
    </row>
    <row r="50" spans="1:7" x14ac:dyDescent="0.25">
      <c r="A50" s="48">
        <v>2475</v>
      </c>
      <c r="B50" s="48">
        <v>4.0404040404040404E-4</v>
      </c>
      <c r="C50" s="49">
        <v>0.35</v>
      </c>
      <c r="D50" s="49">
        <f t="shared" si="3"/>
        <v>0.35</v>
      </c>
      <c r="E50" s="49">
        <f t="shared" si="4"/>
        <v>0.35</v>
      </c>
      <c r="F50" s="49">
        <f t="shared" si="5"/>
        <v>0.23333333333333331</v>
      </c>
      <c r="G50" s="49">
        <f t="shared" si="6"/>
        <v>0.17499999999999999</v>
      </c>
    </row>
    <row r="51" spans="1:7" x14ac:dyDescent="0.25">
      <c r="A51" s="3">
        <v>4975</v>
      </c>
      <c r="B51" s="3">
        <v>2.0100502512562814E-4</v>
      </c>
      <c r="C51" s="5">
        <v>0.44</v>
      </c>
      <c r="D51" s="5">
        <f t="shared" si="3"/>
        <v>0.44</v>
      </c>
      <c r="E51" s="5">
        <f t="shared" si="4"/>
        <v>0.44</v>
      </c>
      <c r="F51" s="5">
        <f t="shared" si="5"/>
        <v>0.29333333333333333</v>
      </c>
      <c r="G51" s="5">
        <f t="shared" si="6"/>
        <v>0.22</v>
      </c>
    </row>
    <row r="52" spans="1:7" x14ac:dyDescent="0.25">
      <c r="A52" s="3">
        <v>9975</v>
      </c>
      <c r="B52" s="3">
        <v>1.0025062656641604E-4</v>
      </c>
      <c r="C52" s="5">
        <v>0.52500000000000002</v>
      </c>
      <c r="D52" s="5">
        <f t="shared" si="3"/>
        <v>0.52500000000000002</v>
      </c>
      <c r="E52" s="5">
        <f t="shared" si="4"/>
        <v>0.52500000000000002</v>
      </c>
      <c r="F52" s="5">
        <f t="shared" si="5"/>
        <v>0.35</v>
      </c>
      <c r="G52" s="5">
        <f t="shared" si="6"/>
        <v>0.26250000000000001</v>
      </c>
    </row>
    <row r="53" spans="1:7" x14ac:dyDescent="0.25">
      <c r="A53" s="3"/>
      <c r="B53" s="3"/>
      <c r="C53" s="5"/>
      <c r="D53" s="5"/>
      <c r="E53" s="5"/>
      <c r="F53" s="5"/>
      <c r="G53" s="5"/>
    </row>
    <row r="54" spans="1:7" x14ac:dyDescent="0.25">
      <c r="A54" s="3"/>
      <c r="B54" s="3"/>
      <c r="C54" s="5"/>
      <c r="D54" s="5"/>
      <c r="E54" s="5"/>
      <c r="F54" s="5"/>
      <c r="G54" s="5"/>
    </row>
    <row r="55" spans="1:7" ht="15.75" thickBot="1" x14ac:dyDescent="0.3"/>
    <row r="56" spans="1:7" x14ac:dyDescent="0.25">
      <c r="A56" s="66" t="s">
        <v>92</v>
      </c>
      <c r="B56" s="67" t="s">
        <v>90</v>
      </c>
      <c r="C56" s="68" t="s">
        <v>91</v>
      </c>
    </row>
    <row r="57" spans="1:7" x14ac:dyDescent="0.25">
      <c r="A57" s="69">
        <v>1E-3</v>
      </c>
      <c r="B57" s="71">
        <f>1/475</f>
        <v>2.1052631578947368E-3</v>
      </c>
      <c r="C57" s="72">
        <f>1/2475</f>
        <v>4.0404040404040404E-4</v>
      </c>
    </row>
    <row r="58" spans="1:7" ht="15.75" thickBot="1" x14ac:dyDescent="0.3">
      <c r="A58" s="70">
        <v>4</v>
      </c>
      <c r="B58" s="73">
        <f>B57</f>
        <v>2.1052631578947368E-3</v>
      </c>
      <c r="C58" s="74">
        <f>C57</f>
        <v>4.0404040404040404E-4</v>
      </c>
    </row>
    <row r="59" spans="1:7" x14ac:dyDescent="0.25">
      <c r="A59" s="79"/>
      <c r="B59" s="71"/>
      <c r="C59" s="71"/>
    </row>
    <row r="60" spans="1:7" x14ac:dyDescent="0.25">
      <c r="C60" s="3" t="s">
        <v>88</v>
      </c>
      <c r="D60" s="3">
        <v>0</v>
      </c>
      <c r="E60" s="3">
        <v>1</v>
      </c>
      <c r="F60" s="3">
        <v>1.5</v>
      </c>
      <c r="G60" s="3">
        <v>2</v>
      </c>
    </row>
    <row r="61" spans="1:7" x14ac:dyDescent="0.25">
      <c r="C61" s="3"/>
      <c r="D61" s="47" t="s">
        <v>37</v>
      </c>
      <c r="E61" s="47" t="s">
        <v>40</v>
      </c>
      <c r="F61" s="47" t="s">
        <v>93</v>
      </c>
      <c r="G61" s="47" t="s">
        <v>94</v>
      </c>
    </row>
    <row r="62" spans="1:7" x14ac:dyDescent="0.25">
      <c r="C62" s="3" t="s">
        <v>89</v>
      </c>
      <c r="D62" s="3">
        <v>1</v>
      </c>
      <c r="E62" s="3">
        <v>1</v>
      </c>
      <c r="F62" s="75">
        <f>(1/F60)</f>
        <v>0.66666666666666663</v>
      </c>
      <c r="G62" s="75">
        <f>(1/G60)</f>
        <v>0.5</v>
      </c>
    </row>
    <row r="67" spans="1:10" ht="21.75" thickBot="1" x14ac:dyDescent="0.4">
      <c r="A67" s="52" t="s">
        <v>1</v>
      </c>
    </row>
    <row r="68" spans="1:10" x14ac:dyDescent="0.25">
      <c r="A68" s="60" t="s">
        <v>59</v>
      </c>
      <c r="B68" s="53">
        <v>75</v>
      </c>
      <c r="C68" s="53">
        <v>175</v>
      </c>
      <c r="D68" s="53">
        <v>275</v>
      </c>
      <c r="E68" s="61">
        <v>475</v>
      </c>
      <c r="F68" s="53">
        <v>975</v>
      </c>
      <c r="G68" s="53">
        <v>1275</v>
      </c>
      <c r="H68" s="61">
        <v>2475</v>
      </c>
      <c r="I68" s="53">
        <v>4975</v>
      </c>
      <c r="J68" s="54">
        <v>9975</v>
      </c>
    </row>
    <row r="69" spans="1:10" ht="15.75" thickBot="1" x14ac:dyDescent="0.3">
      <c r="A69" s="62" t="s">
        <v>60</v>
      </c>
      <c r="B69" s="63">
        <f>1/B68</f>
        <v>1.3333333333333334E-2</v>
      </c>
      <c r="C69" s="63">
        <f t="shared" ref="C69:J69" si="7">1/C68</f>
        <v>5.7142857142857143E-3</v>
      </c>
      <c r="D69" s="63">
        <f t="shared" si="7"/>
        <v>3.6363636363636364E-3</v>
      </c>
      <c r="E69" s="64">
        <f t="shared" si="7"/>
        <v>2.1052631578947368E-3</v>
      </c>
      <c r="F69" s="63">
        <f t="shared" si="7"/>
        <v>1.0256410256410256E-3</v>
      </c>
      <c r="G69" s="63">
        <f t="shared" si="7"/>
        <v>7.8431372549019605E-4</v>
      </c>
      <c r="H69" s="64">
        <f t="shared" si="7"/>
        <v>4.0404040404040404E-4</v>
      </c>
      <c r="I69" s="63">
        <f t="shared" si="7"/>
        <v>2.0100502512562814E-4</v>
      </c>
      <c r="J69" s="65">
        <f t="shared" si="7"/>
        <v>1.0025062656641604E-4</v>
      </c>
    </row>
    <row r="70" spans="1:10" x14ac:dyDescent="0.25">
      <c r="A70" s="16" t="s">
        <v>56</v>
      </c>
      <c r="B70" s="53">
        <v>2.1899999999999999E-2</v>
      </c>
      <c r="C70" s="53">
        <v>3.4599999999999999E-2</v>
      </c>
      <c r="D70" s="53">
        <v>4.36E-2</v>
      </c>
      <c r="E70" s="53">
        <v>5.6899999999999999E-2</v>
      </c>
      <c r="F70" s="53">
        <v>7.8299999999999995E-2</v>
      </c>
      <c r="G70" s="53">
        <v>8.6900000000000005E-2</v>
      </c>
      <c r="H70" s="53">
        <v>0.11119999999999999</v>
      </c>
      <c r="I70" s="53">
        <v>0.14269999999999999</v>
      </c>
      <c r="J70" s="54">
        <v>0.1822</v>
      </c>
    </row>
    <row r="71" spans="1:10" x14ac:dyDescent="0.25">
      <c r="A71" s="20" t="s">
        <v>57</v>
      </c>
      <c r="B71" s="55">
        <v>4.0500000000000001E-2</v>
      </c>
      <c r="C71" s="55">
        <v>7.2300000000000003E-2</v>
      </c>
      <c r="D71" s="55">
        <v>9.6799999999999997E-2</v>
      </c>
      <c r="E71" s="55">
        <v>0.1353</v>
      </c>
      <c r="F71" s="55">
        <v>0.2049</v>
      </c>
      <c r="G71" s="55">
        <v>0.23699999999999999</v>
      </c>
      <c r="H71" s="55">
        <v>0.33300000000000002</v>
      </c>
      <c r="I71" s="55">
        <v>0.46029999999999999</v>
      </c>
      <c r="J71" s="56">
        <v>0.61229999999999996</v>
      </c>
    </row>
    <row r="72" spans="1:10" ht="15.75" thickBot="1" x14ac:dyDescent="0.3">
      <c r="A72" s="57" t="s">
        <v>58</v>
      </c>
      <c r="B72" s="58">
        <v>7.6499999999999999E-2</v>
      </c>
      <c r="C72" s="58">
        <v>0.13089999999999999</v>
      </c>
      <c r="D72" s="58">
        <v>0.1736</v>
      </c>
      <c r="E72" s="58">
        <v>0.2392</v>
      </c>
      <c r="F72" s="58">
        <v>0.34949999999999998</v>
      </c>
      <c r="G72" s="58">
        <v>0.39689999999999998</v>
      </c>
      <c r="H72" s="58">
        <v>0.52990000000000004</v>
      </c>
      <c r="I72" s="58">
        <v>0.69689999999999996</v>
      </c>
      <c r="J72" s="59">
        <v>0.89090000000000003</v>
      </c>
    </row>
    <row r="74" spans="1:10" x14ac:dyDescent="0.25">
      <c r="B74" s="78"/>
      <c r="C74" s="78"/>
      <c r="D74" s="78"/>
      <c r="E74" s="78"/>
      <c r="F74" s="78"/>
      <c r="G74" s="78"/>
      <c r="H74" s="78"/>
      <c r="I74" s="78"/>
      <c r="J74" s="78"/>
    </row>
    <row r="75" spans="1:10" ht="21" x14ac:dyDescent="0.35">
      <c r="A75" s="52" t="s">
        <v>96</v>
      </c>
    </row>
    <row r="76" spans="1:10" x14ac:dyDescent="0.25">
      <c r="A76" s="20" t="s">
        <v>57</v>
      </c>
      <c r="B76" s="77">
        <v>3.0534253552491002E-2</v>
      </c>
      <c r="C76" s="77">
        <v>5.2247799204166001E-2</v>
      </c>
      <c r="D76" s="77">
        <v>6.8864213966061003E-2</v>
      </c>
      <c r="E76" s="77">
        <v>9.4689758228719001E-2</v>
      </c>
      <c r="F76" s="77">
        <v>0.14097016526665701</v>
      </c>
      <c r="G76" s="77">
        <v>0.162832985239144</v>
      </c>
      <c r="H76" s="77">
        <v>0.23135077772705301</v>
      </c>
      <c r="I76" s="77">
        <v>0.332024386493319</v>
      </c>
      <c r="J76" s="77">
        <v>0.47259360336538903</v>
      </c>
    </row>
    <row r="78" spans="1:10" ht="21" x14ac:dyDescent="0.35">
      <c r="A78" s="52" t="s">
        <v>95</v>
      </c>
    </row>
    <row r="79" spans="1:10" x14ac:dyDescent="0.25">
      <c r="A79" s="20" t="s">
        <v>57</v>
      </c>
      <c r="B79" s="77">
        <v>2.6119697499103998E-2</v>
      </c>
      <c r="C79" s="77">
        <v>4.4263655745839001E-2</v>
      </c>
      <c r="D79" s="77">
        <v>5.7840751599430001E-2</v>
      </c>
      <c r="E79" s="77">
        <v>7.9059267015249998E-2</v>
      </c>
      <c r="F79" s="77">
        <v>0.116949276929855</v>
      </c>
      <c r="G79" s="77">
        <v>0.13521223795982901</v>
      </c>
      <c r="H79" s="77">
        <v>0.194528978104341</v>
      </c>
      <c r="I79" s="77">
        <v>0.28896669111729101</v>
      </c>
      <c r="J79" s="77">
        <v>0.43849156574250803</v>
      </c>
    </row>
    <row r="81" spans="1:10" ht="21" x14ac:dyDescent="0.35">
      <c r="A81" s="52" t="s">
        <v>97</v>
      </c>
    </row>
    <row r="82" spans="1:10" x14ac:dyDescent="0.25">
      <c r="A82" s="20" t="s">
        <v>57</v>
      </c>
      <c r="B82" s="77">
        <v>2.6119697499103998E-2</v>
      </c>
      <c r="C82" s="77">
        <v>4.4263655745839001E-2</v>
      </c>
      <c r="D82" s="77">
        <v>5.7840751599430001E-2</v>
      </c>
      <c r="E82" s="77">
        <v>7.9059267015249998E-2</v>
      </c>
      <c r="F82" s="77">
        <v>0.116949276929855</v>
      </c>
      <c r="G82" s="77">
        <v>0.13521223795982901</v>
      </c>
      <c r="H82" s="77">
        <v>0.194528978104341</v>
      </c>
      <c r="I82" s="77">
        <v>0.28896669111729101</v>
      </c>
      <c r="J82" s="77">
        <v>0.43849156574250803</v>
      </c>
    </row>
  </sheetData>
  <mergeCells count="1">
    <mergeCell ref="D43:G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HazCur-STGR-2026-08-12</vt:lpstr>
      <vt:lpstr>UHS-STGR-2026-08-12</vt:lpstr>
      <vt:lpstr>comparison-with-OldPSHA</vt:lpstr>
      <vt:lpstr>Guwa-HazCur-STGR-2026-08-18</vt:lpstr>
      <vt:lpstr>Delhi-HazCur-STGR-2026-08-18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sks</cp:lastModifiedBy>
  <dcterms:created xsi:type="dcterms:W3CDTF">2026-08-11T13:09:11Z</dcterms:created>
  <dcterms:modified xsi:type="dcterms:W3CDTF">2026-08-24T18:37:21Z</dcterms:modified>
</cp:coreProperties>
</file>